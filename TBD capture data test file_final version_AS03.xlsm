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_sajjad\Desktop\Drilling data Analytics\Data test sheet\Final for AS-03\"/>
    </mc:Choice>
  </mc:AlternateContent>
  <xr:revisionPtr revIDLastSave="0" documentId="13_ncr:1_{0B54E380-8BD6-441B-B736-25D13A2A7855}" xr6:coauthVersionLast="46" xr6:coauthVersionMax="46" xr10:uidLastSave="{00000000-0000-0000-0000-000000000000}"/>
  <bookViews>
    <workbookView xWindow="-110" yWindow="-110" windowWidth="19420" windowHeight="10420" tabRatio="918" activeTab="5" xr2:uid="{30708F1D-6C66-42EF-9185-4EA7908B3E06}"/>
  </bookViews>
  <sheets>
    <sheet name="DDR" sheetId="1" r:id="rId1"/>
    <sheet name="Other Inputs" sheetId="19" r:id="rId2"/>
    <sheet name="Processed data_1" sheetId="16" r:id="rId3"/>
    <sheet name="Survey" sheetId="17" r:id="rId4"/>
    <sheet name="Tripping" sheetId="2" r:id="rId5"/>
    <sheet name="TBD" sheetId="15" r:id="rId6"/>
    <sheet name="Bit" sheetId="28" r:id="rId7"/>
    <sheet name="Drilling" sheetId="12" r:id="rId8"/>
    <sheet name="Reaming" sheetId="7" r:id="rId9"/>
    <sheet name="LOSS" sheetId="14" r:id="rId10"/>
    <sheet name="NPT" sheetId="18" r:id="rId11"/>
    <sheet name="Mud" sheetId="20" r:id="rId12"/>
    <sheet name="Casing" sheetId="3" r:id="rId13"/>
    <sheet name="Cementing" sheetId="4" r:id="rId14"/>
    <sheet name="Surface_Ops" sheetId="9" r:id="rId15"/>
    <sheet name="Geological" sheetId="21" r:id="rId16"/>
    <sheet name="Lessons_Learned" sheetId="23" r:id="rId17"/>
  </sheets>
  <externalReferences>
    <externalReference r:id="rId18"/>
    <externalReference r:id="rId19"/>
    <externalReference r:id="rId20"/>
    <externalReference r:id="rId21"/>
  </externalReferences>
  <definedNames>
    <definedName name="\p">[1]IFE!$Z$1:$AB$20</definedName>
    <definedName name="_19._Volume_Balance">[1]IFE!$A$328</definedName>
    <definedName name="_20._ADDITIONAL_DAILY_MUD_PROPERTIES">[1]IFE!$A$344</definedName>
    <definedName name="_2004_06_20" localSheetId="6">#REF!</definedName>
    <definedName name="_2004_06_20" localSheetId="15">#REF!</definedName>
    <definedName name="_2004_06_20" localSheetId="16">#REF!</definedName>
    <definedName name="_2004_06_20" localSheetId="10">#REF!</definedName>
    <definedName name="_2004_06_20" localSheetId="2">#REF!</definedName>
    <definedName name="_2004_06_20" localSheetId="3">#REF!</definedName>
    <definedName name="_2004_06_20">#REF!</definedName>
    <definedName name="_21._SOLIDS_ANALYSIS_DATA_2">[1]IFE!$A$388</definedName>
    <definedName name="_22._WM_HO_DAILY_INFO">[1]IFE!$A$433</definedName>
    <definedName name="_23.__Waste_Management_Description__Sludge">[1]IFE!$A$499</definedName>
    <definedName name="_24.__Waste_Management_Description__Liquid">[1]IFE!$A$523</definedName>
    <definedName name="_25.__SHAKER_SCREEN_ACCOUNTING">[1]IFE!$A$547</definedName>
    <definedName name="_26.__WM_Header_Information" localSheetId="6">[1]IFE!#REF!</definedName>
    <definedName name="_26.__WM_Header_Information" localSheetId="15">[1]IFE!#REF!</definedName>
    <definedName name="_26.__WM_Header_Information" localSheetId="16">[1]IFE!#REF!</definedName>
    <definedName name="_26.__WM_Header_Information" localSheetId="10">[1]IFE!#REF!</definedName>
    <definedName name="_26.__WM_Header_Information" localSheetId="3">[1]IFE!#REF!</definedName>
    <definedName name="_26.__WM_Header_Information">[1]IFE!#REF!</definedName>
    <definedName name="_27.__WM_Daily_Information">[1]IFE!$A$580</definedName>
    <definedName name="_28.__WM_Cuttings_Injection_Daily_Info">[1]IFE!$A$823</definedName>
    <definedName name="_29.__WM_Cuttings_Injection_Detail">[1]IFE!$A$854</definedName>
    <definedName name="_30.__WM_Product_List">[1]IFE!$A$886</definedName>
    <definedName name="_31.__WMWt_Treatment">[1]IFE!$A$918</definedName>
    <definedName name="_WMR2" localSheetId="10" hidden="1">{#N/A,#N/A,FALSE,"Oil-Based Mud"}</definedName>
    <definedName name="_WMR2" localSheetId="2" hidden="1">{#N/A,#N/A,FALSE,"Oil-Based Mud"}</definedName>
    <definedName name="_WMR2" localSheetId="3" hidden="1">{#N/A,#N/A,FALSE,"Oil-Based Mud"}</definedName>
    <definedName name="_WMR2" hidden="1">{#N/A,#N/A,FALSE,"Oil-Based Mud"}</definedName>
    <definedName name="A">[1]IFE!$S$1</definedName>
    <definedName name="abc" localSheetId="6">#REF!</definedName>
    <definedName name="abc" localSheetId="15">#REF!</definedName>
    <definedName name="abc" localSheetId="16">#REF!</definedName>
    <definedName name="abc" localSheetId="10">#REF!</definedName>
    <definedName name="abc" localSheetId="2">#REF!</definedName>
    <definedName name="abc" localSheetId="3">#REF!</definedName>
    <definedName name="abc">#REF!</definedName>
    <definedName name="ACCS">OFFSET(Casing!$A$1,COUNTA(Casing!$D:$D),0)</definedName>
    <definedName name="ACFS">OFFSET(#REF!,COUNTA(#REF!),0)</definedName>
    <definedName name="ACLI">OFFSET(LOSS!$A$1,COUNTA(LOSS!$D:$D),0)</definedName>
    <definedName name="ACR">OFFSET(Reaming!$A$1,COUNTA(Reaming!$D:$D),0)</definedName>
    <definedName name="ACSO">OFFSET(Surface_Ops!$A$1,COUNTA(Surface_Ops!$D:$D),0)</definedName>
    <definedName name="Act" localSheetId="6">#REF!</definedName>
    <definedName name="Act" localSheetId="15">#REF!</definedName>
    <definedName name="Act" localSheetId="16">#REF!</definedName>
    <definedName name="Act" localSheetId="10">#REF!</definedName>
    <definedName name="Act" localSheetId="2">#REF!</definedName>
    <definedName name="Act" localSheetId="3">#REF!</definedName>
    <definedName name="Act">#REF!</definedName>
    <definedName name="ACV">OFFSET(Tripping!$A$1,COUNTA(Tripping!$D:$D),0)</definedName>
    <definedName name="ACVM">OFFSET(Mud!$A$1,COUNTA(Mud!$AY:$AY),0)</definedName>
    <definedName name="ADCB">OFFSET(Mud!$A$1,COUNTA(Mud!$AU:$AU),0)</definedName>
    <definedName name="APFLS">OFFSET(Mud!$A$1,COUNTA(Mud!$U:$U),0)</definedName>
    <definedName name="Api" localSheetId="2">OFFSET('Processed data_1'!$A$1,COUNTA('Processed data_1'!#REF!),0)</definedName>
    <definedName name="Api">OFFSET('[2]Processed data_1'!$A$1,COUNTA('[2]Processed data_1'!$AF:$AF),0)</definedName>
    <definedName name="ARL">OFFSET(Geological!$A$1,COUNTA(Geological!#REF!),0)</definedName>
    <definedName name="ARS">OFFSET(Reaming!$A$1,COUNTA(Reaming!$L:$L),0)</definedName>
    <definedName name="ASP">OFFSET(#REF!,COUNTA(#REF!),0)</definedName>
    <definedName name="ASPM">OFFSET(Mud!$A$1,COUNTA(Mud!$AL:$AL),0)</definedName>
    <definedName name="ATC">OFFSET(#REF!,COUNTA(#REF!),0)</definedName>
    <definedName name="ATCM">OFFSET(Cementing!$A$1,COUNTA(Cementing!$E:$E),0)</definedName>
    <definedName name="AVCM">OFFSET(Cementing!$A$1,COUNTA(Cementing!$J:$J),0)</definedName>
    <definedName name="AVCR">OFFSET(#REF!,COUNTA(#REF!),0)</definedName>
    <definedName name="AVCS">OFFSET(Casing!$A$1,COUNTA(Casing!$N:$N),0)</definedName>
    <definedName name="AVROP">OFFSET(Drilling!$A$1,COUNTA(Drilling!$E:$E),0)</definedName>
    <definedName name="AVRP">OFFSET(Bit!$A$1,COUNTA(Bit!$N:$N),0)</definedName>
    <definedName name="AVTC">OFFSET(#REF!,COUNTA(#REF!),0)</definedName>
    <definedName name="AVTCS">OFFSET(Casing!$A$1,COUNTA(Casing!$O:$O),0)</definedName>
    <definedName name="AVTS">OFFSET(Tripping!$A$1,COUNTA(Tripping!$M:$M),0)</definedName>
    <definedName name="AWL">OFFSET(#REF!,COUNTA(#REF!),0)</definedName>
    <definedName name="B">[1]IFE!$S$2</definedName>
    <definedName name="Bar" localSheetId="2">OFFSET('Processed data_1'!$A$1,COUNTA('Processed data_1'!$U:$U),0)</definedName>
    <definedName name="Bar">OFFSET('[2]Processed data_1'!$A$1,COUNTA('[2]Processed data_1'!$U:$U),0)</definedName>
    <definedName name="BC">OFFSET(LOSS!$A$1,COUNTA(LOSS!$P:$P),0)</definedName>
    <definedName name="BCR">OFFSET(#REF!,COUNTA(#REF!),0)</definedName>
    <definedName name="BHA" localSheetId="10" hidden="1">{#N/A,#N/A,FALSE,"Oil-Based Mud"}</definedName>
    <definedName name="BHA" localSheetId="2" hidden="1">{#N/A,#N/A,FALSE,"Oil-Based Mud"}</definedName>
    <definedName name="BHA" localSheetId="3" hidden="1">{#N/A,#N/A,FALSE,"Oil-Based Mud"}</definedName>
    <definedName name="BHA" hidden="1">{#N/A,#N/A,FALSE,"Oil-Based Mud"}</definedName>
    <definedName name="BHACOM">OFFSET(#REF!,COUNTA(#REF!),0)</definedName>
    <definedName name="BHAL">OFFSET(#REF!,COUNTA(#REF!),0)</definedName>
    <definedName name="BHANO">OFFSET(#REF!,COUNTA(#REF!),0)</definedName>
    <definedName name="BHAO">OFFSET(#REF!,COUNTA(#REF!),0)</definedName>
    <definedName name="BHAS">OFFSET(Bit!$A$1,COUNTA(Bit!$D:$D),0)</definedName>
    <definedName name="BHassmbly" localSheetId="2">OFFSET('Processed data_1'!$A$1,COUNTA('Processed data_1'!$E:$E),0)</definedName>
    <definedName name="BHassmbly">OFFSET('[2]Processed data_1'!$A$1,COUNTA('[2]Processed data_1'!$D:$D),0)</definedName>
    <definedName name="BHNO">OFFSET(#REF!,COUNTA(#REF!),0)</definedName>
    <definedName name="BHR">OFFSET(Bit!$A$1,COUNTA(Bit!$L:$L),0)</definedName>
    <definedName name="BINO">OFFSET(#REF!,COUNTA(#REF!),0)</definedName>
    <definedName name="bla" localSheetId="10" hidden="1">{#N/A,#N/A,FALSE,"Oil-Based Mud"}</definedName>
    <definedName name="bla" localSheetId="2" hidden="1">{#N/A,#N/A,FALSE,"Oil-Based Mud"}</definedName>
    <definedName name="bla" localSheetId="3" hidden="1">{#N/A,#N/A,FALSE,"Oil-Based Mud"}</definedName>
    <definedName name="bla" hidden="1">{#N/A,#N/A,FALSE,"Oil-Based Mud"}</definedName>
    <definedName name="BNO">OFFSET(Bit!$A$1,COUNTA(Bit!$B:$B),0)</definedName>
    <definedName name="BP" localSheetId="10">OFFSET([2]TBD!$A$1,COUNTA([2]TBD!$E:$E),0)</definedName>
    <definedName name="BP" localSheetId="2">OFFSET([3]TBD!$A$1,COUNTA([3]TBD!$E:$E),0)</definedName>
    <definedName name="BP" localSheetId="3">OFFSET([2]TBD!$A$1,COUNTA([2]TBD!$E:$E),0)</definedName>
    <definedName name="BP">OFFSET(TBD!$A$1,COUNTA(TBD!$E:$E),0)</definedName>
    <definedName name="BSB">OFFSET(Bit!$A$1,COUNTA(Bit!$C:$C),0)</definedName>
    <definedName name="BSBH">OFFSET(#REF!,COUNTA(#REF!),0)</definedName>
    <definedName name="BSP">OFFSET(#REF!,COUNTA(#REF!),0)</definedName>
    <definedName name="BWQ">OFFSET(#REF!,COUNTA(#REF!),0)</definedName>
    <definedName name="BWTON">OFFSET(#REF!,COUNTA(#REF!),0)</definedName>
    <definedName name="C_">[1]IFE!$S$3</definedName>
    <definedName name="CACOF">OFFSET(Mud!$A$1,COUNTA(Mud!$AV:$AV),0)</definedName>
    <definedName name="CACOM">OFFSET(Mud!$A$1,COUNTA(Mud!$AW:$AW),0)</definedName>
    <definedName name="CB">OFFSET(Geological!$A$1,COUNTA(Geological!$F:$F),0)</definedName>
    <definedName name="CCA" localSheetId="2">OFFSET([3]NPT!$A$1,COUNTA([3]NPT!$J:$J),0)</definedName>
    <definedName name="CCA">OFFSET(NPT!$A$1,COUNTA(NPT!$Y:$Y),0)</definedName>
    <definedName name="CDetails" localSheetId="6">OFFSET(NPT!$A$1,COUNTA(NPT!#REF!),0)</definedName>
    <definedName name="CDetails" localSheetId="15">OFFSET(NPT!$A$1,COUNTA(NPT!#REF!),0)</definedName>
    <definedName name="CDetails" localSheetId="16">OFFSET(NPT!$A$1,COUNTA(NPT!#REF!),0)</definedName>
    <definedName name="CDetails" localSheetId="2">OFFSET([3]NPT!$A$1,COUNTA([3]NPT!$F:$F),0)</definedName>
    <definedName name="CDetails">OFFSET(NPT!$A$1,COUNTA(NPT!#REF!),0)</definedName>
    <definedName name="CDie">OFFSET('Processed data_1'!$A$1,COUNTA('Processed data_1'!$Y:$Y),0)</definedName>
    <definedName name="CEC" localSheetId="2">OFFSET([3]NPT!$A$1,COUNTA([3]NPT!$K:$K),0)</definedName>
    <definedName name="CEC">OFFSET(NPT!$A$1,COUNTA(NPT!$Z:$Z),0)</definedName>
    <definedName name="Cem" localSheetId="2">OFFSET('Processed data_1'!$A$1,COUNTA('Processed data_1'!$V:$V),0)</definedName>
    <definedName name="Cem">OFFSET('[2]Processed data_1'!$A$1,COUNTA('[2]Processed data_1'!$V:$V),0)</definedName>
    <definedName name="CEP" localSheetId="2">OFFSET([3]NPT!$A$1,COUNTA([3]NPT!$L:$L),0)</definedName>
    <definedName name="CEP">OFFSET(NPT!$A$1,COUNTA(NPT!$AA:$AA),0)</definedName>
    <definedName name="CFCR">OFFSET(#REF!,COUNTA(#REF!),0)</definedName>
    <definedName name="CHCR">OFFSET(#REF!,COUNTA(#REF!),0)</definedName>
    <definedName name="CHCRT">OFFSET(#REF!,COUNTA(#REF!),0)</definedName>
    <definedName name="CHLM">OFFSET(Mud!$A$1,COUNTA(Mud!$AD:$AD),0)</definedName>
    <definedName name="CIR" localSheetId="2">OFFSET([3]NPT!$A$1,COUNTA([3]NPT!$M:$M),0)</definedName>
    <definedName name="CIR">OFFSET(NPT!$A$1,COUNTA(NPT!$AB:$AB),0)</definedName>
    <definedName name="CK">OFFSET(Mud!$A$1,COUNTA(Mud!$W:$W),0)</definedName>
    <definedName name="CLST">OFFSET(Geological!$A$1,COUNTA(Geological!$H:$H),0)</definedName>
    <definedName name="CMLH">OFFSET(#REF!,COUNTA(#REF!),0)</definedName>
    <definedName name="CMNPT">OFFSET(NPT!$A$1,COUNTA(NPT!$J:$J),0)</definedName>
    <definedName name="CMS">OFFSET(#REF!,COUNTA(#REF!),0)</definedName>
    <definedName name="CMTR" localSheetId="10">OFFSET([2]TBD!$A$1,COUNTA([2]TBD!$W:$W),0)</definedName>
    <definedName name="CMTR" localSheetId="2">OFFSET([3]TBD!$A$1,COUNTA([3]TBD!$W:$W),0)</definedName>
    <definedName name="CMTR" localSheetId="3">OFFSET([2]TBD!$A$1,COUNTA([2]TBD!$W:$W),0)</definedName>
    <definedName name="CMTR">OFFSET(TBD!$A$1,COUNTA(TBD!$W:$W),0)</definedName>
    <definedName name="Cmw" localSheetId="2">OFFSET('Processed data_1'!$A$1,COUNTA('Processed data_1'!$I:$I),0)</definedName>
    <definedName name="Cmw">OFFSET('[2]Processed data_1'!$A$1,COUNTA('[2]Processed data_1'!$H:$H),0)</definedName>
    <definedName name="CNPT">OFFSET(TBD!$A$1,COUNTA(TBD!$AF:$AF),0)</definedName>
    <definedName name="CO" localSheetId="10">OFFSET([2]TBD!$A$1,COUNTA([2]TBD!$G:$G),0)</definedName>
    <definedName name="CO" localSheetId="2">OFFSET([3]TBD!$A$1,COUNTA([3]TBD!$G:$G),0)</definedName>
    <definedName name="CO" localSheetId="3">OFFSET([2]TBD!$A$1,COUNTA([2]TBD!$G:$G),0)</definedName>
    <definedName name="CO">OFFSET(TBD!$A$1,COUNTA(TBD!$G:$G),0)</definedName>
    <definedName name="COL">OFFSET(Geological!$A$1,COUNTA(Geological!#REF!),0)</definedName>
    <definedName name="comments" localSheetId="2">OFFSET('Processed data_1'!$A$1,COUNTA('Processed data_1'!$Z:$Z),0)</definedName>
    <definedName name="comments">OFFSET('[2]Processed data_1'!$A$1,COUNTA('[2]Processed data_1'!$AI:$AI),0)</definedName>
    <definedName name="CONN">OFFSET(#REF!,COUNTA(#REF!),0)</definedName>
    <definedName name="CONT">OFFSET(Cementing!$A$1,COUNTA(Cementing!$U:$U),0)</definedName>
    <definedName name="COPS">OFFSET(NPT!$A$1,COUNTA(NPT!$U:$U),0)</definedName>
    <definedName name="CP" localSheetId="10">OFFSET([2]TBD!$A$1,COUNTA([2]TBD!$H:$H),0)</definedName>
    <definedName name="CP" localSheetId="2">OFFSET([3]TBD!$A$1,COUNTA([3]TBD!$H:$H),0)</definedName>
    <definedName name="CP" localSheetId="3">OFFSET([2]TBD!$A$1,COUNTA([2]TBD!$H:$H),0)</definedName>
    <definedName name="CP">OFFSET(TBD!$A$1,COUNTA(TBD!$H:$H),0)</definedName>
    <definedName name="CPT">OFFSET(TBD!$A$1,COUNTA(TBD!$AE:$AE),0)</definedName>
    <definedName name="CR" localSheetId="10">OFFSET([2]TBD!$A$1,COUNTA([2]TBD!$I:$I),0)</definedName>
    <definedName name="CR" localSheetId="2">OFFSET([3]TBD!$A$1,COUNTA([3]TBD!$I:$I),0)</definedName>
    <definedName name="CR" localSheetId="3">OFFSET([2]TBD!$A$1,COUNTA([2]TBD!$I:$I),0)</definedName>
    <definedName name="CR">OFFSET(TBD!$A$1,COUNTA(TBD!$I:$I),0)</definedName>
    <definedName name="CRA" localSheetId="2">OFFSET([3]NPT!$A$1,COUNTA([3]NPT!$N:$N),0)</definedName>
    <definedName name="CRA">OFFSET(NPT!$A$1,COUNTA(NPT!$AC:$AC),0)</definedName>
    <definedName name="CRNPT">OFFSET(NPT!$A$1,COUNTA(NPT!$I:$I),0)</definedName>
    <definedName name="CS" localSheetId="10">OFFSET([2]TBD!$A$1,COUNTA([2]TBD!$F:$F),0)</definedName>
    <definedName name="CS" localSheetId="2">OFFSET([3]TBD!$A$1,COUNTA([3]TBD!$F:$F),0)</definedName>
    <definedName name="CS" localSheetId="3">OFFSET([2]TBD!$A$1,COUNTA([2]TBD!$F:$F),0)</definedName>
    <definedName name="CS">OFFSET(TBD!$A$1,COUNTA(TBD!$F:$F),0)</definedName>
    <definedName name="CSCM">OFFSET(Cementing!$A$1,COUNTA(Cementing!$C:$C),0)</definedName>
    <definedName name="CSCS">OFFSET(Casing!$A$1,COUNTA(Casing!$C:$C),0)</definedName>
    <definedName name="CSFS">OFFSET(#REF!,COUNTA(#REF!),0)</definedName>
    <definedName name="CSP">OFFSET(#REF!,COUNTA(#REF!),0)</definedName>
    <definedName name="CSS" localSheetId="2">OFFSET([3]NPT!$A$1,COUNTA([3]NPT!$H:$H),0)</definedName>
    <definedName name="CSS">OFFSET(NPT!$A$1,COUNTA(NPT!$W:$W),0)</definedName>
    <definedName name="CSV">OFFSET(NPT!$A$1,COUNTA(NPT!$T:$T),0)</definedName>
    <definedName name="CT" localSheetId="2">OFFSET([3]NPT!$A$1,COUNTA([3]NPT!$I:$I),0)</definedName>
    <definedName name="CT">OFFSET(NPT!$A$1,COUNTA(NPT!$X:$X),0)</definedName>
    <definedName name="CTCR">OFFSET(#REF!,COUNTA(#REF!),0)</definedName>
    <definedName name="CUMCS">OFFSET(Mud!$A$1,COUNTA(Mud!$BK:$BK),0)</definedName>
    <definedName name="CUMDL">OFFSET(Mud!$A$1,COUNTA(Mud!$BL:$BL),0)</definedName>
    <definedName name="CUMFD">OFFSET(Mud!$A$1,COUNTA(Mud!$BO:$BO),0)</definedName>
    <definedName name="CUMFM">OFFSET(Mud!$A$1,COUNTA(Mud!$BP:$BP),0)</definedName>
    <definedName name="CUMSL">OFFSET(Mud!$A$1,COUNTA(Mud!$BM:$BM),0)</definedName>
    <definedName name="CWTON">OFFSET(#REF!,COUNTA(#REF!),0)</definedName>
    <definedName name="D">OFFSET(Tripping!$A$1,COUNTA(Tripping!$A:$A),0)</definedName>
    <definedName name="Dat" localSheetId="2">OFFSET('Processed data_1'!$A$1,COUNTA('Processed data_1'!$A:$A),0)</definedName>
    <definedName name="Dat">OFFSET('[2]Processed data_1'!$A$1,COUNTA('[2]Processed data_1'!$A:$A),0)</definedName>
    <definedName name="Data" localSheetId="10" hidden="1">{#N/A,#N/A,FALSE,"Oil-Based Mud"}</definedName>
    <definedName name="Data" localSheetId="2" hidden="1">{#N/A,#N/A,FALSE,"Oil-Based Mud"}</definedName>
    <definedName name="Data" localSheetId="3" hidden="1">{#N/A,#N/A,FALSE,"Oil-Based Mud"}</definedName>
    <definedName name="Data" hidden="1">{#N/A,#N/A,FALSE,"Oil-Based Mud"}</definedName>
    <definedName name="data1" localSheetId="10" hidden="1">{#N/A,#N/A,FALSE,"Oil-Based Mud"}</definedName>
    <definedName name="data1" localSheetId="2" hidden="1">{#N/A,#N/A,FALSE,"Oil-Based Mud"}</definedName>
    <definedName name="data1" localSheetId="3" hidden="1">{#N/A,#N/A,FALSE,"Oil-Based Mud"}</definedName>
    <definedName name="data1" hidden="1">{#N/A,#N/A,FALSE,"Oil-Based Mud"}</definedName>
    <definedName name="Data2" localSheetId="10" hidden="1">{#N/A,#N/A,FALSE,"Oil-Based Mud"}</definedName>
    <definedName name="Data2" localSheetId="2" hidden="1">{#N/A,#N/A,FALSE,"Oil-Based Mud"}</definedName>
    <definedName name="Data2" localSheetId="3" hidden="1">{#N/A,#N/A,FALSE,"Oil-Based Mud"}</definedName>
    <definedName name="Data2" hidden="1">{#N/A,#N/A,FALSE,"Oil-Based Mud"}</definedName>
    <definedName name="Date" localSheetId="6">#REF!</definedName>
    <definedName name="Date" localSheetId="15">#REF!</definedName>
    <definedName name="Date" localSheetId="16">#REF!</definedName>
    <definedName name="Date" localSheetId="10">#REF!</definedName>
    <definedName name="Date" localSheetId="2">#REF!</definedName>
    <definedName name="Date" localSheetId="3">#REF!</definedName>
    <definedName name="Date">#REF!</definedName>
    <definedName name="david" localSheetId="6">#REF!</definedName>
    <definedName name="david" localSheetId="15">#REF!</definedName>
    <definedName name="david" localSheetId="16">#REF!</definedName>
    <definedName name="david" localSheetId="10">#REF!</definedName>
    <definedName name="david" localSheetId="2">#REF!</definedName>
    <definedName name="david" localSheetId="3">#REF!</definedName>
    <definedName name="david">#REF!</definedName>
    <definedName name="DBNPT">OFFSET(NPT!$A$1,COUNTA(NPT!$G:$G),0)</definedName>
    <definedName name="DC" localSheetId="2">OFFSET([3]NPT!$A$1,COUNTA([3]NPT!$O:$O),0)</definedName>
    <definedName name="DC">OFFSET(NPT!$A$1,COUNTA(NPT!$AD:$AD),0)</definedName>
    <definedName name="DCCS">OFFSET(Casing!$A$1,COUNTA(Casing!$M:$M),0)</definedName>
    <definedName name="DCM">OFFSET(Cementing!$A$1,COUNTA(Cementing!$S:$S),0)</definedName>
    <definedName name="DCOV">OFFSET(Tripping!$A$1,COUNTA(Tripping!$L:$L),0)</definedName>
    <definedName name="DCR" localSheetId="10" hidden="1">{#N/A,#N/A,FALSE,"Oil-Based Mud"}</definedName>
    <definedName name="DCR" localSheetId="2" hidden="1">{#N/A,#N/A,FALSE,"Oil-Based Mud"}</definedName>
    <definedName name="DCR" localSheetId="3" hidden="1">{#N/A,#N/A,FALSE,"Oil-Based Mud"}</definedName>
    <definedName name="DCR" hidden="1">{#N/A,#N/A,FALSE,"Oil-Based Mud"}</definedName>
    <definedName name="DCRR">OFFSET(Reaming!$A$1,COUNTA(Reaming!$K:$K),0)</definedName>
    <definedName name="DCRT">OFFSET(#REF!,COUNTA(#REF!),0)</definedName>
    <definedName name="DCST">OFFSET(Mud!$A$1,COUNTA(Mud!$BJ:$BJ),0)</definedName>
    <definedName name="DDCM">OFFSET(Cementing!$A$1,COUNTA(Cementing!$I:$I),0)</definedName>
    <definedName name="DDCS">OFFSET(Casing!$A$1,COUNTA(Casing!$H:$H),0)</definedName>
    <definedName name="DDFS">OFFSET(#REF!,COUNTA(#REF!),0)</definedName>
    <definedName name="DDLI">OFFSET(LOSS!$A$1,COUNTA(LOSS!$H:$H),0)</definedName>
    <definedName name="DDLS">OFFSET(Lessons_Learned!$A$1,COUNTA(Lessons_Learned!$D:$D),0)</definedName>
    <definedName name="DDMS">OFFSET(#REF!,COUNTA(#REF!),0)</definedName>
    <definedName name="DDR" localSheetId="10" hidden="1">{#N/A,#N/A,FALSE,"Oil-Based Mud"}</definedName>
    <definedName name="DDR" localSheetId="2" hidden="1">{#N/A,#N/A,FALSE,"Oil-Based Mud"}</definedName>
    <definedName name="DDR" localSheetId="3" hidden="1">{#N/A,#N/A,FALSE,"Oil-Based Mud"}</definedName>
    <definedName name="DDR" hidden="1">{#N/A,#N/A,FALSE,"Oil-Based Mud"}</definedName>
    <definedName name="DDSO">OFFSET(Surface_Ops!$A$1,COUNTA(Surface_Ops!$H:$H),0)</definedName>
    <definedName name="DDSP">OFFSET(#REF!,COUNTA(#REF!),0)</definedName>
    <definedName name="DDWL">OFFSET(#REF!,COUNTA(#REF!),0)</definedName>
    <definedName name="DEIN">OFFSET(#REF!,COUNTA(#REF!),0)</definedName>
    <definedName name="DENOMINATION" localSheetId="6">#REF!</definedName>
    <definedName name="DENOMINATION" localSheetId="15">#REF!</definedName>
    <definedName name="DENOMINATION" localSheetId="16">#REF!</definedName>
    <definedName name="DENOMINATION" localSheetId="10">#REF!</definedName>
    <definedName name="DENOMINATION" localSheetId="2">#REF!</definedName>
    <definedName name="DENOMINATION" localSheetId="3">#REF!</definedName>
    <definedName name="DENOMINATION">#REF!</definedName>
    <definedName name="DENS">OFFSET(Mud!$A$1,COUNTA(Mud!$G:$G),0)</definedName>
    <definedName name="DEOUT">OFFSET(#REF!,COUNTA(#REF!),0)</definedName>
    <definedName name="DEPI">OFFSET(#REF!,COUNTA(#REF!),0)</definedName>
    <definedName name="DEPOT">OFFSET(#REF!,COUNTA(#REF!),0)</definedName>
    <definedName name="Depth" localSheetId="2">OFFSET('Processed data_1'!$A$1,COUNTA('Processed data_1'!$D:$D),0)</definedName>
    <definedName name="Depth">OFFSET('[2]Processed data_1'!$A$1,COUNTA('[2]Processed data_1'!$C:$C),0)</definedName>
    <definedName name="DF" localSheetId="2">OFFSET([3]NPT!$A$1,COUNTA([3]NPT!$P:$P),0)</definedName>
    <definedName name="DF">OFFSET(NPT!$A$1,COUNTA(NPT!$AE:$AE),0)</definedName>
    <definedName name="Dfs" localSheetId="2">OFFSET('Processed data_1'!$A$1,COUNTA('Processed data_1'!$C:$C),0)</definedName>
    <definedName name="Dfs">OFFSET('[2]Processed data_1'!$A$1,COUNTA('[2]Processed data_1'!$B:$B),0)</definedName>
    <definedName name="DFSF">OFFSET(#REF!,COUNTA(#REF!),0)</definedName>
    <definedName name="DGL">OFFSET(Geological!$A$1,COUNTA(Geological!$A:$A),0)</definedName>
    <definedName name="DHLOS">OFFSET(Mud!$A$1,COUNTA(Mud!$BN:$BN),0)</definedName>
    <definedName name="DHLS">OFFSET(Mud!$A$1,COUNTA(Mud!$BE:$BE),0)</definedName>
    <definedName name="Die" localSheetId="2">OFFSET('Processed data_1'!$A$1,COUNTA('Processed data_1'!$X:$X),0)</definedName>
    <definedName name="Die">OFFSET('[2]Processed data_1'!$A$1,COUNTA('[2]Processed data_1'!$X:$X),0)</definedName>
    <definedName name="DIND">OFFSET(Bit!$A$1,COUNTA(Bit!$I:$I),0)</definedName>
    <definedName name="DITC">OFFSET(#REF!,COUNTA(#REF!),0)</definedName>
    <definedName name="DLL">OFFSET(Lessons_Learned!$A$1,COUNTA(Lessons_Learned!$A:$A),0)</definedName>
    <definedName name="DLS">OFFSET(Survey!$A$1,COUNTA(Survey!$I:$I),0)</definedName>
    <definedName name="DLUM">OFFSET(Mud!$A$1,COUNTA(Mud!$BG:$BG),0)</definedName>
    <definedName name="DMLS">OFFSET(Lessons_Learned!$A$1,COUNTA(Lessons_Learned!$G:$G),0)</definedName>
    <definedName name="DMM">OFFSET(Mud!$A$1,COUNTA(Mud!$D:$D),0)</definedName>
    <definedName name="DMS">OFFSET(#REF!,COUNTA(#REF!),0)</definedName>
    <definedName name="DMT">OFFSET(Geological!$A$1,COUNTA(Geological!$M:$M),0)</definedName>
    <definedName name="DNPT">OFFSET(NPT!$A$1,COUNTA(NPT!$A:$A),0)</definedName>
    <definedName name="DOTD">OFFSET(Bit!$A$1,COUNTA(Bit!$J:$J),0)</definedName>
    <definedName name="DPMD">OFFSET(Drilling!$A$1,COUNTA(Drilling!$C:$C),0)</definedName>
    <definedName name="DPNPT">OFFSET(NPT!$A$1,COUNTA(NPT!$C:$C),0)</definedName>
    <definedName name="DPQ">OFFSET(#REF!,COUNTA(#REF!),0)</definedName>
    <definedName name="DPTD">OFFSET(Drilling!$A$1,COUNTA(Drilling!$D:$D),0)</definedName>
    <definedName name="Dpth" localSheetId="6">OFFSET(NPT!$A$1,COUNTA(NPT!#REF!),0)</definedName>
    <definedName name="Dpth" localSheetId="2">OFFSET([3]NPT!$A$1,COUNTA([3]NPT!$D:$D),0)</definedName>
    <definedName name="Dpth">OFFSET(NPT!$A$1,COUNTA(NPT!#REF!),0)</definedName>
    <definedName name="DQH">OFFSET(#REF!,COUNTA(#REF!),0)</definedName>
    <definedName name="DR" localSheetId="10">OFFSET([2]TBD!$A$1,COUNTA([2]TBD!$J:$J),0)</definedName>
    <definedName name="DR" localSheetId="2">OFFSET([3]TBD!$A$1,COUNTA([3]TBD!$J:$J),0)</definedName>
    <definedName name="DR" localSheetId="3">OFFSET([2]TBD!$A$1,COUNTA([2]TBD!$J:$J),0)</definedName>
    <definedName name="DR">OFFSET(TBD!$A$1,COUNTA(TBD!$J:$J),0)</definedName>
    <definedName name="DRA">OFFSET(Reaming!$A$1,COUNTA(Reaming!$G:$G),0)</definedName>
    <definedName name="DRD">OFFSET(Reaming!$A$1,COUNTA(Reaming!$H:$H),0)</definedName>
    <definedName name="DRdepth">OFFSET(Tripping!$A$1,COUNTA(Tripping!$H:$H),0)</definedName>
    <definedName name="DRI" localSheetId="2">OFFSET([3]NPT!$A$1,COUNTA([3]NPT!$Q:$Q),0)</definedName>
    <definedName name="DRI">OFFSET(NPT!$A$1,COUNTA(NPT!$AF:$AF),0)</definedName>
    <definedName name="Drill" localSheetId="10">{#N/A,#N/A,FALSE,"Oil-Based Mud"}</definedName>
    <definedName name="Drill" localSheetId="2">{#N/A,#N/A,FALSE,"Oil-Based Mud"}</definedName>
    <definedName name="Drill" localSheetId="3">{#N/A,#N/A,FALSE,"Oil-Based Mud"}</definedName>
    <definedName name="Drill">{#N/A,#N/A,FALSE,"Oil-Based Mud"}</definedName>
    <definedName name="Drill1" localSheetId="10">{#N/A,#N/A,FALSE,"Oil-Based Mud"}</definedName>
    <definedName name="Drill1" localSheetId="2">{#N/A,#N/A,FALSE,"Oil-Based Mud"}</definedName>
    <definedName name="Drill1" localSheetId="3">{#N/A,#N/A,FALSE,"Oil-Based Mud"}</definedName>
    <definedName name="Drill1">{#N/A,#N/A,FALSE,"Oil-Based Mud"}</definedName>
    <definedName name="DRT">OFFSET(Reaming!$A$1,COUNTA(Reaming!$A:$A),0)</definedName>
    <definedName name="DRW" localSheetId="2">OFFSET([3]NPT!$A$1,COUNTA([3]NPT!$R:$R),0)</definedName>
    <definedName name="DRW">OFFSET(NPT!$A$1,COUNTA(NPT!$AG:$AG),0)</definedName>
    <definedName name="DSCQ">OFFSET(#REF!,COUNTA(#REF!),0)</definedName>
    <definedName name="DSNPT">OFFSET(NPT!$A$1,COUNTA(NPT!$F:$F),0)</definedName>
    <definedName name="DSO">OFFSET(Surface_Ops!$A$1,COUNTA(Surface_Ops!$A:$A),0)</definedName>
    <definedName name="DSP">OFFSET(#REF!,COUNTA(#REF!),0)</definedName>
    <definedName name="Dt" localSheetId="10">OFFSET([2]TBD!$A$1,COUNTA([2]TBD!$A:$A),0)</definedName>
    <definedName name="Dt" localSheetId="2">OFFSET([3]TBD!$A$1,COUNTA([3]TBD!$A:$A),0)</definedName>
    <definedName name="Dt" localSheetId="3">OFFSET([2]TBD!$A$1,COUNTA([2]TBD!$A:$A),0)</definedName>
    <definedName name="Dt">OFFSET(TBD!$A$1,COUNTA(TBD!$A:$A),0)</definedName>
    <definedName name="DTB">OFFSET(Bit!$A$1,COUNTA(Bit!$A:$A),0)</definedName>
    <definedName name="DTBHA">OFFSET(#REF!,COUNTA(#REF!),0)</definedName>
    <definedName name="DTC">OFFSET(#REF!,COUNTA(#REF!),0)</definedName>
    <definedName name="DTCM">OFFSET(Cementing!$A$1,COUNTA(Cementing!$A:$A),0)</definedName>
    <definedName name="DTCS">OFFSET(Casing!$A$1,COUNTA(Casing!$A:$A),0)</definedName>
    <definedName name="Dtd">OFFSET(Drilling!$A$1,COUNTA(Drilling!$A:$A),0)</definedName>
    <definedName name="Dte">OFFSET(Survey!$A$1,COUNTA(Survey!$A:$A),0)</definedName>
    <definedName name="DTFS">OFFSET(#REF!,COUNTA(#REF!),0)</definedName>
    <definedName name="DTIN">OFFSET(Bit!$A$1,COUNTA(Bit!#REF!),0)</definedName>
    <definedName name="DTL">OFFSET(LOSS!$A$1,COUNTA(LOSS!$A:$A),0)</definedName>
    <definedName name="DTM">OFFSET(Mud!$A$1,COUNTA(Mud!$A:$A),0)</definedName>
    <definedName name="DTNPT">OFFSET(NPT!$A$1,COUNTA(NPT!$Q:$Q),0)</definedName>
    <definedName name="DTOUT">OFFSET(Bit!$A$1,COUNTA(Bit!#REF!),0)</definedName>
    <definedName name="Dtt" localSheetId="2">OFFSET([3]NPT!$A$1,COUNTA([3]NPT!$A:$A),0)</definedName>
    <definedName name="Dtt">OFFSET(NPT!$A$1,COUNTA(NPT!$A:$A),0)</definedName>
    <definedName name="DTVM">OFFSET(Mud!$A$1,COUNTA(Mud!$E:$E),0)</definedName>
    <definedName name="DUCM">OFFSET(Cementing!$A$1,COUNTA(Cementing!$H:$H),0)</definedName>
    <definedName name="DUCR">OFFSET(#REF!,COUNTA(#REF!),0)</definedName>
    <definedName name="DUCS">OFFSET(Casing!$A$1,COUNTA(Casing!$G:$G),0)</definedName>
    <definedName name="DUFS">OFFSET(#REF!,COUNTA(#REF!),0)</definedName>
    <definedName name="DUGR">OFFSET(Bit!$A$1,COUNTA(Bit!$Q:$Q),0)</definedName>
    <definedName name="DULI">OFFSET(LOSS!$A$1,COUNTA(LOSS!$G:$G),0)</definedName>
    <definedName name="DUNPT">OFFSET(NPT!$A$1,COUNTA(NPT!$S:$S),0)</definedName>
    <definedName name="DUR">OFFSET(Tripping!$A$1,COUNTA(Tripping!$G:$G),0)</definedName>
    <definedName name="DUSO">OFFSET(Surface_Ops!$A$1,COUNTA(Surface_Ops!$G:$G),0)</definedName>
    <definedName name="DUSP">OFFSET(#REF!,COUNTA(#REF!),0)</definedName>
    <definedName name="DUTC">OFFSET(#REF!,COUNTA(#REF!),0)</definedName>
    <definedName name="DUWL">OFFSET(#REF!,COUNTA(#REF!),0)</definedName>
    <definedName name="DWL">OFFSET(#REF!,COUNTA(#REF!),0)</definedName>
    <definedName name="EC" localSheetId="2">OFFSET([3]NPT!$A$1,COUNTA([3]NPT!$T:$T),0)</definedName>
    <definedName name="EC">OFFSET(NPT!$A$1,COUNTA(NPT!$AI:$AI),0)</definedName>
    <definedName name="EIWL">OFFSET(#REF!,COUNTA(#REF!),0)</definedName>
    <definedName name="ELI">OFFSET(LOSS!$A$1,COUNTA(LOSS!$F:$F),0)</definedName>
    <definedName name="ENMS">OFFSET(#REF!,COUNTA(#REF!),0)</definedName>
    <definedName name="EQMS">OFFSET(#REF!,COUNTA(#REF!),0)</definedName>
    <definedName name="EQNPT">OFFSET(NPT!$A$1,COUNTA(NPT!$E:$E),0)</definedName>
    <definedName name="EQR" localSheetId="10">OFFSET([2]TBD!$A$1,COUNTA([2]TBD!$K:$K),0)</definedName>
    <definedName name="EQR" localSheetId="2">OFFSET([3]TBD!$A$1,COUNTA([3]TBD!$K:$K),0)</definedName>
    <definedName name="EQR" localSheetId="3">OFFSET([2]TBD!$A$1,COUNTA([2]TBD!$K:$K),0)</definedName>
    <definedName name="EQR">OFFSET(TBD!$A$1,COUNTA(TBD!$K:$K),0)</definedName>
    <definedName name="ER">OFFSET(Reaming!$A$1,COUNTA(Reaming!$F:$F),0)</definedName>
    <definedName name="ET">OFFSET(Tripping!$A$1,COUNTA(Tripping!$F:$F),0)</definedName>
    <definedName name="ETC">OFFSET(Casing!$A$1,COUNTA(Casing!$F:$F),0)</definedName>
    <definedName name="ETCM">OFFSET(Cementing!$A$1,COUNTA(Cementing!$G:$G),0)</definedName>
    <definedName name="ETCR">OFFSET(#REF!,COUNTA(#REF!),0)</definedName>
    <definedName name="ETFS">OFFSET(#REF!,COUNTA(#REF!),0)</definedName>
    <definedName name="ETSO">OFFSET(Surface_Ops!$A$1,COUNTA(Surface_Ops!$F:$F),0)</definedName>
    <definedName name="ETSP">OFFSET(#REF!,COUNTA(#REF!),0)</definedName>
    <definedName name="ETTC">OFFSET(#REF!,COUNTA(#REF!),0)</definedName>
    <definedName name="ETWL">OFFSET(#REF!,COUNTA(#REF!),0)</definedName>
    <definedName name="EVR" localSheetId="10">OFFSET([2]TBD!$A$1,COUNTA([2]TBD!$L:$L),0)</definedName>
    <definedName name="EVR" localSheetId="2">OFFSET([3]TBD!$A$1,COUNTA([3]TBD!$L:$L),0)</definedName>
    <definedName name="EVR" localSheetId="3">OFFSET([2]TBD!$A$1,COUNTA([2]TBD!$L:$L),0)</definedName>
    <definedName name="EVR">OFFSET(TBD!$A$1,COUNTA(TBD!$L:$L),0)</definedName>
    <definedName name="EW">OFFSET(Survey!$A$1,COUNTA(Survey!$H:$H),0)</definedName>
    <definedName name="EXCM">OFFSET(Cementing!$A$1,COUNTA(Cementing!$K:$K),0)</definedName>
    <definedName name="F100M">OFFSET(Mud!$A$1,COUNTA(Mud!$L:$L),0)</definedName>
    <definedName name="F200M">OFFSET(Mud!$A$1,COUNTA(Mud!$K:$K),0)</definedName>
    <definedName name="F300M">OFFSET(Mud!$A$1,COUNTA(Mud!$J:$J),0)</definedName>
    <definedName name="F3M">OFFSET(Mud!$A$1,COUNTA(Mud!$N:$N),0)</definedName>
    <definedName name="F600M">OFFSET(Mud!$A$1,COUNTA(Mud!$I:$I),0)</definedName>
    <definedName name="F6M">OFFSET(Mud!$A$1,COUNTA(Mud!$M:$M),0)</definedName>
    <definedName name="FC" localSheetId="2">OFFSET([3]NPT!$A$1,COUNTA([3]NPT!$U:$U),0)</definedName>
    <definedName name="FC">OFFSET(NPT!$A$1,COUNTA(NPT!$AJ:$AJ),0)</definedName>
    <definedName name="Fd" localSheetId="2">OFFSET('Processed data_1'!$A$1,COUNTA('Processed data_1'!$S:$S),0)</definedName>
    <definedName name="Fd">OFFSET('[2]Processed data_1'!$A$1,COUNTA('[2]Processed data_1'!$S:$S),0)</definedName>
    <definedName name="FDM">OFFSET(Mud!$A$1,COUNTA(Mud!$BF:$BF),0)</definedName>
    <definedName name="FGL">OFFSET(Geological!$A$1,COUNTA(Geological!$C:$C),0)</definedName>
    <definedName name="FIT" localSheetId="2">OFFSET([3]NPT!$A$1,COUNTA([3]NPT!$W:$W),0)</definedName>
    <definedName name="FIT">OFFSET(NPT!$A$1,COUNTA(NPT!$AL:$AL),0)</definedName>
    <definedName name="FLFS">OFFSET(#REF!,COUNTA(#REF!),0)</definedName>
    <definedName name="FLW">OFFSET(Mud!$A$1,COUNTA(Mud!#REF!),0)</definedName>
    <definedName name="FLWR">OFFSET(Drilling!$A$1,COUNTA(Drilling!$I:$I),0)</definedName>
    <definedName name="FMAD">OFFSET(Mud!$A$1,COUNTA(Mud!$BH:$BH),0)</definedName>
    <definedName name="FMR" localSheetId="10">OFFSET([2]TBD!$A$1,COUNTA([2]TBD!$N:$N),0)</definedName>
    <definedName name="FMR" localSheetId="2">OFFSET([3]TBD!$A$1,COUNTA([3]TBD!$N:$N),0)</definedName>
    <definedName name="FMR" localSheetId="3">OFFSET([2]TBD!$A$1,COUNTA([2]TBD!$N:$N),0)</definedName>
    <definedName name="FMR">OFFSET(TBD!$A$1,COUNTA(TBD!$N:$N),0)</definedName>
    <definedName name="FNL">OFFSET(#REF!,COUNTA(#REF!),0)</definedName>
    <definedName name="FNOD">OFFSET(#REF!,COUNTA(#REF!),0)</definedName>
    <definedName name="FNPT">OFFSET(NPT!$A$1,COUNTA(NPT!$M:$M),0)</definedName>
    <definedName name="Form" localSheetId="2">OFFSET('Processed data_1'!$A$1,COUNTA('Processed data_1'!$L:$L),0)</definedName>
    <definedName name="Form">OFFSET('[2]Processed data_1'!$A$1,COUNTA('[2]Processed data_1'!$K:$K),0)</definedName>
    <definedName name="FRCR">OFFSET(#REF!,COUNTA(#REF!),0)</definedName>
    <definedName name="from" localSheetId="6">#REF!</definedName>
    <definedName name="from" localSheetId="15">#REF!</definedName>
    <definedName name="from" localSheetId="16">#REF!</definedName>
    <definedName name="from" localSheetId="10">#REF!</definedName>
    <definedName name="from" localSheetId="2">#REF!</definedName>
    <definedName name="from" localSheetId="3">#REF!</definedName>
    <definedName name="from">#REF!</definedName>
    <definedName name="FSBH">OFFSET(#REF!,COUNTA(#REF!),0)</definedName>
    <definedName name="FSH" localSheetId="10">OFFSET([2]TBD!$A$1,COUNTA([2]TBD!$M:$M),0)</definedName>
    <definedName name="FSH" localSheetId="2">OFFSET([3]TBD!$A$1,COUNTA([3]TBD!$M:$M),0)</definedName>
    <definedName name="FSH" localSheetId="3">OFFSET([2]TBD!$A$1,COUNTA([2]TBD!$M:$M),0)</definedName>
    <definedName name="FSH">OFFSET(TBD!$A$1,COUNTA(TBD!$M:$M),0)</definedName>
    <definedName name="FTCR">OFFSET(#REF!,COUNTA(#REF!),0)</definedName>
    <definedName name="FTM">OFFSET(Mud!$A$1,COUNTA(Mud!$C:$C),0)</definedName>
    <definedName name="FunV" localSheetId="2">OFFSET('Processed data_1'!$A$1,COUNTA('Processed data_1'!#REF!),0)</definedName>
    <definedName name="FunV">OFFSET('[2]Processed data_1'!$A$1,COUNTA('[2]Processed data_1'!$Y:$Y),0)</definedName>
    <definedName name="FVM">OFFSET(Mud!$A$1,COUNTA(Mud!$H:$H),0)</definedName>
    <definedName name="FW" localSheetId="2">OFFSET([3]NPT!$A$1,COUNTA([3]NPT!$V:$V),0)</definedName>
    <definedName name="FW">OFFSET(NPT!$A$1,COUNTA(NPT!$AK:$AK),0)</definedName>
    <definedName name="G10M">OFFSET(Mud!$A$1,COUNTA(Mud!$S:$S),0)</definedName>
    <definedName name="G10S">OFFSET(Mud!$A$1,COUNTA(Mud!$R:$R),0)</definedName>
    <definedName name="G30M">OFFSET(Mud!$A$1,COUNTA(Mud!$T:$T),0)</definedName>
    <definedName name="GAH">OFFSET(Geological!$A$1,COUNTA(Geological!$N:$N),0)</definedName>
    <definedName name="gbjjdvgdc" localSheetId="10" hidden="1">{#N/A,#N/A,FALSE,"Oil-Based Mud"}</definedName>
    <definedName name="gbjjdvgdc" localSheetId="2" hidden="1">{#N/A,#N/A,FALSE,"Oil-Based Mud"}</definedName>
    <definedName name="gbjjdvgdc" localSheetId="3" hidden="1">{#N/A,#N/A,FALSE,"Oil-Based Mud"}</definedName>
    <definedName name="gbjjdvgdc" hidden="1">{#N/A,#N/A,FALSE,"Oil-Based Mud"}</definedName>
    <definedName name="GelTENM" localSheetId="2">OFFSET('Processed data_1'!$A$1,COUNTA('Processed data_1'!#REF!),0)</definedName>
    <definedName name="GelTENM">OFFSET('[2]Processed data_1'!$A$1,COUNTA('[2]Processed data_1'!$AE:$AE),0)</definedName>
    <definedName name="GelTENS" localSheetId="2">OFFSET('Processed data_1'!$A$1,COUNTA('Processed data_1'!#REF!),0)</definedName>
    <definedName name="GelTENS">OFFSET('[2]Processed data_1'!$A$1,COUNTA('[2]Processed data_1'!$AD:$AD),0)</definedName>
    <definedName name="GHRG">OFFSET(Mud!$A$1,COUNTA(Mud!$AS:$AS),0)</definedName>
    <definedName name="GSPL">OFFSET(Mud!$A$1,COUNTA(Mud!$AT:$AT),0)</definedName>
    <definedName name="HDM">OFFSET(Mud!$A$1,COUNTA(Mud!$AF:$AF),0)</definedName>
    <definedName name="HDQ">OFFSET(#REF!,COUNTA(#REF!),0)</definedName>
    <definedName name="Header">[1]IFE!$B$3:$AK$3</definedName>
    <definedName name="HGQ">OFFSET(#REF!,COUNTA(#REF!),0)</definedName>
    <definedName name="HGSM">OFFSET(Mud!$A$1,COUNTA(Mud!$AH:$AH),0)</definedName>
    <definedName name="HOLI">OFFSET(LOSS!$A$1,COUNTA(LOSS!$B:$B),0)</definedName>
    <definedName name="HOLS">OFFSET(Drilling!$A$1,COUNTA(Drilling!$B:$BA),0)</definedName>
    <definedName name="HOSize">OFFSET(Survey!$A$1,COUNTA(Survey!$B:$B),0)</definedName>
    <definedName name="HPS" localSheetId="2">OFFSET([3]NPT!$A$1,COUNTA([3]NPT!$X:$X),0)</definedName>
    <definedName name="HPS">OFFSET(NPT!$A$1,COUNTA(NPT!$AM:$AM),0)</definedName>
    <definedName name="hrs" localSheetId="6">#REF!</definedName>
    <definedName name="hrs" localSheetId="15">#REF!</definedName>
    <definedName name="hrs" localSheetId="16">#REF!</definedName>
    <definedName name="hrs" localSheetId="10">#REF!</definedName>
    <definedName name="hrs" localSheetId="2">#REF!</definedName>
    <definedName name="hrs" localSheetId="3">#REF!</definedName>
    <definedName name="hrs">#REF!</definedName>
    <definedName name="HS" localSheetId="10">OFFSET([2]TBD!$A$1,COUNTA([2]TBD!$O:$O),0)</definedName>
    <definedName name="HS" localSheetId="2">OFFSET([3]TBD!$A$1,COUNTA([3]TBD!$O:$O),0)</definedName>
    <definedName name="HS" localSheetId="3">OFFSET([2]TBD!$A$1,COUNTA([2]TBD!$O:$O),0)</definedName>
    <definedName name="HS">OFFSET(TBD!$A$1,COUNTA(TBD!$O:$O),0)</definedName>
    <definedName name="HSCM">OFFSET(Cementing!$A$1,COUNTA(Cementing!$B:$B),0)</definedName>
    <definedName name="HSCR">OFFSET(#REF!,COUNTA(#REF!),0)</definedName>
    <definedName name="HSCS">OFFSET(Casing!$A$1,COUNTA(Casing!$B:$B),0)</definedName>
    <definedName name="HSFS">OFFSET(#REF!,COUNTA(#REF!),0)</definedName>
    <definedName name="HSGL">OFFSET(Geological!$A$1,COUNTA(Geological!$B:$B),0)</definedName>
    <definedName name="Hsize">OFFSET(Tripping!$A$1,COUNTA(Tripping!$B:$B),0)</definedName>
    <definedName name="HSLL">OFFSET(Lessons_Learned!$A$1,COUNTA(Lessons_Learned!$B:$B),0)</definedName>
    <definedName name="HSNPT">OFFSET(NPT!$A$1,COUNTA(NPT!$B:$B),0)</definedName>
    <definedName name="HSO">OFFSET(Surface_Ops!$A$1,COUNTA(Surface_Ops!$B:$B),0)</definedName>
    <definedName name="HSP">OFFSET(#REF!,COUNTA(#REF!),0)</definedName>
    <definedName name="HSR">OFFSET(Reaming!$A$1,COUNTA(Reaming!$B:$B),0)</definedName>
    <definedName name="HSRM">OFFSET(Reaming!$A$1,COUNTA(Reaming!$O:$O),0)</definedName>
    <definedName name="HST">OFFSET(#REF!,COUNTA(#REF!),0)</definedName>
    <definedName name="HSWL">OFFSET(#REF!,COUNTA(#REF!),0)</definedName>
    <definedName name="HTHP">OFFSET(Mud!$A$1,COUNTA(Mud!$V:$V),0)</definedName>
    <definedName name="HVM">OFFSET(Mud!$A$1,COUNTA(Mud!$AX:$AX),0)</definedName>
    <definedName name="HYHB">OFFSET(Mud!$A$1,COUNTA(Mud!$AP:$AP),0)</definedName>
    <definedName name="HYSD">OFFSET(Mud!$A$1,COUNTA(Mud!$AO:$AO),0)</definedName>
    <definedName name="I.SHEET" localSheetId="6">#REF!</definedName>
    <definedName name="I.SHEET" localSheetId="15">#REF!</definedName>
    <definedName name="I.SHEET" localSheetId="16">#REF!</definedName>
    <definedName name="I.SHEET" localSheetId="10">#REF!</definedName>
    <definedName name="I.SHEET" localSheetId="2">#REF!</definedName>
    <definedName name="I.SHEET" localSheetId="3">#REF!</definedName>
    <definedName name="I.SHEET">#REF!</definedName>
    <definedName name="IADC">OFFSET(Bit!$A$1,COUNTA(Bit!$G:$G),0)</definedName>
    <definedName name="ILS">OFFSET(Lessons_Learned!$A$1,COUNTA(Lessons_Learned!$F:$F),0)</definedName>
    <definedName name="INF">OFFSET(LOSS!$A$1,COUNTA(LOSS!$K:$K),0)</definedName>
    <definedName name="Intc" localSheetId="2">OFFSET('Processed data_1'!$A$1,COUNTA('Processed data_1'!$P:$P),0)</definedName>
    <definedName name="Intc">OFFSET('[2]Processed data_1'!$A$1,COUNTA('[2]Processed data_1'!$N:$N),0)</definedName>
    <definedName name="INV" localSheetId="2">OFFSET([3]NPT!$A$1,COUNTA([3]NPT!$Y:$Y),0)</definedName>
    <definedName name="INV">OFFSET(NPT!$A$1,COUNTA(NPT!$AN:$AN),0)</definedName>
    <definedName name="ITM">OFFSET(#REF!,COUNTA(#REF!),0)</definedName>
    <definedName name="IVS">OFFSET(Geological!$A$1,COUNTA(Geological!#REF!),0)</definedName>
    <definedName name="JMP">OFFSET(#REF!,COUNTA(#REF!),0)</definedName>
    <definedName name="KCLM">OFFSET(Mud!$A$1,COUNTA(Mud!$AE:$AE),0)</definedName>
    <definedName name="Kd" localSheetId="2">OFFSET('Processed data_1'!$A$1,COUNTA('Processed data_1'!$R:$R),0)</definedName>
    <definedName name="Kd">OFFSET('[2]Processed data_1'!$A$1,COUNTA('[2]Processed data_1'!$R:$R),0)</definedName>
    <definedName name="KIMP">OFFSET(LOSS!$A$1,COUNTA(LOSS!$M:$M),0)</definedName>
    <definedName name="KIMW">OFFSET(LOSS!$A$1,COUNTA(LOSS!$L:$L),0)</definedName>
    <definedName name="KMD">OFFSET(Mud!$A$1,COUNTA(Mud!$BA:$BA),0)</definedName>
    <definedName name="KREVS">OFFSET(Bit!$A$1,COUNTA(Bit!$M:$M),0)</definedName>
    <definedName name="lab" localSheetId="10" hidden="1">{#N/A,#N/A,FALSE,"Oil-Based Mud"}</definedName>
    <definedName name="lab" localSheetId="2" hidden="1">{#N/A,#N/A,FALSE,"Oil-Based Mud"}</definedName>
    <definedName name="lab" localSheetId="3" hidden="1">{#N/A,#N/A,FALSE,"Oil-Based Mud"}</definedName>
    <definedName name="lab" hidden="1">{#N/A,#N/A,FALSE,"Oil-Based Mud"}</definedName>
    <definedName name="Lbop" localSheetId="2">OFFSET('Processed data_1'!$A$1,COUNTA('Processed data_1'!$J:$J),0)</definedName>
    <definedName name="Lbop">OFFSET('[2]Processed data_1'!$A$1,COUNTA('[2]Processed data_1'!$I:$I),0)</definedName>
    <definedName name="LCMC">OFFSET(LOSS!$A$1,COUNTA(LOSS!$O:$O),0)</definedName>
    <definedName name="LCMM">OFFSET(Mud!$A$1,COUNTA(Mud!$BC:$BC),0)</definedName>
    <definedName name="LCMPV">OFFSET(LOSS!$A$1,COUNTA(LOSS!$N:$N),0)</definedName>
    <definedName name="LDCM">OFFSET(Cementing!$A$1,COUNTA(Cementing!$N:$N),0)</definedName>
    <definedName name="LG" localSheetId="10">OFFSET([2]TBD!$A$1,COUNTA([2]TBD!$P:$P),0)</definedName>
    <definedName name="LG" localSheetId="2">OFFSET([3]TBD!$A$1,COUNTA([3]TBD!$P:$P),0)</definedName>
    <definedName name="LG" localSheetId="3">OFFSET([2]TBD!$A$1,COUNTA([2]TBD!$P:$P),0)</definedName>
    <definedName name="LG">OFFSET(TBD!$A$1,COUNTA(TBD!$P:$P),0)</definedName>
    <definedName name="lgs" localSheetId="2">OFFSET('Processed data_1'!$A$1,COUNTA('Processed data_1'!#REF!),0)</definedName>
    <definedName name="lgs">OFFSET('[2]Processed data_1'!$A$1,COUNTA('[2]Processed data_1'!$AH:$AH),0)</definedName>
    <definedName name="LGSM">OFFSET(Mud!$A$1,COUNTA(Mud!$AG:$AG),0)</definedName>
    <definedName name="LNPT">OFFSET(NPT!$A$1,COUNTA(NPT!$N:$N),0)</definedName>
    <definedName name="LOSS">OFFSET(LOSS!$A$1,COUNTA(LOSS!$I:$I),0)</definedName>
    <definedName name="LOSSA">OFFSET(LOSS!$A$1,COUNTA(LOSS!$J:$J),0)</definedName>
    <definedName name="LOT" localSheetId="2">OFFSET([3]NPT!$A$1,COUNTA([3]NPT!$S:$S),0)</definedName>
    <definedName name="LOT">OFFSET(NPT!$A$1,COUNTA(NPT!$AH:$AH),0)</definedName>
    <definedName name="LPNPT">OFFSET(NPT!$A$1,COUNTA(NPT!$P:$P),0)</definedName>
    <definedName name="LSCS">OFFSET(Casing!$A$1,COUNTA(Casing!#REF!),0)</definedName>
    <definedName name="LST">OFFSET(Geological!$A$1,COUNTA(Geological!$L:$L),0)</definedName>
    <definedName name="LSYPM">OFFSET(Mud!$A$1,COUNTA(Mud!$Q:$Q),0)</definedName>
    <definedName name="Ltid" localSheetId="2">OFFSET('Processed data_1'!$A$1,COUNTA('Processed data_1'!$Q:$Q),0)</definedName>
    <definedName name="Ltid">OFFSET('[2]Processed data_1'!$A$1,COUNTA('[2]Processed data_1'!$Q:$Q),0)</definedName>
    <definedName name="LTLS">OFFSET(Lessons_Learned!$A$1,COUNTA(Lessons_Learned!$L:$L),0)</definedName>
    <definedName name="LTPS">OFFSET(Lessons_Learned!$A$1,COUNTA(Lessons_Learned!$C:$C),0)</definedName>
    <definedName name="LTWL">OFFSET(#REF!,COUNTA(#REF!),0)</definedName>
    <definedName name="LVCM">OFFSET(Cementing!$A$1,COUNTA(Cementing!$Q:$Q),0)</definedName>
    <definedName name="LWD" localSheetId="2">OFFSET([3]NPT!$A$1,COUNTA([3]NPT!$Z:$Z),0)</definedName>
    <definedName name="LWD">OFFSET(NPT!$A$1,COUNTA(NPT!$AO:$AO),0)</definedName>
    <definedName name="M2M">OFFSET(Mud!$A$1,COUNTA(Mud!$AR:$AR),0)</definedName>
    <definedName name="mbt" localSheetId="2">OFFSET('Processed data_1'!$A$1,COUNTA('Processed data_1'!#REF!),0)</definedName>
    <definedName name="mbt">OFFSET('[2]Processed data_1'!$A$1,COUNTA('[2]Processed data_1'!$AG:$AG),0)</definedName>
    <definedName name="MBTM">OFFSET(Mud!$A$1,COUNTA(Mud!$AA:$AA),0)</definedName>
    <definedName name="MC" localSheetId="2">OFFSET([3]NPT!$A$1,COUNTA([3]NPT!$AA:$AA),0)</definedName>
    <definedName name="MC">OFFSET(NPT!$A$1,COUNTA(NPT!$AP:$AP),0)</definedName>
    <definedName name="MCR">OFFSET(#REF!,COUNTA(#REF!),0)</definedName>
    <definedName name="MCSP">OFFSET(#REF!,COUNTA(#REF!),0)</definedName>
    <definedName name="Md" localSheetId="2">OFFSET('Processed data_1'!$A$1,COUNTA('Processed data_1'!$T:$T),0)</definedName>
    <definedName name="Md">OFFSET('[2]Processed data_1'!$A$1,COUNTA('[2]Processed data_1'!$T:$T),0)</definedName>
    <definedName name="MDCM">OFFSET(Cementing!$A$1,COUNTA(Cementing!$L:$L),0)</definedName>
    <definedName name="MDRV">OFFSET(Mud!$A$1,COUNTA(Mud!$BB:$BB),0)</definedName>
    <definedName name="Meterage" localSheetId="2">OFFSET('Processed data_1'!$A$1,COUNTA('Processed data_1'!$H:$H),0)</definedName>
    <definedName name="Meterage">OFFSET('[2]Processed data_1'!$A$1,COUNTA('[2]Processed data_1'!$G:$G),0)</definedName>
    <definedName name="MFB">OFFSET(Bit!$A$1,COUNTA(Bit!$E:$E),0)</definedName>
    <definedName name="MFM">OFFSET(Mud!$A$1,COUNTA(Mud!$AK:$AK),0)</definedName>
    <definedName name="Mil" localSheetId="10">OFFSET([2]TBD!$A$1,COUNTA([2]TBD!$Q:$Q),0)</definedName>
    <definedName name="Mil" localSheetId="2">OFFSET([3]TBD!$A$1,COUNTA([3]TBD!$Q:$Q),0)</definedName>
    <definedName name="Mil" localSheetId="3">OFFSET([2]TBD!$A$1,COUNTA([2]TBD!$Q:$Q),0)</definedName>
    <definedName name="Mil">OFFSET(TBD!$A$1,COUNTA(TBD!$Q:$Q),0)</definedName>
    <definedName name="mine" localSheetId="6">#REF!</definedName>
    <definedName name="mine" localSheetId="15">#REF!</definedName>
    <definedName name="mine" localSheetId="16">#REF!</definedName>
    <definedName name="mine" localSheetId="10">#REF!</definedName>
    <definedName name="mine" localSheetId="2">#REF!</definedName>
    <definedName name="mine" localSheetId="3">#REF!</definedName>
    <definedName name="mine">#REF!</definedName>
    <definedName name="MNF">OFFSET(#REF!,COUNTA(#REF!),0)</definedName>
    <definedName name="MO" localSheetId="2">OFFSET([3]NPT!$A$1,COUNTA([3]NPT!$AB:$AB),0)</definedName>
    <definedName name="MO">OFFSET(NPT!$A$1,COUNTA(NPT!$AQ:$AQ),0)</definedName>
    <definedName name="MOSP">OFFSET(#REF!,COUNTA(#REF!),0)</definedName>
    <definedName name="MRL">OFFSET(Geological!$A$1,COUNTA(Geological!$K:$K),0)</definedName>
    <definedName name="MTG">OFFSET(Bit!$A$1,COUNTA(Bit!$K:$K),0)</definedName>
    <definedName name="MWSP">OFFSET(#REF!,COUNTA(#REF!),0)</definedName>
    <definedName name="MWT">OFFSET(Drilling!$A$1,COUNTA(Drilling!$K:$K),0)</definedName>
    <definedName name="Name" localSheetId="6">#REF!</definedName>
    <definedName name="Name" localSheetId="15">#REF!</definedName>
    <definedName name="Name" localSheetId="16">#REF!</definedName>
    <definedName name="Name" localSheetId="10">#REF!</definedName>
    <definedName name="Name" localSheetId="2">#REF!</definedName>
    <definedName name="Name" localSheetId="3">#REF!</definedName>
    <definedName name="Name">#REF!</definedName>
    <definedName name="NCM">OFFSET(Cementing!$A$1,COUNTA(Cementing!$W:$W),0)</definedName>
    <definedName name="ND" localSheetId="2">OFFSET([3]NPT!$A$1,COUNTA([3]NPT!$AD:$AD),0)</definedName>
    <definedName name="ND">OFFSET(NPT!$A$1,COUNTA(NPT!$AS:$AS),0)</definedName>
    <definedName name="NForm">OFFSET('Processed data_1'!$A$1,COUNTA('Processed data_1'!$M:$M),0)</definedName>
    <definedName name="NHDQ">OFFSET(#REF!,COUNTA(#REF!),0)</definedName>
    <definedName name="NHGQ">OFFSET(#REF!,COUNTA(#REF!),0)</definedName>
    <definedName name="NJCS">OFFSET(Casing!$A$1,COUNTA(Casing!$K:$K),0)</definedName>
    <definedName name="NMQ">OFFSET(#REF!,COUNTA(#REF!),0)</definedName>
    <definedName name="NOZZ">OFFSET(Bit!$A$1,COUNTA(Bit!$O:$O),0)</definedName>
    <definedName name="NP" localSheetId="10">OFFSET([2]TBD!$A$1,COUNTA([2]TBD!$D:$D),0)</definedName>
    <definedName name="NP" localSheetId="2">OFFSET([3]TBD!$A$1,COUNTA([3]TBD!$D:$D),0)</definedName>
    <definedName name="NP" localSheetId="3">OFFSET([2]TBD!$A$1,COUNTA([2]TBD!$D:$D),0)</definedName>
    <definedName name="NP">OFFSET(TBD!$A$1,COUNTA(TBD!$D:$D),0)</definedName>
    <definedName name="NPDetails" localSheetId="2">OFFSET([3]NPT!$A$1,COUNTA([3]NPT!$G:$G),0)</definedName>
    <definedName name="NPDetails">OFFSET(NPT!$A$1,COUNTA(NPT!$V:$V),0)</definedName>
    <definedName name="NPTCLASS">OFFSET(NPT!$A$1,COUNTA(NPT!$D:$D),0)</definedName>
    <definedName name="NPTD" localSheetId="2">OFFSET([3]NPT!$A$1,COUNTA([3]NPT!$C:$C),0)</definedName>
    <definedName name="NPTD">OFFSET(NPT!$A$1,COUNTA(NPT!#REF!),0)</definedName>
    <definedName name="NPTDT">OFFSET(NPT!$A$1,COUNTA(NPT!$V:$V),0)</definedName>
    <definedName name="NS">OFFSET(Survey!$A$1,COUNTA(Survey!$G:$G),0)</definedName>
    <definedName name="NU" localSheetId="2">OFFSET([3]NPT!$A$1,COUNTA([3]NPT!$AC:$AC),0)</definedName>
    <definedName name="NU">OFFSET(NPT!$A$1,COUNTA(NPT!$AR:$AR),0)</definedName>
    <definedName name="Nxtplan" localSheetId="2">OFFSET('Processed data_1'!$A$1,COUNTA('Processed data_1'!$G:$G),0)</definedName>
    <definedName name="Nxtplan">OFFSET('[2]Processed data_1'!$A$1,COUNTA('[2]Processed data_1'!$F:$F),0)</definedName>
    <definedName name="OBP">OFFSET(Reaming!$A$1,COUNTA(Reaming!$M:$M),0)</definedName>
    <definedName name="ODCR">OFFSET(#REF!,COUNTA(#REF!),0)</definedName>
    <definedName name="ODFS">OFFSET(#REF!,COUNTA(#REF!),0)</definedName>
    <definedName name="ODMS">OFFSET(#REF!,COUNTA(#REF!),0)</definedName>
    <definedName name="ODSO">OFFSET(Surface_Ops!$A$1,COUNTA(Surface_Ops!$I:$I),0)</definedName>
    <definedName name="ODTC">OFFSET(#REF!,COUNTA(#REF!),0)</definedName>
    <definedName name="ODWL">OFFSET(#REF!,COUNTA(#REF!),0)</definedName>
    <definedName name="OEMS">OFFSET(#REF!,COUNTA(#REF!),0)</definedName>
    <definedName name="OHCS">OFFSET(Tripping!$A$1,COUNTA(Tripping!$K:$K),0)</definedName>
    <definedName name="OHsize">OFFSET('Processed data_1'!$A$1,COUNTA('Processed data_1'!$B:$B),0)</definedName>
    <definedName name="OL">OFFSET(Mud!$A$1,COUNTA(Mud!$Y:$Y),0)</definedName>
    <definedName name="OLS">OFFSET(Lessons_Learned!$A$1,COUNTA(Lessons_Learned!$E:$E),0)</definedName>
    <definedName name="ONPT">OFFSET(NPT!$A$1,COUNTA(NPT!$R:$R),0)</definedName>
    <definedName name="OPCM">OFFSET(Cementing!$A$1,COUNTA(Cementing!$Y:$Y),0)</definedName>
    <definedName name="OPCS">OFFSET(Casing!$A$1,COUNTA(Casing!$P:$P),0)</definedName>
    <definedName name="OPFS">OFFSET(#REF!,COUNTA(#REF!),0)</definedName>
    <definedName name="OPH" localSheetId="2">OFFSET([3]NPT!$A$1,COUNTA([3]NPT!$AE:$AE),0)</definedName>
    <definedName name="OPH">OFFSET(NPT!$A$1,COUNTA(NPT!$AT:$AT),0)</definedName>
    <definedName name="OPLI">OFFSET(LOSS!$A$1,COUNTA(LOSS!$C:$C),0)</definedName>
    <definedName name="OPLID">OFFSET(LOSS!$A$1,COUNTA(LOSS!$Q:$Q),0)</definedName>
    <definedName name="OPR">OFFSET(Reaming!$A$1,COUNTA(Reaming!$C:$C),0)</definedName>
    <definedName name="Ops" localSheetId="6">#REF!</definedName>
    <definedName name="Ops" localSheetId="15">#REF!</definedName>
    <definedName name="Ops" localSheetId="16">#REF!</definedName>
    <definedName name="Ops" localSheetId="10">#REF!</definedName>
    <definedName name="Ops" localSheetId="2">#REF!</definedName>
    <definedName name="Ops" localSheetId="3">#REF!</definedName>
    <definedName name="Ops">#REF!</definedName>
    <definedName name="OPSD">OFFSET(Tripping!$A$1,COUNTA(Tripping!$N:$N),0)</definedName>
    <definedName name="OPsm">OFFSET('Processed data_1'!$A$1,COUNTA('Processed data_1'!$AA:$AA),0)</definedName>
    <definedName name="OPSO">OFFSET(Surface_Ops!$A$1,COUNTA(Surface_Ops!$C:$C),0)</definedName>
    <definedName name="OPSP">OFFSET(#REF!,COUNTA(#REF!),0)</definedName>
    <definedName name="OPSR">OFFSET(Reaming!$A$1,COUNTA(Reaming!$P:$P),0)</definedName>
    <definedName name="OPT">OFFSET(Tripping!$A$1,COUNTA(Tripping!$C:$C),0)</definedName>
    <definedName name="OSP">OFFSET(#REF!,COUNTA(#REF!),0)</definedName>
    <definedName name="Osum" localSheetId="2">OFFSET('Processed data_1'!$A$1,COUNTA('Processed data_1'!$F:$F),0)</definedName>
    <definedName name="Osum">OFFSET('[2]Processed data_1'!$A$1,COUNTA('[2]Processed data_1'!$E:$E),0)</definedName>
    <definedName name="OTC">OFFSET(#REF!,COUNTA(#REF!),0)</definedName>
    <definedName name="OTH" localSheetId="10">OFFSET([2]TBD!$A$1,COUNTA([2]TBD!$R:$R),0)</definedName>
    <definedName name="OTH" localSheetId="2">OFFSET([3]TBD!$A$1,COUNTA([3]TBD!$R:$R),0)</definedName>
    <definedName name="OTH" localSheetId="3">OFFSET([2]TBD!$A$1,COUNTA([2]TBD!$R:$R),0)</definedName>
    <definedName name="OTH">OFFSET(TBD!$A$1,COUNTA(TBD!$R:$R),0)</definedName>
    <definedName name="OTHT" localSheetId="2">OFFSET([3]NPT!$A$1,COUNTA([3]NPT!$AF:$AF),0)</definedName>
    <definedName name="OTHT">OFFSET(NPT!$A$1,COUNTA(NPT!$AU:$AU),0)</definedName>
    <definedName name="OWL">OFFSET(#REF!,COUNTA(#REF!),0)</definedName>
    <definedName name="P" localSheetId="10">OFFSET([2]TBD!$A$1,COUNTA([2]TBD!$C:$C),0)</definedName>
    <definedName name="P" localSheetId="2">OFFSET([3]TBD!$A$1,COUNTA([3]TBD!$C:$C),0)</definedName>
    <definedName name="P" localSheetId="3">OFFSET([2]TBD!$A$1,COUNTA([2]TBD!$C:$C),0)</definedName>
    <definedName name="P">OFFSET(TBD!$A$1,COUNTA(TBD!$C:$C),0)</definedName>
    <definedName name="Pb" localSheetId="2">OFFSET('Processed data_1'!$A$1,COUNTA('Processed data_1'!$N:$N),0)</definedName>
    <definedName name="Pb">OFFSET('[2]Processed data_1'!$A$1,COUNTA('[2]Processed data_1'!$L:$L),0)</definedName>
    <definedName name="PFM">OFFSET(Mud!$A$1,COUNTA(Mud!$AJ:$AJ),0)</definedName>
    <definedName name="PFR" localSheetId="10">OFFSET([2]TBD!$A$1,COUNTA([2]TBD!$T:$T),0)</definedName>
    <definedName name="PFR" localSheetId="2">OFFSET([3]TBD!$A$1,COUNTA([3]TBD!$T:$T),0)</definedName>
    <definedName name="PFR" localSheetId="3">OFFSET([2]TBD!$A$1,COUNTA([2]TBD!$T:$T),0)</definedName>
    <definedName name="PFR">OFFSET(TBD!$A$1,COUNTA(TBD!$T:$T),0)</definedName>
    <definedName name="PH" localSheetId="2">OFFSET([3]NPT!$A$1,COUNTA([3]NPT!$AG:$AG),0)</definedName>
    <definedName name="PH">OFFSET(NPT!$A$1,COUNTA(NPT!$AV:$AV),0)</definedName>
    <definedName name="PHM">OFFSET(Mud!$A$1,COUNTA(Mud!$AC:$AC),0)</definedName>
    <definedName name="PJ" localSheetId="2">OFFSET([3]NPT!$A$1,COUNTA([3]NPT!$AH:$AH),0)</definedName>
    <definedName name="PJ">OFFSET(NPT!$A$1,COUNTA(NPT!$AW:$AW),0)</definedName>
    <definedName name="PlaV" localSheetId="2">OFFSET('Processed data_1'!$A$1,COUNTA('Processed data_1'!#REF!),0)</definedName>
    <definedName name="PlaV">OFFSET('[2]Processed data_1'!$A$1,COUNTA('[2]Processed data_1'!$Z:$Z),0)</definedName>
    <definedName name="PLS">OFFSET(Lessons_Learned!$A$1,COUNTA(Lessons_Learned!$H:$H),0)</definedName>
    <definedName name="PMM">OFFSET(Mud!$A$1,COUNTA(Mud!$AI:$AI),0)</definedName>
    <definedName name="PMP" localSheetId="2">OFFSET([3]NPT!$A$1,COUNTA([3]NPT!$AJ:$AJ),0)</definedName>
    <definedName name="PMP">OFFSET(NPT!$A$1,COUNTA(NPT!$AY:$AY),0)</definedName>
    <definedName name="PMSP">OFFSET(#REF!,COUNTA(#REF!),0)</definedName>
    <definedName name="poqa" localSheetId="10" hidden="1">{#N/A,#N/A,FALSE,"Oil-Based Mud"}</definedName>
    <definedName name="poqa" localSheetId="2" hidden="1">{#N/A,#N/A,FALSE,"Oil-Based Mud"}</definedName>
    <definedName name="poqa" localSheetId="3" hidden="1">{#N/A,#N/A,FALSE,"Oil-Based Mud"}</definedName>
    <definedName name="poqa" hidden="1">{#N/A,#N/A,FALSE,"Oil-Based Mud"}</definedName>
    <definedName name="POW" localSheetId="2">OFFSET([3]NPT!$A$1,COUNTA([3]NPT!$AK:$AK),0)</definedName>
    <definedName name="POW">OFFSET(NPT!$A$1,COUNTA(NPT!$AZ:$AZ),0)</definedName>
    <definedName name="PPAM">OFFSET(Mud!$A$1,COUNTA(Mud!$AQ:$AQ),0)</definedName>
    <definedName name="Prdc" localSheetId="2">OFFSET('Processed data_1'!$A$1,COUNTA('Processed data_1'!#REF!),0)</definedName>
    <definedName name="Prdc">OFFSET('[2]Processed data_1'!$A$1,COUNTA('[2]Processed data_1'!$O:$O),0)</definedName>
    <definedName name="Prl" localSheetId="2">OFFSET('Processed data_1'!$A$1,COUNTA('Processed data_1'!#REF!),0)</definedName>
    <definedName name="Prl">OFFSET('[2]Processed data_1'!$A$1,COUNTA('[2]Processed data_1'!$P:$P),0)</definedName>
    <definedName name="PSCM">OFFSET(Cementing!$A$1,COUNTA(Cementing!$D:$D),0)</definedName>
    <definedName name="PTT" localSheetId="2">OFFSET([3]NPT!$A$1,COUNTA([3]NPT!$AI:$AI),0)</definedName>
    <definedName name="PTT">OFFSET(NPT!$A$1,COUNTA(NPT!$AX:$AX),0)</definedName>
    <definedName name="PVM">OFFSET(Mud!$A$1,COUNTA(Mud!$O:$O),0)</definedName>
    <definedName name="QHI">OFFSET(#REF!,COUNTA(#REF!),0)</definedName>
    <definedName name="QHIN">OFFSET(#REF!,COUNTA(#REF!),0)</definedName>
    <definedName name="QTMS">OFFSET(#REF!,COUNTA(#REF!),0)</definedName>
    <definedName name="RALS">OFFSET(Lessons_Learned!$A$1,COUNTA(Lessons_Learned!$I:$I),0)</definedName>
    <definedName name="RB" localSheetId="2">OFFSET([3]NPT!$A$1,COUNTA([3]NPT!$AL:$AL),0)</definedName>
    <definedName name="RB">OFFSET(NPT!$A$1,COUNTA(NPT!$BA:$BA),0)</definedName>
    <definedName name="RCLS">OFFSET(Lessons_Learned!$A$1,COUNTA(Lessons_Learned!$J:$J),0)</definedName>
    <definedName name="RCM">OFFSET(Cementing!$A$1,COUNTA(Cementing!$X:$X),0)</definedName>
    <definedName name="RCR">OFFSET(#REF!,COUNTA(#REF!),0)</definedName>
    <definedName name="RD" localSheetId="2">OFFSET([3]NPT!$A$1,COUNTA([3]NPT!$AM:$AM),0)</definedName>
    <definedName name="RD">OFFSET(NPT!$A$1,COUNTA(NPT!$BB:$BB),0)</definedName>
    <definedName name="RDMS">OFFSET(#REF!,COUNTA(#REF!),0)</definedName>
    <definedName name="REA" localSheetId="2">OFFSET([3]NPT!$A$1,COUNTA([3]NPT!$AO:$AO),0)</definedName>
    <definedName name="REA">OFFSET(NPT!$A$1,COUNTA(NPT!$BD:$BD),0)</definedName>
    <definedName name="RF">OFFSET(Reaming!$A$1,COUNTA(Reaming!$I:$I),0)</definedName>
    <definedName name="RFS">OFFSET(#REF!,COUNTA(#REF!),0)</definedName>
    <definedName name="RMS">OFFSET(#REF!,COUNTA(#REF!),0)</definedName>
    <definedName name="RMTR">OFFSET(Mud!$A$1,COUNTA(Mud!$BQ:$BQ),0)</definedName>
    <definedName name="RPOOH">OFFSET(Bit!$A$1,COUNTA(Bit!#REF!),0)</definedName>
    <definedName name="RR" localSheetId="10">OFFSET([2]TBD!$A$1,COUNTA([2]TBD!$U:$U),0)</definedName>
    <definedName name="RR" localSheetId="2">OFFSET([3]TBD!$A$1,COUNTA([3]TBD!$U:$U),0)</definedName>
    <definedName name="RR" localSheetId="3">OFFSET([2]TBD!$A$1,COUNTA([2]TBD!$U:$U),0)</definedName>
    <definedName name="RR">OFFSET(TBD!$A$1,COUNTA(TBD!$U:$U),0)</definedName>
    <definedName name="RSM">OFFSET(Mud!$A$1,COUNTA(Mud!$AZ:$AZ),0)</definedName>
    <definedName name="RSPOOH">OFFSET(#REF!,COUNTA(#REF!),0)</definedName>
    <definedName name="rt" localSheetId="10" hidden="1">{#N/A,#N/A,FALSE,"Oil-Based Mud"}</definedName>
    <definedName name="rt" localSheetId="2" hidden="1">{#N/A,#N/A,FALSE,"Oil-Based Mud"}</definedName>
    <definedName name="rt" localSheetId="3" hidden="1">{#N/A,#N/A,FALSE,"Oil-Based Mud"}</definedName>
    <definedName name="rt" hidden="1">{#N/A,#N/A,FALSE,"Oil-Based Mud"}</definedName>
    <definedName name="RTM">OFFSET(Reaming!$A$1,COUNTA(Reaming!$J:$J),0)</definedName>
    <definedName name="RU" localSheetId="2">OFFSET([3]NPT!$A$1,COUNTA([3]NPT!$AN:$AN),0)</definedName>
    <definedName name="RU">OFFSET(NPT!$A$1,COUNTA(NPT!$BC:$BC),0)</definedName>
    <definedName name="RVPM">OFFSET(Drilling!$A$1,COUNTA(Drilling!$H:$H),0)</definedName>
    <definedName name="SAC" localSheetId="2">OFFSET([3]NPT!$A$1,COUNTA([3]NPT!$AP:$AP),0)</definedName>
    <definedName name="SAC">OFFSET(NPT!$A$1,COUNTA(NPT!$BE:$BE),0)</definedName>
    <definedName name="Sazi" localSheetId="10">OFFSET(NPT!#REF!,COUNTA(NPT!#REF!),0)</definedName>
    <definedName name="Sazi" localSheetId="2">OFFSET([3]Survey!$A$1,COUNTA([3]Survey!$D:$D),0)</definedName>
    <definedName name="Sazi">OFFSET(Survey!$A$1,COUNTA(Survey!$F:$F),0)</definedName>
    <definedName name="Sc" localSheetId="2">OFFSET('Processed data_1'!$A$1,COUNTA('Processed data_1'!$O:$O),0)</definedName>
    <definedName name="Sc">OFFSET('[2]Processed data_1'!$A$1,COUNTA('[2]Processed data_1'!$M:$M),0)</definedName>
    <definedName name="Scc" localSheetId="2">OFFSET([3]NPT!$A$1,COUNTA([3]NPT!$B:$B),0)</definedName>
    <definedName name="Scc">OFFSET(NPT!$A$1,COUNTA(NPT!$B:$B),0)</definedName>
    <definedName name="SCCA">OFFSET(#REF!,COUNTA(#REF!),0)</definedName>
    <definedName name="SCCQ">OFFSET(#REF!,COUNTA(#REF!),0)</definedName>
    <definedName name="SCD">OFFSET(#REF!,COUNTA(#REF!),0)</definedName>
    <definedName name="SCE" localSheetId="2">OFFSET([3]NPT!$A$1,COUNTA([3]NPT!$AT:$AT),0)</definedName>
    <definedName name="SCE">OFFSET(NPT!$A$1,COUNTA(NPT!$BI:$BI),0)</definedName>
    <definedName name="SCL">OFFSET(#REF!,COUNTA(#REF!),0)</definedName>
    <definedName name="SCM">OFFSET(Mud!$A$1,COUNTA(Mud!$B:$B),0)</definedName>
    <definedName name="SCO">OFFSET(#REF!,COUNTA(#REF!),0)</definedName>
    <definedName name="SCQH">OFFSET(#REF!,COUNTA(#REF!),0)</definedName>
    <definedName name="SDCM">OFFSET(Cementing!$A$1,COUNTA(Cementing!$M:$M),0)</definedName>
    <definedName name="Sdepth" localSheetId="10">OFFSET(NPT!#REF!,COUNTA(NPT!$A:$A),0)</definedName>
    <definedName name="Sdepth" localSheetId="2">OFFSET([3]Survey!$A$1,COUNTA([3]Survey!$A:$A),0)</definedName>
    <definedName name="Sdepth">OFFSET(Survey!$A$1,COUNTA(Survey!$C:$C),0)</definedName>
    <definedName name="SDGL">OFFSET(Geological!$A$1,COUNTA(Geological!$O:$O),0)</definedName>
    <definedName name="SDLI">OFFSET(#REF!,COUNTA(#REF!),0)</definedName>
    <definedName name="SDMS">OFFSET(#REF!,COUNTA(#REF!),0)</definedName>
    <definedName name="SDQH">OFFSET(#REF!,COUNTA(#REF!),0)</definedName>
    <definedName name="SDS">OFFSET(Mud!$A$1,COUNTA(Mud!$X:$X),0)</definedName>
    <definedName name="Sec" localSheetId="10">OFFSET([2]TBD!$A$1,COUNTA([2]TBD!$B:$B),0)</definedName>
    <definedName name="Sec" localSheetId="2">OFFSET([3]TBD!$A$1,COUNTA([3]TBD!$B:$B),0)</definedName>
    <definedName name="Sec" localSheetId="3">OFFSET([2]TBD!$A$1,COUNTA([2]TBD!$B:$B),0)</definedName>
    <definedName name="Sec">OFFSET(TBD!$A$1,COUNTA(TBD!$B:$B),0)</definedName>
    <definedName name="SEGL">OFFSET(Geological!$A$1,COUNTA(Geological!$E:$E),0)</definedName>
    <definedName name="Services" localSheetId="2">OFFSET([3]NPT!$A$1,COUNTA([3]NPT!$E:$E),0)</definedName>
    <definedName name="Services">OFFSET(NPT!$A$1,COUNTA(NPT!$D:$D),0)</definedName>
    <definedName name="SFNPT">OFFSET(NPT!$A$1,COUNTA(NPT!$K:$K),0)</definedName>
    <definedName name="SH1S">OFFSET(Mud!$A$1,COUNTA(Mud!$BI:$BI),0)</definedName>
    <definedName name="SH2S">OFFSET(Mud!$A$1,COUNTA(Mud!#REF!),0)</definedName>
    <definedName name="SH3S">OFFSET(Mud!$A$1,COUNTA(Mud!#REF!),0)</definedName>
    <definedName name="SHL">OFFSET(Geological!$A$1,COUNTA(Geological!$J:$J),0)</definedName>
    <definedName name="SHLS">OFFSET(Mud!$A$1,COUNTA(Mud!$BD:$BD),0)</definedName>
    <definedName name="SI" localSheetId="2">OFFSET([3]NPT!$A$1,COUNTA([3]NPT!$AQ:$AQ),0)</definedName>
    <definedName name="SI">OFFSET(NPT!$A$1,COUNTA(NPT!$BF:$BF),0)</definedName>
    <definedName name="Sinc" localSheetId="10">OFFSET(NPT!#REF!,COUNTA(NPT!#REF!),0)</definedName>
    <definedName name="Sinc" localSheetId="2">OFFSET([3]Survey!$A$1,COUNTA([3]Survey!$C:$C),0)</definedName>
    <definedName name="Sinc">OFFSET(Survey!$A$1,COUNTA(Survey!$E:$E),0)</definedName>
    <definedName name="SIWL">OFFSET(#REF!,COUNTA(#REF!),0)</definedName>
    <definedName name="SIXRPM" localSheetId="2">OFFSET('Processed data_1'!$A$1,COUNTA('Processed data_1'!#REF!),0)</definedName>
    <definedName name="SIXRPM">OFFSET('[2]Processed data_1'!$A$1,COUNTA('[2]Processed data_1'!$AB:$AB),0)</definedName>
    <definedName name="SLH">OFFSET(#REF!,COUNTA(#REF!),0)</definedName>
    <definedName name="SLI">OFFSET(LOSS!$A$1,COUNTA(LOSS!$E:$E),0)</definedName>
    <definedName name="SLS">OFFSET(Lessons_Learned!$A$1,COUNTA(Lessons_Learned!$K:$K),0)</definedName>
    <definedName name="SM" localSheetId="2">OFFSET([3]NPT!$A$1,COUNTA([3]NPT!$AR:$AR),0)</definedName>
    <definedName name="SM">OFFSET(NPT!$A$1,COUNTA(NPT!$BG:$BG),0)</definedName>
    <definedName name="SMLI">OFFSET(#REF!,COUNTA(#REF!),0)</definedName>
    <definedName name="SMS">OFFSET(#REF!,COUNTA(#REF!),0)</definedName>
    <definedName name="SNDM">OFFSET(Mud!$A$1,COUNTA(Mud!$AB:$AB),0)</definedName>
    <definedName name="SO" localSheetId="2">OFFSET([3]NPT!$A$1,COUNTA([3]NPT!$AS:$AS),0)</definedName>
    <definedName name="SO">OFFSET(NPT!$A$1,COUNTA(NPT!$BH:$BH),0)</definedName>
    <definedName name="SPCR">OFFSET(#REF!,COUNTA(#REF!),0)</definedName>
    <definedName name="SPNPT">OFFSET(NPT!$A$1,COUNTA(NPT!$L:$L),0)</definedName>
    <definedName name="SQH">OFFSET(#REF!,COUNTA(#REF!),0)</definedName>
    <definedName name="SR">OFFSET(Reaming!$A$1,COUNTA(Reaming!$E:$E),0)</definedName>
    <definedName name="SRN">OFFSET(Bit!$A$1,COUNTA(Bit!$H:$H),0)</definedName>
    <definedName name="SRNO">OFFSET(#REF!,COUNTA(#REF!),0)</definedName>
    <definedName name="SS">OFFSET(Geological!$A$1,COUNTA(Geological!$G:$G),0)</definedName>
    <definedName name="SSGL">OFFSET(Geological!$A$1,COUNTA(Geological!$D:$D),0)</definedName>
    <definedName name="SST">OFFSET(Geological!$A$1,COUNTA(Geological!$I:$I),0)</definedName>
    <definedName name="ST">OFFSET(Tripping!$A$1,COUNTA(Tripping!$E:$E),0)</definedName>
    <definedName name="STC">OFFSET(Casing!$A$1,COUNTA(Casing!$E:$E),0)</definedName>
    <definedName name="STCM">OFFSET(Cementing!$A$1,COUNTA(Cementing!$F:$F),0)</definedName>
    <definedName name="STCR">OFFSET(#REF!,COUNTA(#REF!),0)</definedName>
    <definedName name="STDPP">OFFSET(Drilling!$A$1,COUNTA(Drilling!$J:$J),0)</definedName>
    <definedName name="STFS">OFFSET(#REF!,COUNTA(#REF!),0)</definedName>
    <definedName name="STSC">OFFSET(#REF!,COUNTA(#REF!),0)</definedName>
    <definedName name="STSO">OFFSET(Surface_Ops!$A$1,COUNTA(Surface_Ops!$E:$E),0)</definedName>
    <definedName name="STSP">OFFSET(#REF!,COUNTA(#REF!),0)</definedName>
    <definedName name="STTC">OFFSET(#REF!,COUNTA(#REF!),0)</definedName>
    <definedName name="Stvd" localSheetId="10">OFFSET(NPT!#REF!,COUNTA(NPT!$B:$B),0)</definedName>
    <definedName name="Stvd" localSheetId="2">OFFSET([3]Survey!$A$1,COUNTA([3]Survey!$B:$B),0)</definedName>
    <definedName name="Stvd">OFFSET(Survey!$A$1,COUNTA(Survey!$D:$D),0)</definedName>
    <definedName name="STWL">OFFSET(#REF!,COUNTA(#REF!),0)</definedName>
    <definedName name="Stype" localSheetId="6">OFFSET(Survey!$C$1,COUNTA(Survey!#REF!),0)</definedName>
    <definedName name="Stype" localSheetId="15">OFFSET(Survey!$C$1,COUNTA(Survey!#REF!),0)</definedName>
    <definedName name="Stype" localSheetId="16">OFFSET(Survey!$C$1,COUNTA(Survey!#REF!),0)</definedName>
    <definedName name="Stype" localSheetId="10">OFFSET(NPT!#REF!,COUNTA(NPT!$D:$D),0)</definedName>
    <definedName name="Stype" localSheetId="2">OFFSET([3]Survey!$A$1,COUNTA([3]Survey!$E:$E),0)</definedName>
    <definedName name="Stype">OFFSET(Survey!$A$1,COUNTA(Survey!$J:$J),0)</definedName>
    <definedName name="SUCM">OFFSET(Cementing!$A$1,COUNTA(Cementing!$V:$V),0)</definedName>
    <definedName name="Sum_1">'[4]Cost Control Worksheet'!$DE$6</definedName>
    <definedName name="Sum_1.1" localSheetId="6">#REF!</definedName>
    <definedName name="Sum_1.1" localSheetId="15">#REF!</definedName>
    <definedName name="Sum_1.1" localSheetId="16">#REF!</definedName>
    <definedName name="Sum_1.1" localSheetId="10">#REF!</definedName>
    <definedName name="Sum_1.1" localSheetId="2">#REF!</definedName>
    <definedName name="Sum_1.1" localSheetId="3">#REF!</definedName>
    <definedName name="Sum_1.1">#REF!</definedName>
    <definedName name="Sum_11" localSheetId="6">#REF!</definedName>
    <definedName name="Sum_11" localSheetId="15">#REF!</definedName>
    <definedName name="Sum_11" localSheetId="16">#REF!</definedName>
    <definedName name="Sum_11" localSheetId="10">#REF!</definedName>
    <definedName name="Sum_11" localSheetId="2">#REF!</definedName>
    <definedName name="Sum_11" localSheetId="3">#REF!</definedName>
    <definedName name="Sum_11">#REF!</definedName>
    <definedName name="Sum_2">'[4]Cost Control Worksheet'!$DE$10</definedName>
    <definedName name="SUR" localSheetId="10">OFFSET([2]TBD!$A$1,COUNTA([2]TBD!$X:$X),0)</definedName>
    <definedName name="SUR" localSheetId="2">OFFSET([3]TBD!$A$1,COUNTA([3]TBD!$X:$X),0)</definedName>
    <definedName name="SUR" localSheetId="3">OFFSET([2]TBD!$A$1,COUNTA([2]TBD!$X:$X),0)</definedName>
    <definedName name="SUR">OFFSET(TBD!$A$1,COUNTA(TBD!$X:$X),0)</definedName>
    <definedName name="SUSP" localSheetId="10">OFFSET([2]TBD!$A$1,COUNTA([2]TBD!$V:$V),0)</definedName>
    <definedName name="SUSP" localSheetId="2">OFFSET([3]TBD!$A$1,COUNTA([3]TBD!$V:$V),0)</definedName>
    <definedName name="SUSP" localSheetId="3">OFFSET([2]TBD!$A$1,COUNTA([2]TBD!$V:$V),0)</definedName>
    <definedName name="SUSP">OFFSET(TBD!$A$1,COUNTA(TBD!$V:$V),0)</definedName>
    <definedName name="SVCM">OFFSET(Cementing!$A$1,COUNTA(Cementing!$P:$P),0)</definedName>
    <definedName name="SZE">OFFSET(#REF!,COUNTA(#REF!),0)</definedName>
    <definedName name="SZMS">OFFSET(#REF!,COUNTA(#REF!),0)</definedName>
    <definedName name="t" localSheetId="10" hidden="1">{#N/A,#N/A,FALSE,"Oil-Based Mud"}</definedName>
    <definedName name="t" localSheetId="2" hidden="1">{#N/A,#N/A,FALSE,"Oil-Based Mud"}</definedName>
    <definedName name="t" localSheetId="3" hidden="1">{#N/A,#N/A,FALSE,"Oil-Based Mud"}</definedName>
    <definedName name="t" hidden="1">{#N/A,#N/A,FALSE,"Oil-Based Mud"}</definedName>
    <definedName name="TB">OFFSET(Bit!$A$1,COUNTA(Bit!$F:$F),0)</definedName>
    <definedName name="TCL" localSheetId="2">OFFSET([3]NPT!$A$1,COUNTA([3]NPT!$AV:$AV),0)</definedName>
    <definedName name="TCL">OFFSET(NPT!$A$1,COUNTA(NPT!$BK:$BK),0)</definedName>
    <definedName name="TCR">OFFSET(#REF!,COUNTA(#REF!),0)</definedName>
    <definedName name="TDCM">OFFSET(Cementing!$A$1,COUNTA(Cementing!$O:$O),0)</definedName>
    <definedName name="TDS" localSheetId="2">OFFSET([3]NPT!$A$1,COUNTA([3]NPT!$AW:$AW),0)</definedName>
    <definedName name="TDS">OFFSET(NPT!$A$1,COUNTA(NPT!$BL:$BL),0)</definedName>
    <definedName name="temp" localSheetId="10" hidden="1">{#N/A,#N/A,FALSE,"Oil-Based Mud"}</definedName>
    <definedName name="temp" localSheetId="2" hidden="1">{#N/A,#N/A,FALSE,"Oil-Based Mud"}</definedName>
    <definedName name="temp" localSheetId="3" hidden="1">{#N/A,#N/A,FALSE,"Oil-Based Mud"}</definedName>
    <definedName name="temp" hidden="1">{#N/A,#N/A,FALSE,"Oil-Based Mud"}</definedName>
    <definedName name="Test" localSheetId="10">{#N/A,#N/A,FALSE,"Oil-Based Mud"}</definedName>
    <definedName name="Test" localSheetId="2">{#N/A,#N/A,FALSE,"Oil-Based Mud"}</definedName>
    <definedName name="Test" localSheetId="3">{#N/A,#N/A,FALSE,"Oil-Based Mud"}</definedName>
    <definedName name="Test">{#N/A,#N/A,FALSE,"Oil-Based Mud"}</definedName>
    <definedName name="TFA">OFFSET(Bit!$A$1,COUNTA(Bit!$P:$P),0)</definedName>
    <definedName name="TFCS">OFFSET(Casing!$A$1,COUNTA(Casing!$I:$I),0)</definedName>
    <definedName name="Tfrom">OFFSET(Tripping!$A$1,COUNTA(Tripping!$I:$I),0)</definedName>
    <definedName name="TFS">OFFSET(#REF!,COUNTA(#REF!),0)</definedName>
    <definedName name="TFTC">OFFSET(#REF!,COUNTA(#REF!),0)</definedName>
    <definedName name="THNPT">OFFSET(NPT!$A$1,COUNTA(NPT!$H:$H),0)</definedName>
    <definedName name="THREERPM" localSheetId="2">OFFSET('Processed data_1'!$A$1,COUNTA('Processed data_1'!#REF!),0)</definedName>
    <definedName name="THREERPM">OFFSET('[2]Processed data_1'!$A$1,COUNTA('[2]Processed data_1'!$AC:$AC),0)</definedName>
    <definedName name="TJID">OFFSET(#REF!,COUNTA(#REF!),0)</definedName>
    <definedName name="TMP">OFFSET(Mud!$A$1,COUNTA(Mud!$F:$F),0)</definedName>
    <definedName name="to" localSheetId="6">#REF!</definedName>
    <definedName name="to" localSheetId="15">#REF!</definedName>
    <definedName name="to" localSheetId="16">#REF!</definedName>
    <definedName name="to" localSheetId="10">#REF!</definedName>
    <definedName name="to" localSheetId="2">#REF!</definedName>
    <definedName name="to" localSheetId="3">#REF!</definedName>
    <definedName name="to">#REF!</definedName>
    <definedName name="TOCR">OFFSET(#REF!,COUNTA(#REF!),0)</definedName>
    <definedName name="TOQ">OFFSET(Drilling!$A$1,COUNTA(Drilling!$G:$G),0)</definedName>
    <definedName name="TRA" localSheetId="2">OFFSET([3]NPT!$A$1,COUNTA([3]NPT!$AX:$AX),0)</definedName>
    <definedName name="TRA">OFFSET(NPT!$A$1,COUNTA(NPT!$BM:$BM),0)</definedName>
    <definedName name="TRI" localSheetId="2">OFFSET([3]NPT!$A$1,COUNTA([3]NPT!$AY:$AY),0)</definedName>
    <definedName name="TRI">OFFSET(NPT!$A$1,COUNTA(NPT!$BN:$BN),0)</definedName>
    <definedName name="TripT">OFFSET(Casing!$A$1,COUNTA(Casing!$L:$L),0)</definedName>
    <definedName name="TS" localSheetId="2">OFFSET([3]NPT!$A$1,COUNTA([3]NPT!$AU:$AU),0)</definedName>
    <definedName name="TS">OFFSET(NPT!$A$1,COUNTA(NPT!$BJ:$BJ),0)</definedName>
    <definedName name="TSP">OFFSET(Reaming!$A$1,COUNTA(Reaming!$N:$N),0)</definedName>
    <definedName name="TST" localSheetId="10">OFFSET([2]TBD!$A$1,COUNTA([2]TBD!$Y:$Y),0)</definedName>
    <definedName name="TST" localSheetId="2">OFFSET([3]TBD!$A$1,COUNTA([3]TBD!$Y:$Y),0)</definedName>
    <definedName name="TST" localSheetId="3">OFFSET([2]TBD!$A$1,COUNTA([2]TBD!$Y:$Y),0)</definedName>
    <definedName name="TST">OFFSET(TBD!$A$1,COUNTA(TBD!$Y:$Y),0)</definedName>
    <definedName name="tt" localSheetId="10" hidden="1">{#N/A,#N/A,FALSE,"Oil-Based Mud"}</definedName>
    <definedName name="tt" localSheetId="2" hidden="1">{#N/A,#N/A,FALSE,"Oil-Based Mud"}</definedName>
    <definedName name="tt" localSheetId="3" hidden="1">{#N/A,#N/A,FALSE,"Oil-Based Mud"}</definedName>
    <definedName name="tt" hidden="1">{#N/A,#N/A,FALSE,"Oil-Based Mud"}</definedName>
    <definedName name="TTC">OFFSET(#REF!,COUNTA(#REF!),0)</definedName>
    <definedName name="TTCS">OFFSET(Casing!$A$1,COUNTA(Casing!$J:$J),0)</definedName>
    <definedName name="TTFS">OFFSET(#REF!,COUNTA(#REF!),0)</definedName>
    <definedName name="Tto">OFFSET(Tripping!$A$1,COUNTA(Tripping!$J:$J),0)</definedName>
    <definedName name="TVCM">OFFSET(Cementing!$A$1,COUNTA(Cementing!$R:$R),0)</definedName>
    <definedName name="UDCM">OFFSET(Cementing!$A$1,COUNTA(Cementing!$T:$T),0)</definedName>
    <definedName name="UFE">OFFSET(Mud!$A$1,COUNTA(Mud!$AN:$AN),0)</definedName>
    <definedName name="UTHB">OFFSET(Mud!$A$1,COUNTA(Mud!$AM:$AM),0)</definedName>
    <definedName name="WAS" localSheetId="2">OFFSET([3]NPT!$A$1,COUNTA([3]NPT!$BD:$BD),0)</definedName>
    <definedName name="WAS">OFFSET(NPT!$A$1,COUNTA(NPT!$BS:$BS),0)</definedName>
    <definedName name="Wat" localSheetId="2">OFFSET('Processed data_1'!$A$1,COUNTA('Processed data_1'!$W:$W),0)</definedName>
    <definedName name="Wat">OFFSET('[2]Processed data_1'!$A$1,COUNTA('[2]Processed data_1'!$W:$W),0)</definedName>
    <definedName name="WATER">OFFSET(Mud!$A$1,COUNTA(Mud!$Z:$Z),0)</definedName>
    <definedName name="WB" localSheetId="2">OFFSET([3]NPT!$A$1,COUNTA([3]NPT!$BE:$BE),0)</definedName>
    <definedName name="WB">OFFSET(NPT!$A$1,COUNTA(NPT!$BT:$BT),0)</definedName>
    <definedName name="WC" localSheetId="10">OFFSET([2]TBD!$A$1,COUNTA([2]TBD!$Z:$Z),0)</definedName>
    <definedName name="WC" localSheetId="2">OFFSET([3]TBD!$A$1,COUNTA([3]TBD!$Z:$Z),0)</definedName>
    <definedName name="WC" localSheetId="3">OFFSET([2]TBD!$A$1,COUNTA([2]TBD!$Z:$Z),0)</definedName>
    <definedName name="WC">OFFSET(TBD!$A$1,COUNTA(TBD!$Z:$Z),0)</definedName>
    <definedName name="WCNPT">OFFSET(NPT!$A$1,COUNTA(NPT!$O:$O),0)</definedName>
    <definedName name="WCO" localSheetId="10">OFFSET([2]TBD!$A$1,COUNTA([2]TBD!$S:$S),0)</definedName>
    <definedName name="WCO" localSheetId="2">OFFSET([3]TBD!$A$1,COUNTA([3]TBD!$S:$S),0)</definedName>
    <definedName name="WCO" localSheetId="3">OFFSET([2]TBD!$A$1,COUNTA([2]TBD!$S:$S),0)</definedName>
    <definedName name="WCO">OFFSET(TBD!$A$1,COUNTA(TBD!$S:$S),0)</definedName>
    <definedName name="Wcost" localSheetId="2">OFFSET('Processed data_1'!$A$1,COUNTA('Processed data_1'!$K:$K),0)</definedName>
    <definedName name="Wcost">OFFSET('[2]Processed data_1'!$A$1,COUNTA('[2]Processed data_1'!$J:$J),0)</definedName>
    <definedName name="WCR">OFFSET(#REF!,COUNTA(#REF!),0)</definedName>
    <definedName name="WE" localSheetId="10">OFFSET([2]TBD!$A$1,COUNTA([2]TBD!$AA:$AA),0)</definedName>
    <definedName name="WE" localSheetId="2">OFFSET([3]TBD!$A$1,COUNTA([3]TBD!$AA:$AA),0)</definedName>
    <definedName name="WE" localSheetId="3">OFFSET([2]TBD!$A$1,COUNTA([2]TBD!$AA:$AA),0)</definedName>
    <definedName name="WE">OFFSET(TBD!$A$1,COUNTA(TBD!$AA:$AA),0)</definedName>
    <definedName name="WET" localSheetId="2">OFFSET([3]NPT!$A$1,COUNTA([3]NPT!$AZ:$AZ),0)</definedName>
    <definedName name="WET">OFFSET(NPT!$A$1,COUNTA(NPT!$BO:$BO),0)</definedName>
    <definedName name="WHW" localSheetId="2">OFFSET([3]NPT!$A$1,COUNTA([3]NPT!$BF:$BF),0)</definedName>
    <definedName name="WHW">OFFSET(NPT!$A$1,COUNTA(NPT!$BU:$BU),0)</definedName>
    <definedName name="WL" localSheetId="2">OFFSET([3]NPT!$A$1,COUNTA([3]NPT!$BA:$BA),0)</definedName>
    <definedName name="WL">OFFSET(NPT!$A$1,COUNTA(NPT!$BP:$BP),0)</definedName>
    <definedName name="WO" localSheetId="10">OFFSET([2]TBD!$A$1,COUNTA([2]TBD!$AB:$AB),0)</definedName>
    <definedName name="WO" localSheetId="2">OFFSET([3]TBD!$A$1,COUNTA([3]TBD!$AB:$AB),0)</definedName>
    <definedName name="WO" localSheetId="3">OFFSET([2]TBD!$A$1,COUNTA([2]TBD!$AB:$AB),0)</definedName>
    <definedName name="WO">OFFSET(TBD!$A$1,COUNTA(TBD!$AB:$AB),0)</definedName>
    <definedName name="WP" localSheetId="2">OFFSET([3]NPT!$A$1,COUNTA([3]NPT!$BB:$BB),0)</definedName>
    <definedName name="WP">OFFSET(NPT!$A$1,COUNTA(NPT!$BQ:$BQ),0)</definedName>
    <definedName name="WPQH">OFFSET(#REF!,COUNTA(#REF!),0)</definedName>
    <definedName name="wrn.OBM." localSheetId="10" hidden="1">{#N/A,#N/A,FALSE,"Oil-Based Mud"}</definedName>
    <definedName name="wrn.OBM." localSheetId="2" hidden="1">{#N/A,#N/A,FALSE,"Oil-Based Mud"}</definedName>
    <definedName name="wrn.OBM." localSheetId="3" hidden="1">{#N/A,#N/A,FALSE,"Oil-Based Mud"}</definedName>
    <definedName name="wrn.OBM." hidden="1">{#N/A,#N/A,FALSE,"Oil-Based Mud"}</definedName>
    <definedName name="WS" localSheetId="10">OFFSET([2]TBD!$A$1,COUNTA([2]TBD!$AD:$AD),0)</definedName>
    <definedName name="WS" localSheetId="2">OFFSET([3]TBD!$A$1,COUNTA([3]TBD!$AD:$AD),0)</definedName>
    <definedName name="WS" localSheetId="3">OFFSET([2]TBD!$A$1,COUNTA([2]TBD!$AD:$AD),0)</definedName>
    <definedName name="WS">OFFSET(TBD!$A$1,COUNTA(TBD!$AD:$AD),0)</definedName>
    <definedName name="wsdweds" localSheetId="10" hidden="1">{#N/A,#N/A,FALSE,"Oil-Based Mud"}</definedName>
    <definedName name="wsdweds" localSheetId="2" hidden="1">{#N/A,#N/A,FALSE,"Oil-Based Mud"}</definedName>
    <definedName name="wsdweds" localSheetId="3" hidden="1">{#N/A,#N/A,FALSE,"Oil-Based Mud"}</definedName>
    <definedName name="wsdweds" hidden="1">{#N/A,#N/A,FALSE,"Oil-Based Mud"}</definedName>
    <definedName name="WT" localSheetId="2">OFFSET([3]NPT!$A$1,COUNTA([3]NPT!$BC:$BC),0)</definedName>
    <definedName name="WT">OFFSET(NPT!$A$1,COUNTA(NPT!$BR:$BR),0)</definedName>
    <definedName name="WTC">OFFSET(#REF!,COUNTA(#REF!),0)</definedName>
    <definedName name="WTKG">OFFSET(#REF!,COUNTA(#REF!),0)</definedName>
    <definedName name="WTOB">OFFSET(Drilling!$A$1,COUNTA(Drilling!$F:$F),0)</definedName>
    <definedName name="WTON">OFFSET(#REF!,COUNTA(#REF!),0)</definedName>
    <definedName name="WW" localSheetId="10">OFFSET([2]TBD!$A$1,COUNTA([2]TBD!$AC:$AC),0)</definedName>
    <definedName name="WW" localSheetId="2">OFFSET([3]TBD!$A$1,COUNTA([3]TBD!$AC:$AC),0)</definedName>
    <definedName name="WW" localSheetId="3">OFFSET([2]TBD!$A$1,COUNTA([2]TBD!$AC:$AC),0)</definedName>
    <definedName name="WW">OFFSET(TBD!$A$1,COUNTA(TBD!$AC:$AC),0)</definedName>
    <definedName name="YieldP" localSheetId="2">OFFSET('Processed data_1'!$A$1,COUNTA('Processed data_1'!#REF!),0)</definedName>
    <definedName name="YieldP">OFFSET('[2]Processed data_1'!$A$1,COUNTA('[2]Processed data_1'!$AA:$AA),0)</definedName>
    <definedName name="YPM">OFFSET(Mud!$A$1,COUNTA(Mud!$P:$P),0)</definedName>
    <definedName name="yytyt" localSheetId="10" hidden="1">{#N/A,#N/A,FALSE,"Oil-Based Mud"}</definedName>
    <definedName name="yytyt" localSheetId="2" hidden="1">{#N/A,#N/A,FALSE,"Oil-Based Mud"}</definedName>
    <definedName name="yytyt" localSheetId="3" hidden="1">{#N/A,#N/A,FALSE,"Oil-Based Mud"}</definedName>
    <definedName name="yytyt" hidden="1">{#N/A,#N/A,FALSE,"Oil-Based Mud"}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4" i="15" l="1"/>
  <c r="AF5" i="15" s="1"/>
  <c r="AF6" i="15" s="1"/>
  <c r="AF7" i="15" s="1"/>
  <c r="AF8" i="15" s="1"/>
  <c r="AF9" i="15" s="1"/>
  <c r="AF10" i="15" s="1"/>
  <c r="AF11" i="15" s="1"/>
  <c r="AF12" i="15" s="1"/>
  <c r="AF13" i="15" s="1"/>
  <c r="AF14" i="15" s="1"/>
  <c r="AF15" i="15" s="1"/>
  <c r="AF16" i="15" s="1"/>
  <c r="AF17" i="15" s="1"/>
  <c r="AF18" i="15" s="1"/>
  <c r="AF19" i="15" s="1"/>
  <c r="AF20" i="15" s="1"/>
  <c r="AF21" i="15" s="1"/>
  <c r="AF22" i="15" s="1"/>
  <c r="AF23" i="15" s="1"/>
  <c r="AF24" i="15" s="1"/>
  <c r="AF25" i="15" s="1"/>
  <c r="AF26" i="15" s="1"/>
  <c r="AF27" i="15" s="1"/>
  <c r="AF28" i="15" s="1"/>
  <c r="AF29" i="15" s="1"/>
  <c r="AF30" i="15" s="1"/>
  <c r="AF31" i="15" s="1"/>
  <c r="AF32" i="15" s="1"/>
  <c r="AF33" i="15" s="1"/>
  <c r="AF34" i="15" s="1"/>
  <c r="AF35" i="15" s="1"/>
  <c r="AF36" i="15" s="1"/>
  <c r="AF37" i="15" s="1"/>
  <c r="AF38" i="15" s="1"/>
  <c r="AF39" i="15" s="1"/>
  <c r="AF40" i="15" s="1"/>
  <c r="AF41" i="15" s="1"/>
  <c r="AF42" i="15" s="1"/>
  <c r="AF43" i="15" s="1"/>
  <c r="AF44" i="15" s="1"/>
  <c r="AF45" i="15" s="1"/>
  <c r="AF46" i="15" s="1"/>
  <c r="AF47" i="15" s="1"/>
  <c r="AF48" i="15" s="1"/>
  <c r="AF49" i="15" s="1"/>
  <c r="AF50" i="15" s="1"/>
  <c r="AF51" i="15" s="1"/>
  <c r="AF52" i="15" s="1"/>
  <c r="AF53" i="15" s="1"/>
  <c r="AF54" i="15" s="1"/>
  <c r="AF3" i="15"/>
  <c r="AF2" i="15"/>
  <c r="AE4" i="15"/>
  <c r="AE5" i="15" s="1"/>
  <c r="AE6" i="15" s="1"/>
  <c r="AE7" i="15" s="1"/>
  <c r="AE8" i="15" s="1"/>
  <c r="AE9" i="15" s="1"/>
  <c r="AE10" i="15" s="1"/>
  <c r="AE11" i="15" s="1"/>
  <c r="AE12" i="15" s="1"/>
  <c r="AE13" i="15" s="1"/>
  <c r="AE14" i="15" s="1"/>
  <c r="AE15" i="15" s="1"/>
  <c r="AE16" i="15" s="1"/>
  <c r="AE17" i="15" s="1"/>
  <c r="AE18" i="15" s="1"/>
  <c r="AE19" i="15" s="1"/>
  <c r="AE20" i="15" s="1"/>
  <c r="AE21" i="15" s="1"/>
  <c r="AE22" i="15" s="1"/>
  <c r="AE23" i="15" s="1"/>
  <c r="AE24" i="15" s="1"/>
  <c r="AE25" i="15" s="1"/>
  <c r="AE26" i="15" s="1"/>
  <c r="AE27" i="15" s="1"/>
  <c r="AE28" i="15" s="1"/>
  <c r="AE29" i="15" s="1"/>
  <c r="AE30" i="15" s="1"/>
  <c r="AE31" i="15" s="1"/>
  <c r="AE32" i="15" s="1"/>
  <c r="AE33" i="15" s="1"/>
  <c r="AE34" i="15" s="1"/>
  <c r="AE35" i="15" s="1"/>
  <c r="AE36" i="15" s="1"/>
  <c r="AE37" i="15" s="1"/>
  <c r="AE38" i="15" s="1"/>
  <c r="AE39" i="15" s="1"/>
  <c r="AE40" i="15" s="1"/>
  <c r="AE41" i="15" s="1"/>
  <c r="AE42" i="15" s="1"/>
  <c r="AE43" i="15" s="1"/>
  <c r="AE44" i="15" s="1"/>
  <c r="AE45" i="15" s="1"/>
  <c r="AE46" i="15" s="1"/>
  <c r="AE47" i="15" s="1"/>
  <c r="AE48" i="15" s="1"/>
  <c r="AE49" i="15" s="1"/>
  <c r="AE50" i="15" s="1"/>
  <c r="AE51" i="15" s="1"/>
  <c r="AE52" i="15" s="1"/>
  <c r="AE53" i="15" s="1"/>
  <c r="AE54" i="15" s="1"/>
  <c r="AE3" i="15"/>
  <c r="AE2" i="15"/>
  <c r="N7" i="3"/>
  <c r="M7" i="3"/>
  <c r="O7" i="3" s="1"/>
  <c r="O6" i="3"/>
  <c r="N6" i="3"/>
  <c r="M6" i="3"/>
  <c r="O5" i="3"/>
  <c r="N5" i="3"/>
  <c r="L5" i="7"/>
  <c r="K5" i="7"/>
  <c r="L4" i="7"/>
  <c r="K4" i="7"/>
  <c r="L3" i="7"/>
  <c r="L2" i="7"/>
  <c r="K2" i="7"/>
  <c r="O4" i="3"/>
  <c r="N4" i="3"/>
  <c r="O3" i="3"/>
  <c r="N3" i="3"/>
  <c r="O2" i="3"/>
  <c r="N2" i="3"/>
  <c r="AQ137" i="1" l="1"/>
  <c r="U133" i="1"/>
  <c r="U132" i="1"/>
  <c r="U131" i="1"/>
  <c r="U130" i="1"/>
  <c r="AS129" i="1"/>
  <c r="AO129" i="1"/>
  <c r="E122" i="1"/>
  <c r="A113" i="1"/>
  <c r="E111" i="1"/>
  <c r="E110" i="1"/>
  <c r="E109" i="1"/>
  <c r="E108" i="1"/>
  <c r="E92" i="1"/>
  <c r="E112" i="1" s="1"/>
  <c r="H112" i="1" s="1"/>
  <c r="AP88" i="1"/>
  <c r="AN88" i="1"/>
  <c r="AP87" i="1"/>
  <c r="AN87" i="1"/>
  <c r="P87" i="1"/>
  <c r="AP86" i="1"/>
  <c r="AP85" i="1"/>
  <c r="L85" i="1"/>
  <c r="AQ74" i="1"/>
  <c r="AK74" i="1"/>
  <c r="AF74" i="1"/>
  <c r="X74" i="1"/>
  <c r="P74" i="1"/>
  <c r="K74" i="1"/>
  <c r="F74" i="1"/>
  <c r="Z52" i="1"/>
  <c r="I52" i="1"/>
  <c r="AQ44" i="1"/>
  <c r="Z40" i="1"/>
  <c r="Q40" i="1"/>
  <c r="M40" i="1"/>
  <c r="I40" i="1"/>
  <c r="AI37" i="1"/>
  <c r="I37" i="1"/>
  <c r="AO35" i="1"/>
  <c r="AO34" i="1"/>
  <c r="AO33" i="1"/>
  <c r="AC27" i="1"/>
  <c r="Z25" i="1"/>
  <c r="AH18" i="1"/>
  <c r="AE18" i="1"/>
  <c r="AB18" i="1"/>
  <c r="X18" i="1"/>
  <c r="M18" i="1"/>
  <c r="L18" i="1"/>
  <c r="F18" i="1"/>
  <c r="AO13" i="1"/>
  <c r="X13" i="1"/>
  <c r="G12" i="1"/>
  <c r="A12" i="1"/>
  <c r="S9" i="1"/>
  <c r="AS8" i="1"/>
  <c r="AO8" i="1"/>
  <c r="AJ8" i="1"/>
  <c r="AF8" i="1"/>
  <c r="AN4" i="1"/>
  <c r="AN3" i="1"/>
  <c r="AP2" i="1"/>
  <c r="AH3" i="1" s="1"/>
  <c r="AH87" i="1" s="1"/>
</calcChain>
</file>

<file path=xl/sharedStrings.xml><?xml version="1.0" encoding="utf-8"?>
<sst xmlns="http://schemas.openxmlformats.org/spreadsheetml/2006/main" count="2703" uniqueCount="1313">
  <si>
    <t>Ops</t>
  </si>
  <si>
    <t>Act</t>
  </si>
  <si>
    <t>DRL</t>
  </si>
  <si>
    <t>BHA</t>
  </si>
  <si>
    <t>D/F</t>
  </si>
  <si>
    <t>TRI</t>
  </si>
  <si>
    <t>CNR</t>
  </si>
  <si>
    <t>CAS</t>
  </si>
  <si>
    <t>Date</t>
  </si>
  <si>
    <t>Operation</t>
  </si>
  <si>
    <t>Activity</t>
  </si>
  <si>
    <t>W/T</t>
  </si>
  <si>
    <t>Drilling Run</t>
  </si>
  <si>
    <t>Days from Spud</t>
  </si>
  <si>
    <t>Report</t>
  </si>
  <si>
    <t>Unit Selection</t>
  </si>
  <si>
    <t>Daily Drilling Report</t>
  </si>
  <si>
    <t>No</t>
  </si>
  <si>
    <t xml:space="preserve">Section </t>
  </si>
  <si>
    <t>Diameter</t>
  </si>
  <si>
    <t>in</t>
  </si>
  <si>
    <t>MDBRL</t>
  </si>
  <si>
    <t>Daily Moving Report</t>
  </si>
  <si>
    <t>GENERAL</t>
  </si>
  <si>
    <t>Daily Workover Report</t>
  </si>
  <si>
    <t>mm</t>
  </si>
  <si>
    <t>Well</t>
  </si>
  <si>
    <t>Class</t>
  </si>
  <si>
    <t>Concession</t>
  </si>
  <si>
    <t>Latitude</t>
  </si>
  <si>
    <t>Longitude</t>
  </si>
  <si>
    <t>Ellipsoid</t>
  </si>
  <si>
    <t>Contractor</t>
  </si>
  <si>
    <t>Rig</t>
  </si>
  <si>
    <t>Spud Date</t>
  </si>
  <si>
    <t>hrs</t>
  </si>
  <si>
    <t>Depth/Length</t>
  </si>
  <si>
    <t>m</t>
  </si>
  <si>
    <t>DEV</t>
  </si>
  <si>
    <t>EXP</t>
  </si>
  <si>
    <t>Exploration Well</t>
  </si>
  <si>
    <t>Depth Ref.</t>
  </si>
  <si>
    <t xml:space="preserve">RT </t>
  </si>
  <si>
    <t>GL</t>
  </si>
  <si>
    <t>pl MD</t>
  </si>
  <si>
    <t>pl TVD</t>
  </si>
  <si>
    <t>APP</t>
  </si>
  <si>
    <t xml:space="preserve">Appraisal Well </t>
  </si>
  <si>
    <t>ft</t>
  </si>
  <si>
    <t>RT</t>
  </si>
  <si>
    <t>Development Well</t>
  </si>
  <si>
    <t>Currency</t>
  </si>
  <si>
    <t>DAILY PERFORMANCE</t>
  </si>
  <si>
    <t>HSE</t>
  </si>
  <si>
    <t>PRO</t>
  </si>
  <si>
    <t>Production Well</t>
  </si>
  <si>
    <t>Drilling</t>
  </si>
  <si>
    <t>LTI</t>
  </si>
  <si>
    <t xml:space="preserve">Drills </t>
  </si>
  <si>
    <t>INJ</t>
  </si>
  <si>
    <t>EUR</t>
  </si>
  <si>
    <t>hrs/d</t>
  </si>
  <si>
    <t>D/t</t>
  </si>
  <si>
    <t>CumD/t</t>
  </si>
  <si>
    <t>Rig Start</t>
  </si>
  <si>
    <t>LTI free</t>
  </si>
  <si>
    <t>d</t>
  </si>
  <si>
    <t>Fire</t>
  </si>
  <si>
    <t>Medevac</t>
  </si>
  <si>
    <t>Safety Mtg</t>
  </si>
  <si>
    <t>STO</t>
  </si>
  <si>
    <t xml:space="preserve">Storage Well </t>
  </si>
  <si>
    <t>insert other unit here for selection</t>
  </si>
  <si>
    <t>Reference</t>
  </si>
  <si>
    <t>Drilling Performance</t>
  </si>
  <si>
    <t>m/d</t>
  </si>
  <si>
    <t>Rotary Table</t>
  </si>
  <si>
    <t>mpd</t>
  </si>
  <si>
    <t>24 hr Summary</t>
  </si>
  <si>
    <t>Ground Level</t>
  </si>
  <si>
    <t>ft/d</t>
  </si>
  <si>
    <t>fpd</t>
  </si>
  <si>
    <t>24 hr Plan</t>
  </si>
  <si>
    <t>MSL</t>
  </si>
  <si>
    <t>Mean Sea Level</t>
  </si>
  <si>
    <t>Rate of Penetration</t>
  </si>
  <si>
    <t>m/hr</t>
  </si>
  <si>
    <t>SURVEY</t>
  </si>
  <si>
    <t>mph</t>
  </si>
  <si>
    <t>Type</t>
  </si>
  <si>
    <t>Dia</t>
  </si>
  <si>
    <t>MD</t>
  </si>
  <si>
    <t>Grade</t>
  </si>
  <si>
    <t>Conn</t>
  </si>
  <si>
    <t>TOL</t>
  </si>
  <si>
    <t xml:space="preserve">TOC </t>
  </si>
  <si>
    <t>TVD</t>
  </si>
  <si>
    <t>Incl</t>
  </si>
  <si>
    <t>°</t>
  </si>
  <si>
    <t>Azi</t>
  </si>
  <si>
    <t>last LTI</t>
  </si>
  <si>
    <t>last Loss Time Incidence</t>
  </si>
  <si>
    <t>ft/hr</t>
  </si>
  <si>
    <t>fph</t>
  </si>
  <si>
    <t>COND</t>
  </si>
  <si>
    <t>Start of Work of Rig</t>
  </si>
  <si>
    <t>Weight CSG/DP</t>
  </si>
  <si>
    <t>ppf</t>
  </si>
  <si>
    <t>NEXT</t>
  </si>
  <si>
    <t xml:space="preserve">Survey Type </t>
  </si>
  <si>
    <t>MWD</t>
  </si>
  <si>
    <t>Measure While Drilling</t>
  </si>
  <si>
    <t>kg/m</t>
  </si>
  <si>
    <t>SSHOT</t>
  </si>
  <si>
    <t>Single Shot</t>
  </si>
  <si>
    <t>Mud Weight</t>
  </si>
  <si>
    <t>ppg</t>
  </si>
  <si>
    <t>MSHOT</t>
  </si>
  <si>
    <t>Multi Shot</t>
  </si>
  <si>
    <t>kg/l</t>
  </si>
  <si>
    <t>GYRO</t>
  </si>
  <si>
    <t>SG</t>
  </si>
  <si>
    <t>WELL CONTROL</t>
  </si>
  <si>
    <t>TOTCO</t>
  </si>
  <si>
    <t xml:space="preserve">SCR </t>
  </si>
  <si>
    <t>MW</t>
  </si>
  <si>
    <t>Depth</t>
  </si>
  <si>
    <t>FIT/LOT</t>
  </si>
  <si>
    <t>Last P/T</t>
  </si>
  <si>
    <t>Casing Type</t>
  </si>
  <si>
    <t>Pressure</t>
  </si>
  <si>
    <t>psi</t>
  </si>
  <si>
    <t>MAASP</t>
  </si>
  <si>
    <t>Conductor</t>
  </si>
  <si>
    <t>bar</t>
  </si>
  <si>
    <t>spm</t>
  </si>
  <si>
    <t>FIT</t>
  </si>
  <si>
    <t>SURF</t>
  </si>
  <si>
    <t>Surface Casing</t>
  </si>
  <si>
    <t>SIT</t>
  </si>
  <si>
    <t>INTER</t>
  </si>
  <si>
    <t>Intermediate Casing</t>
  </si>
  <si>
    <t xml:space="preserve">TVD </t>
  </si>
  <si>
    <t>PROD</t>
  </si>
  <si>
    <t>Production Casing</t>
  </si>
  <si>
    <t>Weight BHA</t>
  </si>
  <si>
    <t>t</t>
  </si>
  <si>
    <t>Liner</t>
  </si>
  <si>
    <t>Next Casing/Liner</t>
  </si>
  <si>
    <t>kg</t>
  </si>
  <si>
    <t>Length</t>
  </si>
  <si>
    <t>lbs</t>
  </si>
  <si>
    <t>Wt</t>
  </si>
  <si>
    <t>klbs</t>
  </si>
  <si>
    <t>Wt  b/jar</t>
  </si>
  <si>
    <t>in²</t>
  </si>
  <si>
    <t>Bit</t>
  </si>
  <si>
    <t>Bit No</t>
  </si>
  <si>
    <t>Manf</t>
  </si>
  <si>
    <t>IADC</t>
  </si>
  <si>
    <t>Ser No</t>
  </si>
  <si>
    <t>Jets</t>
  </si>
  <si>
    <t>1/32in</t>
  </si>
  <si>
    <t>TFA</t>
  </si>
  <si>
    <t>Condition</t>
  </si>
  <si>
    <t>Jar Settings</t>
  </si>
  <si>
    <t>Jar</t>
  </si>
  <si>
    <t>S/N</t>
  </si>
  <si>
    <t>Up</t>
  </si>
  <si>
    <t>Dwn</t>
  </si>
  <si>
    <t>Motor</t>
  </si>
  <si>
    <t>Bent</t>
  </si>
  <si>
    <t>º</t>
  </si>
  <si>
    <t>PDM settings</t>
  </si>
  <si>
    <t>rev/gal</t>
  </si>
  <si>
    <t>revolutions per gallon</t>
  </si>
  <si>
    <t>Description</t>
  </si>
  <si>
    <t>rev/l</t>
  </si>
  <si>
    <t>revolutions per liter</t>
  </si>
  <si>
    <t>rev/b</t>
  </si>
  <si>
    <t>revolutions per barrel</t>
  </si>
  <si>
    <t>Pump rate</t>
  </si>
  <si>
    <t>gpm</t>
  </si>
  <si>
    <t>l/min</t>
  </si>
  <si>
    <t>bpm</t>
  </si>
  <si>
    <t>HYDRAULICS</t>
  </si>
  <si>
    <t>Pump</t>
  </si>
  <si>
    <t>Annular Velocities</t>
  </si>
  <si>
    <t>Rate</t>
  </si>
  <si>
    <t xml:space="preserve"> Δp mot</t>
  </si>
  <si>
    <t>hsi</t>
  </si>
  <si>
    <t>Jet vel</t>
  </si>
  <si>
    <t>hhp</t>
  </si>
  <si>
    <t>%</t>
  </si>
  <si>
    <t>DC</t>
  </si>
  <si>
    <t>DP</t>
  </si>
  <si>
    <t>DC crit</t>
  </si>
  <si>
    <t>m/min</t>
  </si>
  <si>
    <t>MUD DATA AND SOLIDS CONTROL</t>
  </si>
  <si>
    <t>ft/min</t>
  </si>
  <si>
    <t>Vis</t>
  </si>
  <si>
    <t>s/qt</t>
  </si>
  <si>
    <t>PV</t>
  </si>
  <si>
    <t>cP</t>
  </si>
  <si>
    <t>YP</t>
  </si>
  <si>
    <t>pphsft</t>
  </si>
  <si>
    <t>6/3 RPM</t>
  </si>
  <si>
    <t>Gels 10s/10min</t>
  </si>
  <si>
    <t>FC</t>
  </si>
  <si>
    <t>1/32"</t>
  </si>
  <si>
    <t>Viscosity</t>
  </si>
  <si>
    <t>pH</t>
  </si>
  <si>
    <t>MBT</t>
  </si>
  <si>
    <t>T mud</t>
  </si>
  <si>
    <t>ºF</t>
  </si>
  <si>
    <t>DrS</t>
  </si>
  <si>
    <t>Sand</t>
  </si>
  <si>
    <t>HGS</t>
  </si>
  <si>
    <t>LGS</t>
  </si>
  <si>
    <t xml:space="preserve">Shaker # 1 </t>
  </si>
  <si>
    <t>Shaker # 2</t>
  </si>
  <si>
    <t>SF Losses</t>
  </si>
  <si>
    <t>bbl</t>
  </si>
  <si>
    <t>DH Losses</t>
  </si>
  <si>
    <t>Cum Losses</t>
  </si>
  <si>
    <t>Plastic Viscosity</t>
  </si>
  <si>
    <t>Yield Point</t>
  </si>
  <si>
    <t>Fluid Loss</t>
  </si>
  <si>
    <t xml:space="preserve">TIME BREAK DOWN </t>
  </si>
  <si>
    <t>Cls</t>
  </si>
  <si>
    <t>Filter Cake</t>
  </si>
  <si>
    <t>PT</t>
  </si>
  <si>
    <t>F/C</t>
  </si>
  <si>
    <t>CIR</t>
  </si>
  <si>
    <t>BOP</t>
  </si>
  <si>
    <t>BOP/WH/HP system</t>
  </si>
  <si>
    <t>BHA handling</t>
  </si>
  <si>
    <t>Productive Time</t>
  </si>
  <si>
    <t>Casing Run</t>
  </si>
  <si>
    <t>C/H</t>
  </si>
  <si>
    <t>Circulate to clean hole</t>
  </si>
  <si>
    <t>Mud Temperature</t>
  </si>
  <si>
    <t>NPT</t>
  </si>
  <si>
    <t>Non productive Time</t>
  </si>
  <si>
    <t>R/U</t>
  </si>
  <si>
    <t>Conditioning Run</t>
  </si>
  <si>
    <t>C/P</t>
  </si>
  <si>
    <t>Completion</t>
  </si>
  <si>
    <t>COR</t>
  </si>
  <si>
    <t>Coring Run</t>
  </si>
  <si>
    <t>C/T</t>
  </si>
  <si>
    <t>Change tools</t>
  </si>
  <si>
    <t>Losses</t>
  </si>
  <si>
    <t>CCA</t>
  </si>
  <si>
    <t>Cut Casing</t>
  </si>
  <si>
    <t>m³</t>
  </si>
  <si>
    <t xml:space="preserve">Equipment Run </t>
  </si>
  <si>
    <t>l</t>
  </si>
  <si>
    <t>P/J</t>
  </si>
  <si>
    <t>EVR</t>
  </si>
  <si>
    <t>Evaluation Run</t>
  </si>
  <si>
    <t>CEP</t>
  </si>
  <si>
    <t>Cement Plug</t>
  </si>
  <si>
    <t>gal</t>
  </si>
  <si>
    <t>FIS</t>
  </si>
  <si>
    <t>Fishing Run</t>
  </si>
  <si>
    <t xml:space="preserve">Circulate </t>
  </si>
  <si>
    <t>b</t>
  </si>
  <si>
    <t>FTR</t>
  </si>
  <si>
    <t>Formation Treatment Run</t>
  </si>
  <si>
    <t>CRA</t>
  </si>
  <si>
    <t>Change Rams</t>
  </si>
  <si>
    <t>Health safety environment</t>
  </si>
  <si>
    <t>D/C</t>
  </si>
  <si>
    <t>Drill Cement</t>
  </si>
  <si>
    <t>Diesel</t>
  </si>
  <si>
    <t>LOG</t>
  </si>
  <si>
    <t>Logging Run</t>
  </si>
  <si>
    <t>Drill Formation</t>
  </si>
  <si>
    <t>OTH</t>
  </si>
  <si>
    <t>Other</t>
  </si>
  <si>
    <t>WCO</t>
  </si>
  <si>
    <t>Well Control</t>
  </si>
  <si>
    <t>LOT</t>
  </si>
  <si>
    <t>Leak off test</t>
  </si>
  <si>
    <t>PER</t>
  </si>
  <si>
    <t>Perforation Run</t>
  </si>
  <si>
    <t>E/C</t>
  </si>
  <si>
    <t>Equipment check</t>
  </si>
  <si>
    <t>Operations from 00:00 to 06:00 hrs</t>
  </si>
  <si>
    <t>RRE</t>
  </si>
  <si>
    <t>Rig Repair</t>
  </si>
  <si>
    <t>Flow check</t>
  </si>
  <si>
    <t>insert other currency here for selection</t>
  </si>
  <si>
    <t>P/T</t>
  </si>
  <si>
    <t xml:space="preserve">Rig Service </t>
  </si>
  <si>
    <t>F/W</t>
  </si>
  <si>
    <t>Flow well</t>
  </si>
  <si>
    <t>Gas Readings</t>
  </si>
  <si>
    <t>SUS</t>
  </si>
  <si>
    <t>Supsension</t>
  </si>
  <si>
    <t>Formation Integrity Test</t>
  </si>
  <si>
    <t>SUV</t>
  </si>
  <si>
    <t>Survey</t>
  </si>
  <si>
    <t>HPS</t>
  </si>
  <si>
    <t>High pressure system</t>
  </si>
  <si>
    <t>TST</t>
  </si>
  <si>
    <t>Testing</t>
  </si>
  <si>
    <t>INV</t>
  </si>
  <si>
    <t>Investigation</t>
  </si>
  <si>
    <t>WOC</t>
  </si>
  <si>
    <t>Wait on Cement</t>
  </si>
  <si>
    <t>LWD</t>
  </si>
  <si>
    <t>Logging while drilling</t>
  </si>
  <si>
    <t>WOE</t>
  </si>
  <si>
    <t>Wait on Equipment</t>
  </si>
  <si>
    <t>M/C</t>
  </si>
  <si>
    <t>Mill Casing</t>
  </si>
  <si>
    <t>WOO</t>
  </si>
  <si>
    <t>Wait on Order</t>
  </si>
  <si>
    <t>M/O</t>
  </si>
  <si>
    <t>Mill Obstruction</t>
  </si>
  <si>
    <t>WOW</t>
  </si>
  <si>
    <t>Wait on Weather</t>
  </si>
  <si>
    <t>N/D</t>
  </si>
  <si>
    <t>Nipple down</t>
  </si>
  <si>
    <t>WSF</t>
  </si>
  <si>
    <t>Work Surface</t>
  </si>
  <si>
    <t>N/U</t>
  </si>
  <si>
    <t>Nipple up</t>
  </si>
  <si>
    <t>OPH</t>
  </si>
  <si>
    <t>Opening Hole</t>
  </si>
  <si>
    <t>Formation</t>
  </si>
  <si>
    <t>Progn</t>
  </si>
  <si>
    <t>Actual</t>
  </si>
  <si>
    <t>MG</t>
  </si>
  <si>
    <t>Prim Targ</t>
  </si>
  <si>
    <t>P/H</t>
  </si>
  <si>
    <t>Pipe handling</t>
  </si>
  <si>
    <t>BG</t>
  </si>
  <si>
    <t>Sec Targ</t>
  </si>
  <si>
    <t>Prepare job</t>
  </si>
  <si>
    <t>TG</t>
  </si>
  <si>
    <t>Current</t>
  </si>
  <si>
    <t>Pressure Test</t>
  </si>
  <si>
    <t>CG</t>
  </si>
  <si>
    <t>Next</t>
  </si>
  <si>
    <t>PMP</t>
  </si>
  <si>
    <t>Mud pumps (e.g. for repair)</t>
  </si>
  <si>
    <t>PERSONNEL</t>
  </si>
  <si>
    <t>POW</t>
  </si>
  <si>
    <t>Power (rig electric power)</t>
  </si>
  <si>
    <t>PPL Supervision</t>
  </si>
  <si>
    <t>People on Board</t>
  </si>
  <si>
    <t>R/B</t>
  </si>
  <si>
    <t>Rack back</t>
  </si>
  <si>
    <t>PPL</t>
  </si>
  <si>
    <t>Contr</t>
  </si>
  <si>
    <t>Service</t>
  </si>
  <si>
    <t>Total</t>
  </si>
  <si>
    <t>R/D</t>
  </si>
  <si>
    <t>Rig down</t>
  </si>
  <si>
    <t>WSG</t>
  </si>
  <si>
    <t>Rig up</t>
  </si>
  <si>
    <t>SDE</t>
  </si>
  <si>
    <t>Senior Drilling Engineer</t>
  </si>
  <si>
    <t>REA</t>
  </si>
  <si>
    <t>Ream</t>
  </si>
  <si>
    <t>DSI</t>
  </si>
  <si>
    <t>S/C</t>
  </si>
  <si>
    <t>Slip and cut</t>
  </si>
  <si>
    <t>S/I</t>
  </si>
  <si>
    <t>Shut in</t>
  </si>
  <si>
    <t>S/M</t>
  </si>
  <si>
    <t>Safety meeting</t>
  </si>
  <si>
    <t>WSDE</t>
  </si>
  <si>
    <t>Wellsite Drilling Engineer</t>
  </si>
  <si>
    <t>S/O</t>
  </si>
  <si>
    <t>Space out</t>
  </si>
  <si>
    <t>SCE</t>
  </si>
  <si>
    <t>BULK</t>
  </si>
  <si>
    <t>DIESEL</t>
  </si>
  <si>
    <t>HSESV</t>
  </si>
  <si>
    <t>HSE Supervisor</t>
  </si>
  <si>
    <t>T/S</t>
  </si>
  <si>
    <t>Take Survey</t>
  </si>
  <si>
    <t>Barite</t>
  </si>
  <si>
    <t>Drill Water</t>
  </si>
  <si>
    <t>Stock</t>
  </si>
  <si>
    <t>L</t>
  </si>
  <si>
    <t>Daily</t>
  </si>
  <si>
    <t>Wellsite Geologist</t>
  </si>
  <si>
    <t>TCL</t>
  </si>
  <si>
    <t>Tubing conved logging run</t>
  </si>
  <si>
    <t>TDS</t>
  </si>
  <si>
    <t>Top drive system (e.g. for repair)</t>
  </si>
  <si>
    <t>TRA</t>
  </si>
  <si>
    <t>Training</t>
  </si>
  <si>
    <t>Trip</t>
  </si>
  <si>
    <t>W/E</t>
  </si>
  <si>
    <t>Work Equipment</t>
  </si>
  <si>
    <t>W/L</t>
  </si>
  <si>
    <t xml:space="preserve">Wireline logging </t>
  </si>
  <si>
    <t>W/P</t>
  </si>
  <si>
    <t>Work Pipe</t>
  </si>
  <si>
    <t>Wiper Trip</t>
  </si>
  <si>
    <t>WAS</t>
  </si>
  <si>
    <t>Wash</t>
  </si>
  <si>
    <t>WB</t>
  </si>
  <si>
    <t>Wear Bushing</t>
  </si>
  <si>
    <t>WHW</t>
  </si>
  <si>
    <t>Well head work</t>
  </si>
  <si>
    <t>RPM</t>
  </si>
  <si>
    <t>POB</t>
  </si>
  <si>
    <t>Comments</t>
  </si>
  <si>
    <t>Fishing</t>
  </si>
  <si>
    <t>Others</t>
  </si>
  <si>
    <t>NS(m)</t>
  </si>
  <si>
    <t>EW(m)</t>
  </si>
  <si>
    <t>DLS</t>
  </si>
  <si>
    <t xml:space="preserve">Date </t>
  </si>
  <si>
    <t>Fluid_Type</t>
  </si>
  <si>
    <t>LSYP</t>
  </si>
  <si>
    <t>Cake_thickness</t>
  </si>
  <si>
    <t>Solids%</t>
  </si>
  <si>
    <t>Oil%</t>
  </si>
  <si>
    <t>Water%</t>
  </si>
  <si>
    <t>Sand%</t>
  </si>
  <si>
    <t>LGS%</t>
  </si>
  <si>
    <t>HGS%</t>
  </si>
  <si>
    <r>
      <t>P</t>
    </r>
    <r>
      <rPr>
        <vertAlign val="subscript"/>
        <sz val="10"/>
        <color rgb="FF000080"/>
        <rFont val="Arial"/>
        <family val="2"/>
      </rPr>
      <t>m</t>
    </r>
  </si>
  <si>
    <r>
      <t>P</t>
    </r>
    <r>
      <rPr>
        <vertAlign val="subscript"/>
        <sz val="10"/>
        <color rgb="FF000080"/>
        <rFont val="Arial"/>
        <family val="2"/>
      </rPr>
      <t>f</t>
    </r>
  </si>
  <si>
    <r>
      <t>M</t>
    </r>
    <r>
      <rPr>
        <vertAlign val="subscript"/>
        <sz val="10"/>
        <color rgb="FF000080"/>
        <rFont val="Arial"/>
        <family val="2"/>
      </rPr>
      <t>f</t>
    </r>
  </si>
  <si>
    <r>
      <t>ASPHASOL_SUPREME</t>
    </r>
    <r>
      <rPr>
        <vertAlign val="superscript"/>
        <sz val="10"/>
        <color rgb="FF000080"/>
        <rFont val="Arial"/>
        <family val="2"/>
      </rPr>
      <t>®</t>
    </r>
    <r>
      <rPr>
        <sz val="10"/>
        <color indexed="32"/>
        <rFont val="Arial"/>
        <family val="2"/>
      </rPr>
      <t>%</t>
    </r>
  </si>
  <si>
    <r>
      <t>ULTRAHIB</t>
    </r>
    <r>
      <rPr>
        <vertAlign val="superscript"/>
        <sz val="10"/>
        <color rgb="FF000080"/>
        <rFont val="Arial"/>
        <family val="2"/>
      </rPr>
      <t>®</t>
    </r>
    <r>
      <rPr>
        <sz val="10"/>
        <color indexed="32"/>
        <rFont val="Arial"/>
        <family val="2"/>
      </rPr>
      <t>%</t>
    </r>
  </si>
  <si>
    <r>
      <t>ULTRAFREE</t>
    </r>
    <r>
      <rPr>
        <vertAlign val="superscript"/>
        <sz val="10"/>
        <color rgb="FF000080"/>
        <rFont val="Arial"/>
        <family val="2"/>
      </rPr>
      <t>®</t>
    </r>
    <r>
      <rPr>
        <sz val="10"/>
        <color indexed="32"/>
        <rFont val="Arial"/>
        <family val="2"/>
      </rPr>
      <t>%</t>
    </r>
  </si>
  <si>
    <r>
      <t>HYDRASPEED</t>
    </r>
    <r>
      <rPr>
        <vertAlign val="superscript"/>
        <sz val="10"/>
        <color rgb="FF000080"/>
        <rFont val="Arial"/>
        <family val="2"/>
      </rPr>
      <t>®</t>
    </r>
    <r>
      <rPr>
        <sz val="10"/>
        <color indexed="32"/>
        <rFont val="Arial"/>
        <family val="2"/>
      </rPr>
      <t>%</t>
    </r>
  </si>
  <si>
    <t>Remarks_&amp;_Treatment_done</t>
  </si>
  <si>
    <t>Domain</t>
  </si>
  <si>
    <t>Nozzles</t>
  </si>
  <si>
    <t>Shale_Shaker_Screen_size</t>
  </si>
  <si>
    <r>
      <t>HYDRAHIB</t>
    </r>
    <r>
      <rPr>
        <vertAlign val="superscript"/>
        <sz val="10"/>
        <color rgb="FF000080"/>
        <rFont val="Arial"/>
        <family val="2"/>
      </rPr>
      <t>®</t>
    </r>
    <r>
      <rPr>
        <sz val="10"/>
        <color indexed="32"/>
        <rFont val="Arial"/>
        <family val="2"/>
      </rPr>
      <t>%</t>
    </r>
  </si>
  <si>
    <t>EQU</t>
  </si>
  <si>
    <t>CEC</t>
  </si>
  <si>
    <t>Cement Casing</t>
  </si>
  <si>
    <t>Current_Mud_Wt</t>
  </si>
  <si>
    <t>Well_Cost_MMUSD</t>
  </si>
  <si>
    <t>Meterage_24hrs</t>
  </si>
  <si>
    <t>Days_from_spud</t>
  </si>
  <si>
    <t>24hrs_Summary</t>
  </si>
  <si>
    <t>Next_24hrs_Planned</t>
  </si>
  <si>
    <t>LTI_free_days</t>
  </si>
  <si>
    <t>Kick_Drill</t>
  </si>
  <si>
    <t>Fire_Drill</t>
  </si>
  <si>
    <t>Medevac_Drill</t>
  </si>
  <si>
    <t>COMMENTS</t>
  </si>
  <si>
    <t>Last_Casing</t>
  </si>
  <si>
    <t>Next_Casing</t>
  </si>
  <si>
    <t xml:space="preserve">In </t>
  </si>
  <si>
    <t>Out</t>
  </si>
  <si>
    <t>Cum</t>
  </si>
  <si>
    <t>hr</t>
  </si>
  <si>
    <t>ROP</t>
  </si>
  <si>
    <t>Krev</t>
  </si>
  <si>
    <t>WOB</t>
  </si>
  <si>
    <t>RPM mot</t>
  </si>
  <si>
    <t>RPM string</t>
  </si>
  <si>
    <t>mg/l</t>
  </si>
  <si>
    <t>Operations</t>
  </si>
  <si>
    <t>Trip_Type</t>
  </si>
  <si>
    <t>CASING</t>
  </si>
  <si>
    <t>RUN CONFIGURATION / BHA</t>
  </si>
  <si>
    <t>Summary</t>
  </si>
  <si>
    <t>New</t>
  </si>
  <si>
    <t>FL</t>
  </si>
  <si>
    <t>RSE</t>
  </si>
  <si>
    <t>DE</t>
  </si>
  <si>
    <t>Cement</t>
  </si>
  <si>
    <t>Rice Husk</t>
  </si>
  <si>
    <t>Cotton Seed</t>
  </si>
  <si>
    <t>Drilling Engineer</t>
  </si>
  <si>
    <t>Survey_MD</t>
  </si>
  <si>
    <t xml:space="preserve"> Survey_TVD</t>
  </si>
  <si>
    <t>Survey_Incl</t>
  </si>
  <si>
    <t>Survey_Azi</t>
  </si>
  <si>
    <t>Survey_type</t>
  </si>
  <si>
    <t>Start_time</t>
  </si>
  <si>
    <t>End_time</t>
  </si>
  <si>
    <t>Operation_Details</t>
  </si>
  <si>
    <t>Productive_Time</t>
  </si>
  <si>
    <t>Non-Productive_Time</t>
  </si>
  <si>
    <t>BOP/WH/HP_system</t>
  </si>
  <si>
    <t>Casing_Run</t>
  </si>
  <si>
    <t>Condition_Run</t>
  </si>
  <si>
    <t>Coring_Run</t>
  </si>
  <si>
    <t>Drilling_Run</t>
  </si>
  <si>
    <t xml:space="preserve">Equipment_Run </t>
  </si>
  <si>
    <t>Evaluation_Run</t>
  </si>
  <si>
    <t>Fishing_Run</t>
  </si>
  <si>
    <t>Formation_Treatment_Run</t>
  </si>
  <si>
    <t>Logging_Run</t>
  </si>
  <si>
    <t>Milling_Run</t>
  </si>
  <si>
    <t>Well_Control</t>
  </si>
  <si>
    <t>Perforation_Run</t>
  </si>
  <si>
    <t>Rig_Repair</t>
  </si>
  <si>
    <t>Cementing_Run</t>
  </si>
  <si>
    <t>Wait_on_Cement</t>
  </si>
  <si>
    <t>Wait_on_Equipment</t>
  </si>
  <si>
    <t>Wait_on_Order</t>
  </si>
  <si>
    <t>Wait_on_Weather</t>
  </si>
  <si>
    <t>Work_Surface</t>
  </si>
  <si>
    <t>Bit_No.</t>
  </si>
  <si>
    <t>Bit_Manuf.</t>
  </si>
  <si>
    <t>Bit_Type</t>
  </si>
  <si>
    <t>Bit_Serial#</t>
  </si>
  <si>
    <t>Bit_Dull_Grading</t>
  </si>
  <si>
    <t>Avg.Reaming_Speed</t>
  </si>
  <si>
    <t>LCM_Pill_composition</t>
  </si>
  <si>
    <t>Bridging_material_in_Active</t>
  </si>
  <si>
    <t>Equipment_Failure</t>
  </si>
  <si>
    <t>Drill_String_Failure</t>
  </si>
  <si>
    <t>Drill_bit_failure</t>
  </si>
  <si>
    <t>Tight_hole</t>
  </si>
  <si>
    <t>Surface_Problems</t>
  </si>
  <si>
    <t>Casing_Running_Problems</t>
  </si>
  <si>
    <t>Cementing_Failure</t>
  </si>
  <si>
    <t>Stuck_Pipe</t>
  </si>
  <si>
    <t>Logging_Problems</t>
  </si>
  <si>
    <t>DownholeTool_Failure</t>
  </si>
  <si>
    <t>No.of_Joints</t>
  </si>
  <si>
    <t>Avg.Joints/hr</t>
  </si>
  <si>
    <t>Avg.Tripping_Speed</t>
  </si>
  <si>
    <t>Sample_Description</t>
  </si>
  <si>
    <t>Equipment/Services</t>
  </si>
  <si>
    <t>Problem/Lesson_Learned</t>
  </si>
  <si>
    <t>Required_Action/Action_taken</t>
  </si>
  <si>
    <t>Current_Formation</t>
  </si>
  <si>
    <t>Next_Formation</t>
  </si>
  <si>
    <t>Adhi South-3</t>
  </si>
  <si>
    <t>Note: Click on grey collored cells for explanation</t>
  </si>
  <si>
    <t>Adhi M.L</t>
  </si>
  <si>
    <t>33°05'22.48850"N</t>
  </si>
  <si>
    <t>73°06'24.32612"E</t>
  </si>
  <si>
    <t>CCDC</t>
  </si>
  <si>
    <t>CCDC-30</t>
  </si>
  <si>
    <t>AFE No.</t>
  </si>
  <si>
    <t>AFE Budged (Mils)</t>
  </si>
  <si>
    <t>PKR</t>
  </si>
  <si>
    <t>Day Cost (Mils)</t>
  </si>
  <si>
    <t>Cum.Cost (Mils)</t>
  </si>
  <si>
    <t>C-70-PC-1902</t>
  </si>
  <si>
    <t>USD</t>
  </si>
  <si>
    <t xml:space="preserve">Injection Well </t>
  </si>
  <si>
    <t>Kick</t>
  </si>
  <si>
    <t xml:space="preserve">Spudded in well at 1600 Hrs. Drilled 26" hole from 17 m to 53 m with controlled parameters. </t>
  </si>
  <si>
    <t xml:space="preserve">Drill ahead to section TD. </t>
  </si>
  <si>
    <t>X-52</t>
  </si>
  <si>
    <t>Leopard SD</t>
  </si>
  <si>
    <t>K-55</t>
  </si>
  <si>
    <t>BTC</t>
  </si>
  <si>
    <t>kilogramm per meter</t>
  </si>
  <si>
    <t>S.G</t>
  </si>
  <si>
    <t>BOP Config</t>
  </si>
  <si>
    <t>Pump #1</t>
  </si>
  <si>
    <t>Pump #2</t>
  </si>
  <si>
    <t>Pump #3</t>
  </si>
  <si>
    <t>LNER</t>
  </si>
  <si>
    <t>Total Flow Area</t>
  </si>
  <si>
    <t>NB 1</t>
  </si>
  <si>
    <t>Halliburton</t>
  </si>
  <si>
    <t>FX/SF66</t>
  </si>
  <si>
    <t>1 x 16 + 8 x 18</t>
  </si>
  <si>
    <t>DRILLSTRING</t>
  </si>
  <si>
    <t>OD</t>
  </si>
  <si>
    <t>WT</t>
  </si>
  <si>
    <t>Cum . Length</t>
  </si>
  <si>
    <t>TJ OD</t>
  </si>
  <si>
    <t>TJ ID</t>
  </si>
  <si>
    <t>Coating</t>
  </si>
  <si>
    <t>Vender</t>
  </si>
  <si>
    <t>Jet velocity</t>
  </si>
  <si>
    <t>m/s</t>
  </si>
  <si>
    <t>ft/s</t>
  </si>
  <si>
    <t>cc</t>
  </si>
  <si>
    <t>Cl-</t>
  </si>
  <si>
    <t>K+</t>
  </si>
  <si>
    <t xml:space="preserve">Shaker # 3 </t>
  </si>
  <si>
    <t>Operations from 0:00 to 0:00 hrs</t>
  </si>
  <si>
    <t>FROM</t>
  </si>
  <si>
    <t>TO</t>
  </si>
  <si>
    <t>Hrs</t>
  </si>
  <si>
    <t>Cl and K concentration</t>
  </si>
  <si>
    <t>Action</t>
  </si>
  <si>
    <t>ppm</t>
  </si>
  <si>
    <t>Circulate pill</t>
  </si>
  <si>
    <t>COM</t>
  </si>
  <si>
    <t>C/S</t>
  </si>
  <si>
    <t>Circulate for sample</t>
  </si>
  <si>
    <t>MIL</t>
  </si>
  <si>
    <t>Milling Run</t>
  </si>
  <si>
    <t>DRI</t>
  </si>
  <si>
    <t>Drill (kick, H2S)</t>
  </si>
  <si>
    <t>DRW</t>
  </si>
  <si>
    <t>Drawworks</t>
  </si>
  <si>
    <t>Total Hrs</t>
  </si>
  <si>
    <t>Lessons Learned</t>
  </si>
  <si>
    <t>GEOLOGY</t>
  </si>
  <si>
    <t>Tobra</t>
  </si>
  <si>
    <t>Khewra</t>
  </si>
  <si>
    <t>Nagri / Chinji</t>
  </si>
  <si>
    <t>Kamlial</t>
  </si>
  <si>
    <t>DSV</t>
  </si>
  <si>
    <t>Secuirty</t>
  </si>
  <si>
    <t>NSV</t>
  </si>
  <si>
    <t>Qazi Uzair</t>
  </si>
  <si>
    <t>DM</t>
  </si>
  <si>
    <t>Drilling Manager</t>
  </si>
  <si>
    <t>Conducted Hazard hunting survey &amp; fire drill prior to spud in well.</t>
  </si>
  <si>
    <t>Drilling Superintendend</t>
  </si>
  <si>
    <t>Drilling Supervisor( Day)</t>
  </si>
  <si>
    <t>Night Drilling Supervisor</t>
  </si>
  <si>
    <t>Soldis control equipment</t>
  </si>
  <si>
    <t>[t]</t>
  </si>
  <si>
    <t>PDC Bit , Bit Sub with F.V, 11" DC, 26" String Stab , 11" DC, 26" String Stab , 3 x 9-1/2" DC, Drilling Jar, 2 x 9-1/2" DC, X - Over, 6 x 5" HWDP</t>
  </si>
  <si>
    <t>-</t>
  </si>
  <si>
    <t xml:space="preserve"> Accpeted Rig CCDC - 30 @ 16:00 Hrs after all Rig up activities and inspections. Conducted Hazard Hunt &amp; performed safety checks. Held Pre-Spud meeting with all service companies. Recited Holy Quran. Spud in Well Adhi South-3 @ 16:00 Hrs on 15/04/2020.  M/U 26" PDC Bit (New). Washed down &amp; tagged btm at 17 m. Drilled 26" hole with controlled parameters from 17 m to 48 m with 100% returns. Reamed  twice at connection. POOH from 48 m to surface. Added 26" (1/8" UG) string stabs at 30 ft &amp; 60 ft.  RIH 26" PDC Bit / BHA to 48 m. Drilled 26" hole from 48 m to 53 m. Drilling Parameters: WOB: 2-4 Tons, RPM: 60-80, GPM: 900, SPP: 250 psi, Torque: 1- 4 Kft-lb Update at 0600 hrs: Drilling at 103 m.</t>
  </si>
  <si>
    <t xml:space="preserve">Drilled 26" hole from 53 m to 258 m (Section TD). </t>
  </si>
  <si>
    <t>POOH. RIH 26" Bit / packed BHA for condition trip. POOH. RIH 20" Csg &amp; cement it as per program. Work on wellhead.</t>
  </si>
  <si>
    <t>Saw Dust</t>
  </si>
  <si>
    <t>Black Magic</t>
  </si>
  <si>
    <t>Sacks</t>
  </si>
  <si>
    <t xml:space="preserve"> Drilled 26" hole from 53 m to 258 m (Section TD). Pumped hi-vis pills &amp; reamed twice at connection.  Drilling Parameters: WOB: 4-7 Tons, RPM: 100-120, GPM: 950-1050, SPP: 500-700 psi, Torque: 3- 8 Kft-lb Update at 0600 hrs: RIH 26" Bit / Packed BHA at 51 m.</t>
  </si>
  <si>
    <t xml:space="preserve">POOH 26" Bit / rotary BHA to surface. RIH 26" Bit / Packed BHA for Condition trip. POOH. RIH 20" Csg to 256 m (Shoe depth). Circ. </t>
  </si>
  <si>
    <t xml:space="preserve">RIH Stab-in stinger assy and conduct 20" Csg cement job as per program. Work on wellhead. N/U 21-1/4" Diverter. RIH 17-1/2" Tricone bit for COC. </t>
  </si>
  <si>
    <t>1RR1</t>
  </si>
  <si>
    <t>1-1-WT-A-X-I-NO-BHA</t>
  </si>
  <si>
    <t xml:space="preserve"> Pumped 40 bbls hi-vis pill. Circ - shakers cleaned. Flow Checked - OK. Dropped totco. POOH 26" PDC Bit / BHA to surface. Retrieved tocto (Depth: 256.52 m, Inc: 0.95) M/U 26" Bit (RR1) with 26" (1/8" UG) Near Bit stab &amp; string stabs (30ft &amp; 60ft)  for condition trip. RIH 26" Bit (RR1) / packed BHA for condition trip to 258 m. Washed down last stnd. Swept hole with 50 bbls of hi-vis pill. Circ - shakers cleaned. Meanwhile raised MW to 1.10 SG. Flow Checked - OK. Spotted 70 bbls hi-vis pill at btm. POOH 26" Bit (RR1) / packed BHA from 258 m to surface. L/D 3 x stabs + 2 x 11'' DC + bit.  Cleared RIG floor. Changed TDS links. R/U Wellserve Casing running gears. PJSM. P/U &amp; M/U 20” Csg (106.5 #, BTC,K-55) with F/S &amp; F/C on 1st and 2nd jnt already Baker locked &amp; torqued up on racks. Checked integrity of floats - OK.  RIH 20" Csg (Total 23 Jts) to 256 m. Filled up every jnt &amp; washed down last jnt. Circ 1.5 x btms up. Reciprocated string while circ. R/D Wellserve Casing running gears.  Prep Rig floor to RIH Stab-in Stinger.  Update at 0600 hrs: 20" Csg cement job in progress.</t>
  </si>
  <si>
    <t>POOH</t>
  </si>
  <si>
    <t>Complete trip</t>
  </si>
  <si>
    <t>POOH 26" PDC Bit / BHA to surface</t>
  </si>
  <si>
    <t>RIH</t>
  </si>
  <si>
    <t>Openhole</t>
  </si>
  <si>
    <t>RIH 26" Bit (RR1) / packed BHA for condition trip to 258 m</t>
  </si>
  <si>
    <t>POOH 26" Bit (RR1) / packed BHA from 258 m to surface</t>
  </si>
  <si>
    <t>Prepared initially 1500bbl of Gel mud</t>
  </si>
  <si>
    <t>Prepared fresh volume of gel mud. Added 20-25bbl of water in the system to maintain mw,vis and rheology.</t>
  </si>
  <si>
    <t>Added 25-30bph of water in active system to control rheology.</t>
  </si>
  <si>
    <t>Preparing 5% KCl HPWBM mixing in progress.</t>
  </si>
  <si>
    <t>Prepared 1200bbl of FRES HPWBM and displaced the well.</t>
  </si>
  <si>
    <t xml:space="preserve">Prepared fresh mud to compensate the volume during drilling. </t>
  </si>
  <si>
    <t>Prepared fresh mud with Soda Ash, KCL, Duotec, M-I PAC UL &amp; Barite used for weight up to compensate volume.</t>
  </si>
  <si>
    <t>Added Barite in active system to increase MW from 1.45 to 1.47 SG.</t>
  </si>
  <si>
    <t>Mixing in surface volume is in progress for next section. Chemicals will be charged once section started.</t>
  </si>
  <si>
    <t xml:space="preserve">Prepared fresh mud by using Soda Ash, KCL, Duotec, M-I PAC UL &amp; Barite. </t>
  </si>
  <si>
    <t>Bleed tank # 3 mud in active system which have G Seal HRG F, ADI/MAZZ Carb coarse (150 &amp; 600) from start of drilling.</t>
  </si>
  <si>
    <t xml:space="preserve">Added chemicals in active system. Barite used to increase MW as per plan, Ultrahib &amp; KCL for inhibition, Hydraspeed/Ultrafree as anti accretion, M-I Pac UL for API F.L control &amp; WBS materials to maintain their concentrations as per program.  </t>
  </si>
  <si>
    <t xml:space="preserve">Added chemicals in active system. Barite used to increase MW as per plan, Ultrahib &amp; KCL for inhibition, Hydraspeed as anti accretion, M-I Pac UL for API F.L control &amp; WBS materials to maintain their concentrations as per program.  </t>
  </si>
  <si>
    <t xml:space="preserve">Added chemicals in active system. Barite used to increase MW as per plan, Ultrahib &amp; KCL for inhibition, Hydraspeed as anti accretion, M-I Pac UL for API F.L control &amp; WBS materials to maintain their concentrations as per program. SINE PF 46 used as biocide.  </t>
  </si>
  <si>
    <t xml:space="preserve">Barite used to increased MW 1.84 SG to 1.85SG as per instruction prior to section TD. </t>
  </si>
  <si>
    <t xml:space="preserve">Barite used to increased MW 1.85 SG to 1.87SG as per instruction prior to section TD. </t>
  </si>
  <si>
    <t>Barite and Duotec used for preparation of weighted Hi-vis pill.</t>
  </si>
  <si>
    <t>Barite and Bentonite used for preparation of slug.</t>
  </si>
  <si>
    <t>Ran both the centrifuge on isolated tanks to cut down the MW for the next section.</t>
  </si>
  <si>
    <t xml:space="preserve">Run both centrifuges to cut down the MW of surface volume for the next section.
Isolated active system from sand trap to active 4B for COC. </t>
  </si>
  <si>
    <t xml:space="preserve">Changed damaged screens and dressed all three shakers with API 170x2, 140x2. </t>
  </si>
  <si>
    <t xml:space="preserve">Dumped and cleaned Tank 6B,6C and Tank # 7 for preparation of new mud for the next section. Cleaning of Tank# 7 in progress. </t>
  </si>
  <si>
    <t>Transferred 508bbl of HPWBM 1.52SG to 1.58SG to Adhi South-2.</t>
  </si>
  <si>
    <t>Transferred 582bbl of HPWBM 1.52SG to 1.54SG to Adhi South-2. Total transferred = 1090bbl
Dumped dv of Tank# 9 and 4A/4B and cleaned.</t>
  </si>
  <si>
    <t>RIH Stab-in stinger assy. Conducted 20" Csg cmnt job. POOH stinger assy. Worked on wellhead.</t>
  </si>
  <si>
    <t>P-110</t>
  </si>
  <si>
    <t xml:space="preserve">Disconnected return line &amp; cleaned cellar. </t>
  </si>
  <si>
    <t xml:space="preserve">Tightened stud bolts of 20" x 21-1/4" SOL CHH. </t>
  </si>
  <si>
    <t xml:space="preserve">N/U 21-1/4" Diverter. RIH 17-1/2" Tricone bit. COC. Displace hole with 1.15 S.G mud. Drill 17-1/2" hole to 285 m. POOH. </t>
  </si>
  <si>
    <t xml:space="preserve"> M/U and RIH Stab-in Stinger assy to 243 m (Top of float collar) and stabbed-in. Confirmed integrity of seals.  Break Circ.  Held PJSM. R/U Slb Dowell lines, Connected Y to rig pump and cement pumping unit.  Pressure tested dowel surface lines to 500/3000 psi - OK. Circ - Meahwhile prepared and weighted-up cement slurry.  Pumped 80 bbl of 13 ppg Spacer. Switched-over to Dowell unit and pumped 315 bbl Lead Slurry of 15.8 ppg  followed by 100 bbl batch mix tail slurry of 15.8 ppg.  Displaced the same with 5 bbl spacer + 8 bbls mud (4 bbl underdisplaced). Bled-off - No back flow. Dumped 80 bbls contaminated spacer + 60 bbl neat cement.  R/D SLB Dowell lines. Unsting stinger &amp; POOH from 243 m to surface. L/D stringer assembly.  Disconnected return line &amp; cleaned cellar.  Window cut 30" conductor &amp; welded support pads onto 20” casing. Window cut 30" conductor on upper side &amp; rough cut 20” Csg. L/D 20” Csg landing jnt. Cut 30" conductor &amp; L/D same. Installed 20" csg cutter. Final cut 20" Csg &amp; bevelled same. Meanwhile prepared 1200 bbls 1.15 SG high performance mud. Landed 20" x 21-1/4" SOL CHH on 20" Csg stub. Press tested FS seal at 550 psi - OK. Update at 0600 hrs:  Installing bell nipple &amp; vent line in progress.</t>
  </si>
  <si>
    <t xml:space="preserve">N/U 21-1/4" Diverter. RIH 17-1/2" Tricone bit. COC. Drilled 17-1/2" hole from 258 to 260 m. Displaced hole with 1.15 S.G mud. Drilled 17-1/2" hole from 260 to 279 m. POOH. P/U &amp; M/U 17-1/2" Bit with Motor BHA. </t>
  </si>
  <si>
    <t xml:space="preserve"> RIH 17-1/2" Bit / Motor BHA to 279 m. Drill Ahead. </t>
  </si>
  <si>
    <t>NB 3</t>
  </si>
  <si>
    <t>NOV</t>
  </si>
  <si>
    <t>TK59S</t>
  </si>
  <si>
    <t>E261501</t>
  </si>
  <si>
    <t>7 x 16/32</t>
  </si>
  <si>
    <t>SLB</t>
  </si>
  <si>
    <t>Installed 21-1/4" Diverter &amp; function tested – OK. Installed flowline &amp; vent line.</t>
  </si>
  <si>
    <t>17-1/2" PDC Bit , ERT 962M6735 STAB(17.25") , Float Sub (FV), 17-1/2" S/STAB , 9-1/2" DC, 17-1/2" S/STAB , 4 x 9-1/2" DC, XO, 6 x 8" DC, 8" JAR, 3 x 8" DC, XO, 6-1/2" DC</t>
  </si>
  <si>
    <t xml:space="preserve"> Tightened stud bolts of 20" x 21-1/4" SOL CHH.  Installed 21-1/4" Diverter &amp; function tested – OK. Installed flowline &amp; vent line. M/U test plug assy &amp; installed wear bushing. L/D test plug assy. RIH 17-1/2” Tricone bit (115) / slick BHA to 222m. While RIH, P/U 6 x 6-1/2” DC. Washed down from 222m to 240m. Tagged TOC at 240m. COC from 240 to 258m. Obsrvd hard cmnt. Drilled out F/C at 243m &amp; F/S at 256m.  COC Parameters: WOB = 3 - 8 tons, RPM = 40-60, GPM = 950 – 1020, TRQ = 3-6 Kft-lbs Drilled 17-1/2” hole from 258 to 260 m.  Swept hole with 40 bbls hi-vis pill. Displaced hole with 1.15 SG High performance mud. Cleaned sand trap &amp; dumped spud mud. Drilled 17-1/2” hole from 260 m to 279 m.  Drilling Parameters: WOB = 4 - 10 tons, RPM = 100-120, GPM = 950 – 1020, TRQ = 3-6 Kft-lbs Circ 40 bbls hi-vis pill till shakers clean. Flow Checked - OK. POOH 17-1/2" bit / slick BHA from 279 m to surface. L/D bit. Inspected bit (In gauge &amp; in good condition). M/U 17-1/2" PDC bit (TK59S) with mud motor + 17-1/2" s.stab (30 &amp; 60ft). Function tested motor - OK.  Update at 0600 hrs: Drilling 17-1/2" Hole at 310 m in progress.</t>
  </si>
  <si>
    <t>RIH 17-1/2” Tricone bit (115) / slick BHA to 222m</t>
  </si>
  <si>
    <t>POOH 17-1/2" bit / slick BHA from 279 m to surface</t>
  </si>
  <si>
    <t xml:space="preserve">RIH 17-1/2" Bit / Motor BHA to 279 m. Drilled 17-1/2" hole from 279 m to 813 m. </t>
  </si>
  <si>
    <t xml:space="preserve">Drill Ahead to section TD. Circ. POOH to surface. RIH 17-1/2" Bit / Packed BHA for condition trip. </t>
  </si>
  <si>
    <t xml:space="preserve">Obsvd SCR Malfunctioned. Rectified the same. </t>
  </si>
  <si>
    <t>RIH 17-1/2” PDC Bit / Motor BHA to 279m</t>
  </si>
  <si>
    <t>Drilled 17-1/2" hole from 813 m to 1050 m (Section TD). Circ. POOH. RIH 17-1/2" bit / packed BHA for condition trip to 636 m.</t>
  </si>
  <si>
    <t xml:space="preserve">RIH 17-1/2" bit / packed BHA to btm. Drill 17-1/2" hole to 1054 m. Increase MW from 1.45 S.G to 1.47 S.G. Wiper Trip. POOH. RIH 14 x 13-3/8" Csg as per program. </t>
  </si>
  <si>
    <t>72 / 114</t>
  </si>
  <si>
    <t>3RR1</t>
  </si>
  <si>
    <t>1-2-WT-G-X-I-NO-BHA</t>
  </si>
  <si>
    <t>02 hrs downtime on CCDC-30 for SCR malfuncting &amp; TDS work.</t>
  </si>
  <si>
    <t>17-1/2" PDC Bit , 17-1/2" NB S/STAB with F.V) , 9-1/2" NMDC, 17-1/2" S/STAB , 9-1/2" DC, 17-1/2" S/STAB , 4 x 9-1/2" DC, XO, 6 x 8" DC, 8" JAR, 3 x 8" DC, XO, 6-1/2" DC</t>
  </si>
  <si>
    <t xml:space="preserve"> Drilled 17-1/2” hole from 813 m to 841 m. Reamed at each connection. Obsvd SCR Malfunctioned. Rectified the same.  Drilled 17-1/2” hole from 841 m to 871 m. Reamed at connection. Obsvd TDS links hydraulic hose leak. Worked on TDS.  Drilled 17-1/2” hole from 871 m to 1050 m (Section TD). During drilling, increased MW from 1.32 S.G to 1.45 S.G as per plan. Drilling Parameters: WOB = 3- 12 tons, RPM S/B= 100 / 200 , GPM = 850 – 950, TRQ = 4-7 Kft-lbs, SPP = 1900-2100 Psi Swept hole with 2 x 40 bbls hi-vis pills (Tendem). Circ till shakers cleaned. Flow checked - OK. POOH 17-1/2" PDC bit/ Motor BHA to surface - Hole slick. L/D Motor. Obsrvd bit in gauge &amp; good condition. M/U 17-1/2" PDC bit / Packed BHA with NMDC. (Stabs at 0ft,30ft &amp; 60ft) RIH 17-1/2" bit / Packed BHA to 636 m. While RIH, monitored well via trip tank. Update at 0600 hrs: RIH at 420 m in progress.</t>
  </si>
  <si>
    <t>POOH 17-1/2" PDC bit/ Motor BHA to surface - Hole slick</t>
  </si>
  <si>
    <t>RIH 17-1/2" bit / Packed BHA to 636 m</t>
  </si>
  <si>
    <t xml:space="preserve">RIH 17-1/2" bit / packed BHA to btm. Drilled 17-1/2" hole to 1054 m. Increased MW from 1.45 S.G to 1.47 S.G. Wiper Trip. POOH. RIH 14" Casing to 283m. </t>
  </si>
  <si>
    <t>RIH 14 x 13-3/8" Casing as per program. Circ. Set 13-3/8" Casing slips. Perform Casing cement job as per program. Work on Wellhead.</t>
  </si>
  <si>
    <t>Prepared 150 bbls 14 ppg Spacer. Preparing fresh mud for next section in progress.</t>
  </si>
  <si>
    <t xml:space="preserve"> RIH 17-1/2" Bit / Packed BHA from 636 m to 1005 m. Obsvd 8 tons compression at1005 m. Reamed / Washed down from 1005 m to btm - No fill.  Drilled 17-1/2” hole from 1050 m to 1054 m to adjust as per Csg tally. Drilling Parameters: WOB = 3- 6 tons, RPM S/B= 100 / 200 , GPM = 850 – 950, TRQ = 4-7 Kft-lbs, SPP = 1900-2100 Psi Pumped 40 bbls hi-vis pill. Circ - shakers cleaned. Meanwhile increased MW from 1.45 S.G to 1.47 S.G. Flow Checked - OK. POOH 17-1/2" PDC Bit/ Packed BHA from 1054 m to 250 m for wiper trip (Inside Csg shoe) - Hole slick.  RIH 17-1/2" PDC Bit / Packed BHA from 250 m to 1044 m. Washed down from 1044 m to 1054m.  Swept hole with 2 x 40 bbl hi vis pills (tandem) Circ – shakers cleaned. Flow Checked - OK.  Spotted 100 bbl hi vis pill at btm. Pumped slug &amp; dropped EMS survey tool.  POOH 17-1/2" PDC Bit / Packed BHA from 1054 m to surface. L/D 9-1/2" NMDC + 3 x stabs + bit. M/U test plug assy. Retrieved wear bushing. L/D test plug assy. R/D mud umbrella. R/U Wellserve Csg running gears. PJSM. P/U &amp; M/U 14” Csg (114 #, BTC,P-110) with F/S &amp; F/C on 1st and 5th jnt already Baker locked &amp; torqued up on racks. Checked integrity of floats - OK.  RIH 14" Csg to 283 m. Filled up each jnt while RIH. Update at 0600 hrs: RIH 14" x 13-3/8" Csg at 730 m in progress.</t>
  </si>
  <si>
    <t>RIH 17-1/2" Bit / Packed BHA from 636 m to 1005 m</t>
  </si>
  <si>
    <t>POOH 17-1/2" PDC Bit / Packed BHA from 1054 m to surface</t>
  </si>
  <si>
    <t>POOH 17-1/2" PDC Bit/ Packed BHA from 1054 m to 250 m for wiper trip (Inside Csg shoe) - Hole slick</t>
  </si>
  <si>
    <t>RIH 17-1/2" PDC Bit / Packed BHA from 250 m to 1044 m</t>
  </si>
  <si>
    <t>RIH 14 x 13-3/8" Casing to 1052 m (Shoe depth). Set 13-3/8" Casing slips. Performed Casing cement job as per program. Worked on Wellhead.</t>
  </si>
  <si>
    <t xml:space="preserve">Work on Wellhead. N/U 13-5/8" BOP stack &amp; Press test. RIH 12-1/4" Tricone Bit / Slick BHA for COC.  </t>
  </si>
  <si>
    <t>9-5/8"</t>
  </si>
  <si>
    <t>53.5 / 47</t>
  </si>
  <si>
    <t>Vam-21 / TSH BLUE</t>
  </si>
  <si>
    <t>Preparing 12-1/4" section High Performance Mud in progress.</t>
  </si>
  <si>
    <t xml:space="preserve"> RIH 14" x 13-3/8" Csg from 283 m to 1052 m (Total jnts = 90) with centralizers installed as per tally. Filled up Csg every 5 Jts. Washed down last jnt. Circ 1 x hole cycle. Meanwhile reciprocated string. Lifted 21-1/4" Diverter System. Centered Csg &amp; set Csg hanger. H/U 1502 connections with CHH side outlets. Broke circ thru side outlets of CHH. Meanwhile  prepared mix fluid. Held PJSM. R/U cement head &amp; Slb Dowell unit lines. Flushed &amp; Press tested lines at 500 / 4000 psi - OK. Pumped 100 bbls Mud Push II spacer of 14 ppg from Rig pump. Dropped bottom plug. Switched to cmnt unit. Pumped 440 bbls of 15.2 ppg fly mixed lead  slurry followed by 150 bbls of 16.2 ppg of batch mixed tail slurry. Dropped top plug. Displaced with 20 bbls Mud Push II spacer. Switched to Rig pumps. Displaced  with 469 bbls mud. Plug bumped. Increased pressure to 2500 psi &amp; Press tested Csg at 2500 psi. Held pressure for 15 mints - OK. While displacement, dumped  contaminated spacer &amp; ~ 90 bbls neat cmnt (Max wt - 15 ppg). Checked back flow - No flow. R/D Slb Dowell Lines &amp; L/D cement head. Meanwhile flushed CHH side outlet valves &amp; closed same. Lifted 21-1/4" Diverter system. Rough cut 13-3/8" Csg. L/D landing joint. N/D 21-1/4" Diverter system and spacer spools.  Final cut 13-3/8" Csg. Update at 0600 hrs: N/U 13-5/8" BOP in progress.</t>
  </si>
  <si>
    <t>Worked on Wellhead. N/U 13-5/8" BOP stack. Press tested BOP. L/D 9-1/2" DCs.</t>
  </si>
  <si>
    <t>RIH 12-1/4" PDC Bit / Slick BHA. COC. Drill 3m new formation. FIT. Drill 12-1/4" hole to 1080 m. POOH.</t>
  </si>
  <si>
    <t>13-5/8"</t>
  </si>
  <si>
    <t>5K</t>
  </si>
  <si>
    <t>Annular</t>
  </si>
  <si>
    <t>10K</t>
  </si>
  <si>
    <t>5.5" UPR</t>
  </si>
  <si>
    <t>BR</t>
  </si>
  <si>
    <t xml:space="preserve">Installed 21-1/4"x13-5/8"10K CHS. Tightenend stud bolts. PT Ring gasket + FS Seals (Upper &amp; Lower) + Csg Hanger at 300 / 1600 psi for 15/15 mins - OK. </t>
  </si>
  <si>
    <t xml:space="preserve">Installed Bell nipple and mud umbrella. Connected flow line. </t>
  </si>
  <si>
    <t xml:space="preserve">L/D 2 x 9-1/2" DC jts single by single. </t>
  </si>
  <si>
    <t>7 Hrs downtime on CCDC-30 for taking extra time for N/U BOP Stack &amp; P/T BOP.. Changed Mud Pump liners from 180mm to 160mm of all three pumps.. Prepared High Performance Mud for 12-1/4" section.</t>
  </si>
  <si>
    <t xml:space="preserve"> Bevelled and dressed 13-3/8" Csg stub.  Installed 21-1/4"x13-5/8"10K CHS. Tightenend stud bolts. PT Ring gasket + FS Seals (Upper &amp; Lower) + Csg Hanger at 300 / 1600 psi for 15/15 mins - OK.  N/U 13-5/8" x 10K BOP stack &amp; related equipment. Function tested from all three remote panels. Connected kill &amp; choke lines. (3.5 Hrs NPT to CCDC for delay) M/U test plug assy. Set test plug in CHS.  Pressure tested annular BOP at 350 / 4000 psi - OK. Pressure test UPR + Blind rams + LPR + Kill / Choke line + HCR + Manual valves + IBOP + Chokemanifold (Offline) at 350 / 4000 psi - OK. (3.5 Hrs NPT to CCDC for delay) Installed wear bushing. L/D test plug assy. Installed Bell nipple and mud umbrella. Connected flow line.  L/D 3 x 9-1/2" DC jts single by single.  Update at 0600 hrs: RIH 12-1/4" PDC Bit / Slick BHA at 605 m in progress.</t>
  </si>
  <si>
    <t xml:space="preserve">RIH 12-1/4" PDC Bit / Slick BHA. COC. Drilled 12-1/4" hole from 1054 to 1057 m. FIT at 2.25 EMW. Drilled 12-1/4" hole from 1057 to 1084 m. POOH. P/U &amp; M/U 69 x 5" DP jts. </t>
  </si>
  <si>
    <t>P/U &amp; M/U 24 x 5" DP jts. RIH 12-1/4" Bit / Directional BHA. Drill ahead.</t>
  </si>
  <si>
    <t>NB 4</t>
  </si>
  <si>
    <t>TKC59S</t>
  </si>
  <si>
    <t>E262931</t>
  </si>
  <si>
    <t>Murree</t>
  </si>
  <si>
    <t>12-1/4" PDC Bit , Bit sub (FV), 9 x 8" DC, 8" JAR, X/O, 6 x 6-1/2" DC</t>
  </si>
  <si>
    <t xml:space="preserve"> L/D 2 x 9-1/2" DC jts single by single.  M/U &amp; RIH 12-1/4" PDC Bit (TKC59S) / Slick BHA to 1003 m. While RIH, P/U 69 x 5" DP &amp; 21 x 5-1/2" DP single by single. Drifted, hammered &amp; flushed each jnt.  Tagged TOC at 1003 m. COC from 1003 to 1054m. Obsrvd hard cmnt. Drilled out F/C &amp; F/S at 1003 m &amp; 1052 m respectively. COC Parameters: WOB = 3-8 tons, RPM = 70-75, GPM = 750, TRQ = 3-7 Kft-lbs Commenced stage – III drilling &amp; drilled 12-1/4” hole from 1054 to 1057m. Circ – cleaned hole.  R/U Slb Dowell unit lines &amp; flushed same. Conducted FIT at 2.25 EMW (Applied surface pressure = 1159 psi) with 1.47 SG mud . R/D Slb Dowell unit lines. Drilled 12-1/4” hole from 1057 m to 1084 m. Meanwhile increased MW from 1.47 S.G to 1.5 S.G.  Drilling Parameters: WOB = 3-8 tons, RPM = 125, GPM = 750, TRQ = 3-7 Kft-lbs, SPP = 1600 – 1800 Psi Circ- cleaned hole. Flow Checked – Ok. Pumped slug.  POOH 12-1/4” bit / slick BHA from 1084 m to surface. Inspected bit (In gauge &amp; in good condition) P/U, M/U &amp; RIH 69 x 5" DP jts to 655 m single by single. Drifted, hammered &amp; flushed each jnt 20" x 13-3/8" Annulas Pressure = 0 Psi. Update at 0600 hrs: RIH 12-1/4" PDC Bit / Directional BHA at 40 m in progress.</t>
  </si>
  <si>
    <t>M/U &amp; RIH 12-1/4" PDC Bit (TKC59S) / Slick BHA to 1003 m</t>
  </si>
  <si>
    <t>POOH 12-1/4” bit / slick BHA from 1084 m to surface</t>
  </si>
  <si>
    <t>P/U &amp; M/U 24 x 5" DP jts. RIH 12-1/4" Bit / Directional BHA to btm. Drilled 12-1/4" hole from 1084 m to 1380 m.</t>
  </si>
  <si>
    <t>Drill ahead.</t>
  </si>
  <si>
    <t>Q-125/P-110</t>
  </si>
  <si>
    <t xml:space="preserve"> 4 RR1</t>
  </si>
  <si>
    <t>Chorgali</t>
  </si>
  <si>
    <t>12-1/4" PDC Bit , XCEED 900 , Vortex x-over, Motor, Float sub, Lower saver sub, Slim pulse, Upper saver sub, NMDC, 5 x 8" DC, Drilling Jar, 2 x 8" DC, X-Over, 6 x 5" HWDP</t>
  </si>
  <si>
    <t xml:space="preserve"> P/U, M/U &amp; RIH 24 x 5" DP jts from 655 m to 864 m single by single. Flushed string with high GPM. POOH &amp; rack back 5" DP stds from 864 m to surface.  P/U, M/U &amp; RIH 12-1/4" PDC Bit RR (TKC59S) + Xceed + Motor + SPSA &amp; NMDC to 32 m. Installed MWD tool. Performed SHT - Ok.  RIH 12-1/4" PDC Bit / Xceed vortex BHA from 32 m to 1084 m. Washed down last stnd. While RIH, filled up string &amp; took MWD survey after every 300 m. Drilled 12-1/4” hole from 1084 m to 1380 m with 100% returns. Downlinked Xceed and Pumped hi-vis pill as required. Reamed &amp; recorded MWD survey at each connection. During drilling, gradually increased MW from 1.5 S.G to 1.64 S.G Drilling Parameters: WOB = 3-8 tons, RPM = S/B 70/155, GPM = 750-780, TRQ = 3-7 Kft-lbs, SPP = 2800 – 3200 Psi 20" x 13-3/8" Annulas Pressure = 0 Psi. Update at 0600 hrs: Drilling 12-1/4” hole at 1553 m in progress.</t>
  </si>
  <si>
    <t>RIH 12-1/4" PDC Bit / Xceed vortex BHA from 32 m to 1084 m</t>
  </si>
  <si>
    <t>Drilled 12-1/4" hole from 1380 m to 1864 m.</t>
  </si>
  <si>
    <t xml:space="preserve">Drill ahead. </t>
  </si>
  <si>
    <t xml:space="preserve"> Drilled 12-1/4” hole from 1380 to 1864 m. Downlinked Xceed &amp; Pumped hi-vis pill as required. Reamed &amp; recorded MWD survey at each connection. While drilling,  Gradually increased MW from 1.64 S.G to 1.77 S.G &amp; Maintained bridging in active system as per program. Drilling Parameters: WOB = 7-14 tons, RPM = S/B 80/167, GPM = 750-780, TRQ = 3-8 Kft-lbs, SPP = 3200 – 3700 Psi Bridging in Active system = 26 ppb (ADI/MASS CARB-150 = 5 ppb, ASPHASOL SUPREME= 3 ppb, CALCIUM CARBONATE 500/MASS CARB 600 = 5ppb,  G-SEAL HRG FINE= 5 ppb, G-SEAL PLUS = 5 ppb, M-I-X II FINE= 3 ppb) 20" x 13-3/8" Annulas Pressure = 0 Psi. Update at 0600 hrs: Drilling 12-1/4” hole at 1958 m in progress.</t>
  </si>
  <si>
    <t>Drilled 12-1/4" hole from 1864 m to 2229 m.</t>
  </si>
  <si>
    <t>Drill ahead to 2247 m. Wiper trip to 13-3/8" Casing shoe. Drill ahead.</t>
  </si>
  <si>
    <t xml:space="preserve">Obsvd Mud pump # 2 blower power failure - Rectified the same. Meanwhile Circ with pump # 1. </t>
  </si>
  <si>
    <t xml:space="preserve">Mud pump 3 High pressure filter seal needs to be replaced. Work on mud pump in progress.  </t>
  </si>
  <si>
    <t xml:space="preserve"> Drilled 12-1/4” hole from 1864 to 1893 m. Downlinked Xceed &amp; Pumped hi-vis pill as required. Reamed &amp; recorded MWD survey at each connection. While drilling,  Gradually increased MW from 1.77 S.G to 1.78 S.G &amp; Maintained bridging in active system as per program. Obsvd leakage in Kelly hose seal. POOH 1 std &amp; Circ via circ head. Meanwhile replaced Kelly hose seal and P/T the same at 4000 psi - Ok.  Drilled 12-1/4” hole from 1893 to 2218 m. Downlinked Xceed &amp; Pumped hi-vis pill as required. Reamed &amp; recorded MWD survey at each connection. While drilling,  gradually increased MW from 1.78 S.G to 1.81 S.G. Obsvd Mud pump #1 pop off valve piston wash and Mud pump # 3 High pressure filter seal wash. Worked on mud pumps, Meanwhile Circ with pump # 2.  Drilled 12-1/4” hole from 2218 to 2229 m. Downlinked Xceed. Drilling Parameters: WOB = 8-15 tons, RPM = S/B 80/163, GPM = 750-780, TRQ = 3-8 Kft-lbs, SPP = 3300 – 3800 Psi Bridging in Active system = 26 ppb (ADI/MASS CARB-150 = 5 ppb, ASPHASOL SUPREME= 3 ppb, CALCIUM CARBONATE 500/MASS CARB 600 = 5ppb,  G-SEAL HRG FINE= 5 ppb, G-SEAL PLUS = 5 ppb, M-I-X II FINE= 3 ppb) 20" x 13-3/8" Annulas Pressure = 0 Psi. Update at 0600 hrs: POOH at 1750 m for wiper trip in progress.</t>
  </si>
  <si>
    <t>Drilled 12-1/4" from 2229 to 2247 m. Wiper trip to 13-3/8" Casing shoe. Drilled 12-1/4" hole from 2247 m to 2350 m.</t>
  </si>
  <si>
    <t>13-3/8 x 14"</t>
  </si>
  <si>
    <t xml:space="preserve"> Drilled 12-1/4” hole from 2229 to 2247 m. Downlinked Xceed &amp; Pumped hi-vis pill as required. Reamed &amp; recorded MWD survey at each connection.  Pumped 50 bbl weighted Hi-vis pill.  Obsvd Mud pump # 2 blower power failure - Rectified the same. Meanwhile Circ with pump # 1.  Circ till shakers clean. Flow checked - Ok.  POOH 12-1/4” Bit/ Directional BHA from 2247 m to 1044 m (Inside 13-3/8" Csg) . During POOH obsvd O/P of 7-15 Tons at  2119, 2092, 2071, 2021, 2006, 1931 &amp; 1788 m - 1788 &amp;1755 m - cleared by pump out. Obsvd 10-18 Tons 1451 m and 1495 m - cleared with reaming.  RIH 12-1/4" Bit / Directional BHA from 1044 m to 2247 m - Hole slick.  Drilled 12-1/4” hole from 2247 to 2350 m. Downlinked Xceed &amp; Pumped hi-vis pill as required. Reamed &amp; recorded MWD survey at each connection. Gradually increased MW from 1.81 S.G to 1.82 S.G. Drilling Parameters: WOB = 8-16 tons, RPM = S/B 80/163, GPM = 700-720, TRQ = 4-12 Kft-lbs, SPP = 3300 – 3800 Psi Bridging in Active system = 26 ppb (ADI/MASS CARB-150 = 5 ppb, ASPHASOL SUPREME= 3 ppb, CALCIUM CARBONATE 500/MASS CARB 600 = 5ppb,  G-SEAL HRG FINE= 5 ppb, G-SEAL PLUS = 5 ppb, M-I-X II FINE= 3 ppb) 20" x 13-3/8" Annulas Pressure = 0 Psi. Update at 0600 hrs: Drilling 12-1/4” hole at 2440 m in progress.</t>
  </si>
  <si>
    <t xml:space="preserve">POOH 12-1/4” Bit/ Directional BHA from 2247 m to 1044 m (Inside 13-3/8" Csg) </t>
  </si>
  <si>
    <t>RIH 12-1/4" Bit / Directional BHA from 1044 m to 2247 m - Hole slick</t>
  </si>
  <si>
    <t>Drilled 12-1/4" hole from 2350 m to 2615 m.</t>
  </si>
  <si>
    <t xml:space="preserve"> Drilled 12-1/4” hole from 2350 to 2615 m. Downlinked Xceed &amp; Pumped hi-vis pill as required. Reamed &amp; recorded MWD survey at each connection. Gradually increased MW from 1.82 S.G to 1.84 S.G. During drilling, changed all Mud Pump liners to 150 mm one by one.  Drilling Parameters: WOB = 8-16 tons, RPM = S/B 100/179, GPM = 720-730, TRQ = 4-13 Kft-lbs, SPP = 3900 – 4200 Psi Bridging in Active system = 26 ppb (ADI/MASS CARB-150 = 5 ppb, ASPHASOL SUPREME= 3 ppb, CALCIUM CARBONATE 500/MASS CARB 600 = 5ppb,  G-SEAL HRG FINE= 5 ppb, G-SEAL PLUS = 5 ppb, M-I-X II FINE= 3 ppb) 20" x 13-3/8" Annulas Pressure = 0 Psi. Update at 0600 hrs: Drilling 12-1/4” hole at 2657 m in progress.</t>
  </si>
  <si>
    <t>Drilled 12-1/4" hole from 2615 m to 2756 m.</t>
  </si>
  <si>
    <t xml:space="preserve"> Drilled 12-1/4” hole from 2615 to 2697 m. Downlinked Xceed &amp; Pumped hi-vis pill as required. Reamed &amp; recorded MWD survey at each connection.  Work on Mud pumps.  Drilled 12-1/4” hole from 2697 to 2756 m. Recorded SCR. Downlinked Xceed &amp; Pumped hi-vis pill as required. Reamed &amp; recorded MWD survey at each connection.  Drilling Parameters: WOB = 8-16 tons, RPM = S/B 80/160, GPM = 700-730, TRQ = 4-13 Kft-lbs, SPP = 3900 – 4250 Psi Bridging in Active system = 26 ppb (ADI/MASS CARB-150 = 5 ppb, ASPHASOL SUPREME= 3 ppb, CALCIUM CARBONATE 500/MASS CARB 600 = 5ppb,  G-SEAL HRG FINE= 5 ppb, G-SEAL PLUS = 5 ppb, M-I-X II FINE= 3 ppb) 20" x 13-3/8" Annulas Pressure = 0 Psi. Update at 0600 hrs: Drilling 12-1/4” hole at 2782 m in progress.</t>
  </si>
  <si>
    <t>Drilled 12-1/4" hole from 2756 m to 2884 m.</t>
  </si>
  <si>
    <t xml:space="preserve">Drill ahead to 2891 m (Section TD). POOH 12-1/4" Bit / Directional BHA to surface. RIH 12-1/4" Bit / Packed BHA for condition trip. </t>
  </si>
  <si>
    <t>Sakesar</t>
  </si>
  <si>
    <t xml:space="preserve"> Drilled 12-1/4” hole from 2756 to 2884 m. Increased MW from 1.84 S.G to 1.85 S.G. Downlinked Xceed &amp; Pumped hi-vis pill as required. Reamed &amp; recorded MWD  survey at each connection. Drilling Parameters: WOB = 8-20 tons, RPM = S/B 100/176, GPM = 700-710, TRQ = 4-13 Kft-lbs, SPP = 4000 – 4400 Psi Bridging in Active system = 26 ppb (ADI/MASS CARB-150 = 5 ppb, ASPHASOL SUPREME= 3 ppb, CALCIUM CARBONATE 500/MASS CARB 600 = 5ppb,  G-SEAL HRG FINE= 5 ppb, G-SEAL PLUS = 5 ppb, M-I-X II FINE= 3 ppb) 20" x 13-3/8" Annulas Pressure = 0 Psi. Update at 0600 hrs: POOH 12-1/4" Bit / Directional BHA at 2590 m in progress.</t>
  </si>
  <si>
    <t xml:space="preserve">Drilled 12-1/4" hole from 2884 to 2891 m (Section TD). POOH 12-1/4" Bit / Directional BHA to surface. RIH 12-1/4" Bit / Packed BHA to 1017 m. </t>
  </si>
  <si>
    <t xml:space="preserve">Slip drill line. RIH 12-1/4" Bit / Packed BHA to btm. Wiper Trip. POOH to surface. </t>
  </si>
  <si>
    <t xml:space="preserve"> 4 RR2</t>
  </si>
  <si>
    <t>1-3-RO-S-X-I-WT-TD</t>
  </si>
  <si>
    <t xml:space="preserve">Water supply stopped due to local demands. Needs to be solved on urgent basis. </t>
  </si>
  <si>
    <t>12-1/4" PDC Bit , 12-1/4" N.B STAB, 1 x 8" DC, 12-1/4" S. STAB, 1 x 8" DC, 12-1/4" S. STAB, 5 x 8" DC, Drilling Jar, 2 x 8" DC, X-Over, 6 x 5" HWDP</t>
  </si>
  <si>
    <t xml:space="preserve"> Drilled 12-1/4” hole from 2884 to 2891 m (Section TD). Reamed &amp; recorded MWD survey.  Drilling Parameters: WOB = 6-15 tons, RPM = S/B 100/176, GPM = 700-710, TRQ = 4-13 Kft-lbs, SPP = 4050 – 4400 Psi Pumped 40 bbl Hi-vis pill and circ till shakers clean.  POOH 12-1/4" Bit / Directional BHA from 2891 m to 166 m (Top of BHA). During POOH Obsvd 10-15 Tons O/P at 2525, 2439, 2407, 2377 m - cleared with pump out &amp;  Obsvd 10-17 O/P at 2512 m - cleared with back reaming. Flow checked at Btm, 13-3/8" csg shoe and BHA - Ok.   POOH 12-1/4" Bit from 166 m to surface. L/D directional BHA. Gauged bit - Ok.  RIH 12-1/4" Bit / Packed BHA for condition trip to 1017 m. Monitored well thru trip tank Slip drill line.  Bridging in Active system = 26 ppb (ADI/MASS CARB-150 = 5 ppb, ASPHASOL SUPREME= 3 ppb, CALCIUM CARBONATE 500/MASS CARB 600 = 5ppb,  G-SEAL HRG FINE= 5 ppb, G-SEAL PLUS = 5 ppb, M-I-X II FINE= 3 ppb) 20" x 13-3/8" Annulas Pressure = 0 Psi. Update at 0600 hrs: RIH 12-1/4" Bit / Packed BHA at 1738 m in progress.</t>
  </si>
  <si>
    <t>POOH 12-1/4" Bit / Directional BHA from 2891 m to 166 m (Top of BHA)</t>
  </si>
  <si>
    <t>RIH 12-1/4" Bit / Packed BHA for condition trip to 1017 m</t>
  </si>
  <si>
    <t>Cased</t>
  </si>
  <si>
    <t xml:space="preserve"> Installed Mud umbrella.  RIH 17-1/2” PDC Bit / Motor BHA to 279m. Washed down last std. Broke bit at low parameters. Drilled 17-1/2” hole from 279 m to 813 m. Pumped hi-vis as required &amp; reamed at each connection. While drilling, gradually inc MW  from 1.15 S.G to 1.32 S.G as per plan. Drilling Parameters: WOB = 3- 12 tons, RPM S/B= 100 / 200 , GPM = 850 – 950, TRQ = 4-7 Kft-lbs, SPP = 1900-2100 Psi Update at 0600 hrs: Drilling 17-1/2" Hole at 930 m in progress.</t>
  </si>
  <si>
    <t>Wiper trip</t>
  </si>
  <si>
    <t>Slip drill line. RIH 12-1/4" Bit / Packed BHA to btm. POOH 12-1/4" Bit / Packed BHA to 1796 m for wiper trip.</t>
  </si>
  <si>
    <t xml:space="preserve">POOH 12-1/4" Bit/ Packed BHA from 1796 m to 1046 m. RIH to btm. POOH to surface. RIH 9-5/8" Csg as per program. </t>
  </si>
  <si>
    <t xml:space="preserve"> Slip 30 m drill line. Function tested C-O-MATIC and Aligned TDS.  RIH 12-1/4" Bit / Packed BHA from 1017 m to 2891 m. During RIH obsvd obstruction of 15-20 tons at 1252, 1414, 1463, 1608, 1787, 1851, 1929, 2359, 2388, 2457,  2501, 2547, 2604, 2661, 2746, 2810, 2847- 2858, 2878-2889 m - Cleared with reaming. Monitored well thru trip tank. Increased MW from 1.85 S.G to 1.87 S.G. Swept hole with 40 bbl Hi-vis pill till shakers clean. Flow checked - Ok.  POOH 12-1/4" Bit / Packed BHA from 2891 m to 1796 m. During POOH Obsvd O/P of 10-15 tons at 2635, 2579, 2529 &amp; 2434 m - cleared with back reaming.  Bridging in Active system = 26 ppb (ADI/MASS CARB-150 = 5 ppb, ASPHASOL SUPREME= 3 ppb, CALCIUM CARBONATE 500/MASS CARB 600 = 5ppb,  G-SEAL HRG FINE= 5 ppb, G-SEAL PLUS = 5 ppb, M-I-X II FINE= 3 ppb) 20" x 13-3/8" Annulas Pressure = 0 Psi. Update at 0600 hrs: RIH 12-1/4" Bit / Packed BHA at 2550 m in progress.</t>
  </si>
  <si>
    <t>RIH 12-1/4" Bit / Packed BHA from 1017 m to 2891 m</t>
  </si>
  <si>
    <t>POOH 12-1/4" Bit / Packed BHA from 2891 m to 1796 m</t>
  </si>
  <si>
    <t xml:space="preserve">POOH 12-1/4" Bit/ Packed BHA from 1796 m to 1046 m. RIH from 1046 m to btm. Performed check trip to 2400 m. POOH to surface. </t>
  </si>
  <si>
    <t xml:space="preserve">RIH 9-5/8" Csg as per program. </t>
  </si>
  <si>
    <t xml:space="preserve"> POOH 12-1/4" Bit / Packed BHA from 1796 m to 1046 m. Monitored well thru trip tank. RIH 12-1/4" Bit / Packed BHA from 1046 m to 2891 m - Hole slick. Washed down last std. Monitored well thru trip tank. Performed check trip to 2400 m - Hole slick. Pumped 40 bbl Hi-vis pill and circ till shakers clean.  Spotted 200 bbl 1.89 S.G weighted Hi-vis pill at btm.  POOH 12-1/4" Bit / Packed BHA from 2891 m to surface. L/D 3 x 12-1/4" stabs + 2 x 8" DCs. Flow checked at btm, 1046 &amp; BHA -Ok. Monitored well thru trip tank. M/U Test plug assy. Retreived wear bushing. Removed mud umbrella. Changed UPR rams to 9-5/8" Csg rams.  Bridging in Active system = 26 ppb (ADI/MASS CARB-150 = 5 ppb, ASPHASOL SUPREME= 3 ppb, CALCIUM CARBONATE 500/MASS CARB 600 = 5ppb,  G-SEAL HRG FINE= 5 ppb, G-SEAL PLUS = 5 ppb, M-I-X II FINE= 3 ppb) 20" x 13-3/8" Annulas Pressure = 0 Psi. Update at 0600 hrs: RIH 9-5/8" csg at 457 m in progress.</t>
  </si>
  <si>
    <t>POOH 12-1/4" Bit / Packed BHA from 2891 m to surface</t>
  </si>
  <si>
    <t>POOH 12-1/4" Bit / Packed BHA from 1796 m to 1046 m</t>
  </si>
  <si>
    <t>RIH 12-1/4" Bit / Packed BHA from 1046 m to 2891 m - Hole slick</t>
  </si>
  <si>
    <t>RIH 9-5/8" Casing to 2530 m with centralizers installed as per program.</t>
  </si>
  <si>
    <t>RIH 9-5/8" Casing to 2885 m. Set 9-5/8" Casing slips. Performed Casing cement job. Work on wellhead. P/T BOP Stack.</t>
  </si>
  <si>
    <t>RIH 9-5/8" Csg from 2530 m to 2885 m (Total 252 jts). L/D fill up tool. Installed circ head. Washed down last jnt.</t>
  </si>
  <si>
    <t xml:space="preserve"> Tightened bolts. Installed Test plug. P/T bonnet seals at 1000 psi for 10 mins - Ok. Meanwhile R/U Wellserve Casing running gears. Held PJSM. P/U &amp; M/U first 8 jts of 9-5/8" Csg with F/Shoe &amp; F/Collar already baker locked and torqued up on 1st and 8th jt respectively. Checked integrity of floats -Ok. RIH 9-5/8" Csg to 2530 m (221 jts). Installed centralizers &amp; ECP as per program. While RIH, filled up every jnt of Csg with fill up tool &amp; monitored well via trip tank. Broke circ and recorded parameters at 1045 m and 2000 m.  Bridging in Active system = 26 ppb (ADI/MASS CARB-150 = 5 ppb, ASPHASOL SUPREME= 3 ppb, CALCIUM CARBONATE 500/MASS CARB 600 = 5ppb,  G-SEAL HRG FINE= 5 ppb, G-SEAL PLUS = 5 ppb, M-I-X II FINE= 3 ppb) 20" x 13-3/8" Annulas Pressure = 0 Psi. Update at 0600 hrs: Lifting BOP stack to set 9-5/8" csg hanger in progress. </t>
  </si>
  <si>
    <t>RIH 9-5/8" Csg to 2885 m. Set 9-5/8" Csg hanger. Performed Csg cement job. Rough cut 9-5/8" Csg. N/D BOP. Final cut 9-5/8" Casing.</t>
  </si>
  <si>
    <t>Work on wellhead. N/U &amp; P/T BOP Stack. L/D 8" DCs. P/U &amp; M/U 5" DP stds. RIH 8-1/2" PDC bit / Directional BHA. COC.</t>
  </si>
  <si>
    <t>Vam - 21</t>
  </si>
  <si>
    <t xml:space="preserve">Active system Bridging = 26 ppb (ADI/MASS CARB-150=5 ppb, ASPHASOL SUPREME=3 ppb, CALCIUM CARBONATE 500/MASS CARB 600=5ppb, G-SEAL HRG FINE=5 ppb, G-SEAL PLUS=5 ppb, M-I-X II FINE=3 ppb). Cutting Mud weight from 1.87 S.G to 1.5 S.G is in progress. </t>
  </si>
  <si>
    <t xml:space="preserve"> RIH 9-5/8" Csg from 2530 m to 2885 m (Total 252 jts). L/D fill up tool. Installed circ head. Washed down last jnt. Circ btms up. Recorded pressures at different GPM. Meanwhile reciprocated string. R/U Dowell cmnt head. Connected Y with both cmnt unit &amp; rig pumps. Held PJSM. Flushed surface lines and P/T same @ 500 / 5000 psi - OK. Broke circ.  Lifted BOP stack and set 9-5/8" Csg hanger.  Circ via side outlets of CHH. Meanwhile prepared mix fluid and weighted up cement slurries. Held PJSM. Pumped 100 bbl CEMPRIME scrub of 16.5 ppg @ 10 bpm followed by 50 bbl 16.5 ppg Mudpush II via rig pumps @ 10 bpm. Dropped btm plug. Switched over to dowell unit. Pumped 150 bbl of 17.4 ppg lead slurry+ 100 bbl of 17.4 ppg tail slurry+ 340 bbl of 17.4 ppg lead slurry followed by 99.1 bbl of 17.4 ppg tail slurry @ 5 bpm. Dropped top plug. Displaced slurry with 20 bbl 16.5 ppg Mudpush II Spacer + 637 bbl mud - obsrvd plug bumped.Increased pressure gradually to P/T 9-5/8" Csg and  activated ECP at 4600 psi for 10 mins - Ok. Checked for backflow - Negative. Obsvd full returns during cement job. Dumped 130 bbl of neat cement(Max wt=17.4ppg) R/D Dowell cementing head &amp; surface lines. Lifted BOP stack. Rough cut 9-5/8" Csg. L/D landing Jt.  N/D BOP stack.  Final cut 9-5/8" Csg stub &amp; bevelled same. 20" x 13-3/8" Annulas Pressure = 0 Psi. Update at 0600 hrs: N/U 13-5/8" 10K BOP Stack in progress. </t>
  </si>
  <si>
    <t xml:space="preserve">N/U 13-5/8" 10K x 11" 10K THS. N/U &amp; P/T 13-5/8" 10K BOP Stack. L/D 9 x 8" DCs. P/U, M/U &amp; RIH 6 x 5" HWDPs + 21 x 5" DP stds. Flushed string. POOH.  P/U &amp; M/U 8-1/2" Bit / Directional BHA. </t>
  </si>
  <si>
    <t>RIH 8-1/2" PDC bit / Directional BHA. COC. FIT at 1.8 S.G EMW. Drill ahead.</t>
  </si>
  <si>
    <t>5 RR</t>
  </si>
  <si>
    <t>Smith</t>
  </si>
  <si>
    <t>MDSi616</t>
  </si>
  <si>
    <t>JP6258</t>
  </si>
  <si>
    <t>6 x 12</t>
  </si>
  <si>
    <t>Used</t>
  </si>
  <si>
    <t xml:space="preserve">L/D 9 x 8" DCs single by single. </t>
  </si>
  <si>
    <t xml:space="preserve"> PDC Bit, PD 675 Orbit, Vortex X- Over, Motor PowerPak, Float Sub, Lower Saver Sub, Slim pulse 675, NMDC, 3 x 6-1/2" DC, 15 x 5" HWDP, 6-1/2" Jar,  6 x 5" HWDP</t>
  </si>
  <si>
    <t xml:space="preserve">Active system Bridging = 26 ppb (ADI/MASS CARB-150=5 ppb, ASPHASOL SUPREME=3 ppb, CALCIUM CARBONATE 500/MASS CARB 600=5ppb, G-SEAL HRG FINE=5 ppb, G-SEAL PLUS=5 ppb, M-I-X II FINE=3 ppb). Cut Mud weight of surface system from 1.87 S.G to 1.5 S.G. </t>
  </si>
  <si>
    <t xml:space="preserve"> N/U 13-5/8" - 10K x 11" - 10K THS. Tightenend stud bolts.  PT Ring gasket + FS Seals (Upper &amp; Lower) + Csg Hanger at 300/4000 psi  for 15 /15 min – Ok. N/U 13-5/8" - 10K BOP Stack. Changed UPR from 9-5/8” casing ram to 5-1/2” pipe rams. Function tested BOP - Ok.  M/U and installed test plug in THS.  PT annular BOP + UPR + Blind rams + LPR + Kill / Choke line + HCR + Manual valves + IBOP + Chokemanifold (Offline) at 300 / 4000 psi for 10 min each - Ok. Installed wear bushing &amp; L/D test plug assy. Installed mud umbrella. L/D 9 x 8" DCs single by single.  P/U, M/U &amp; RIH  6 x 5" HWDPs + 63 x 5" DPs to 657 m single by single. Flushed string at high GPM.  POOH 5" DP stds to surface.  P/U, M/U, &amp; RIH 8-1/2" PDC bit + PD Orbit. Performed SHT - Ok.   20" x 13-3/8" Annulas Pressure = 0 Psi. Update at 0600 hrs: RIH 8-1/2" Bit / Directional BHA to 1388 m in progress. </t>
  </si>
  <si>
    <t>POOH 5" DP stds to surface</t>
  </si>
  <si>
    <t>RIH 8-1/2" PDC bit / Directional BHA &amp; tagged TOC. COC from 2802 to 2880 m. Displaced hole with 1.5 S.G mud. COC from 2880 to 2891m. Drilled 8-1/2' hole from 2891 to 2895m. Conducted FIT at 1.8 S.G EMW. Drilled 8-1/2" hole from 2895 to 2976 m.</t>
  </si>
  <si>
    <t>20" x 13-3/8" Annulus Pressure = 0 Psi.</t>
  </si>
  <si>
    <t>13-3/8"  x 9-5/8" Annulus Pressure = 0 Psi</t>
  </si>
  <si>
    <t>Nammal</t>
  </si>
  <si>
    <t>Active system Bridging = 12 ppb (ADI/MASS CARB-150=2 ppb, ASPHASOL SUPREME=3 ppb, CALCIUM CARBONATE 500/MASS CARB 600=3ppb, G-SEAL HRG FINE=1 ppb, G-SEAL PLUS=1 ppb, M-I-X II FINE=2 ppb)</t>
  </si>
  <si>
    <t xml:space="preserve"> P/U &amp; M/U 8-1/2" PDC bit + PD Orbit + Mud Motor + SPSA - installed MWD tool. Performed SHT - Ok.   RIH 8-1/2" Bit / Directional BHA from 33m to 2802m. While RIH, filled up string after every 10 stnds. Washed down from 2778m. Tagged TOC at 2802m. COC from 2802m to 2880 m. Obsrvd hard cement. Drilled out F/C at 2803 m.  Displaced hole with 1.5 S.G mud. COC from 2880 to 2891m. Drilled out F/S at 2885 m.  COC Parameters: WOB = 8-12 tons, RPM =S/B=30/120, GPM=300, TRQ= 4-9 Kft-lbs, SPP=2100 psi Drilled 8-1/2” hole from 2891 to 2895 m. Circ – Homogenized mud column.  R/U Slb Dowell unit lines &amp; Press tested at 500/3000psi - OK. Conducted FIT at 1.8 EMW (Applied Surface Pressure = 1222psi) – OK. Bleed off. While FIT, obsrvd no  pressure on annulus gauges.  Drilled 8-1/2” hole from 2895 to 2976 m. Gradually inc MW from 1.50 S.G to 1.51 S.G. Pumped hi-vis pill as required. Reamed &amp; recorded MWD survey at connection. Drilling Parameters: WOB = 8-12 tons, RPM S/B=80/220, GPM=500, TRQ= 4-9 Kft-lbs, SPP=3800-4100 psi 20" x 13-3/8" Annulus Pressure = 0 Psi. 13-3/8"  x 9-5/8" Annulus Pressure = 0 Psi Update at 0600 hrs: Drilling 8-1/2" Hole at 3057 m in progress. </t>
  </si>
  <si>
    <t>RIH 8-1/2" Bit / Directional BHA from 33m to 2802m</t>
  </si>
  <si>
    <t>Drilled 8-1/2" hole from 2976 to 3191 m (Section TD). Circ . POOH 8-1/2" bit / directional BHA to 2880 m.</t>
  </si>
  <si>
    <t>POOH 8-1/2" bit / directional BHA from 2880 m to surface. RIH 8-1/2" bit / Packed BHA for condition trip.</t>
  </si>
  <si>
    <t>Warcha / Dandot</t>
  </si>
  <si>
    <t>Active system Bridging = 15 ppb (ADI/MASS CARB-150=2 ppb, ASPHASOL SUPREME=3 ppb, CALCIUM CARBONATE 500/MASS CARB 600=6ppb, G-SEAL HRG FINE=1 ppb, G-SEAL PLUS=1 ppb, M-I-X II FINE=2 ppb)</t>
  </si>
  <si>
    <t xml:space="preserve"> Drilled 8-1/2” hole from 2976 to 3188 m. Pumped hi-vis pill as required. Reamed &amp; recorded MWD survey at connection. Gradually raised MW from 1.51 to 1.53 S.G. Drilling Parameters: WOB = 8-12 tons, RPM =S/B=80/220, GPM=500, TRQ= 4-10 Kft-lbs, SPP=3800-4100 psi Circ for geological sample. Pumped 40 bbls hi-vis pill. Circ - shakers cleaned. Drilled 8-1/2” hole with controlled drilling parameters from 3188 to 3191 m (Section TD). Circ for geological sample. Flow Checked - Ok. POOH 8-1/2" Bit / directional BHA from 3188 m to 2880 m. While POOH, monitored well via trip tank. 20" x 13-3/8" Annulus Pressure = 0 Psi. 13-3/8"  x 9-5/8" Annulus Pressure = 0 Psi Update at 0600 hrs: POOH 8-1/2" Bit / Directional BHA at 266 m in progress. </t>
  </si>
  <si>
    <t>POOH 8-1/2" Bit / directional BHA from 3188 m to 2880 m</t>
  </si>
  <si>
    <t xml:space="preserve">POOH 8-1/2" Bit / Directional BHA from 2880 m to surface. RIH 8-1/2" bit / Packed BHA to btm for condition trip. POOH to 3063 m for Wiper trip. </t>
  </si>
  <si>
    <t>Perform Wiper trip to 9-5/8" Csg shoe. POOH. RIH 7" Liner as per program.</t>
  </si>
  <si>
    <t>5 RR 1</t>
  </si>
  <si>
    <t>1-1-WT-A-X-I-NO-TD</t>
  </si>
  <si>
    <t xml:space="preserve">Worked on draworks break. </t>
  </si>
  <si>
    <t>POOH 8-1/2" Bit / directional BHA from 3191 m to 3063 m for Wiper trip.</t>
  </si>
  <si>
    <t xml:space="preserve"> PDC Bit,  8-1/2" NB Stab, 6-1/2" DC ,  8-1/2" S.Stab, 6-1/2" DC ,  8-1/2" S.Stab,  6-1/2" DC, 15 x 5" HWDP, 6-1/2" Jar,  6 x 5" HWDP</t>
  </si>
  <si>
    <t xml:space="preserve"> POOH 8-1/2" Bit / directional BHA from 2880 m to 33 m. While POOH, Flow checked at 9-5/8" Csg shoe &amp; BHA - Ok. L/D directional tools. Inspected bit. Obsvd bit in gauge &amp; in good condition. RIH 8-1/2" PDC Bit (RR) / Packed BHA for condition trip to 2858 m. While RIH, filled up string after every 20 stnds. Slipped &amp; cut 100 m drill line. Function tested C-O-MATIC and calibrated Petro depth sensor.  Worked on draworks break.  RIH 8-1/2" PDC Bit (RR) / Packed BHA from 2858 m to btm. While RIH obsvd 8-10 tons obstruction 3176 m (lst std) - Reamed down and cleared same.  POOH 8-1/2" Bit / directional BHA from 3191 m to 3063 m for Wiper trip. 20" x 13-3/8" Annulus Pressure = 0 Psi. 13-3/8"  x 9-5/8" Annulus Pressure = 0 Psi Update at 0600 hrs: POOH 8-1/2" Bit / Packed BHA at 2295 m in progress. </t>
  </si>
  <si>
    <t>POOH 8-1/2" Bit / directional BHA from 2880 m to 33 m</t>
  </si>
  <si>
    <t>RIH 8-1/2" PDC Bit (RR) / Packed BHA for condition trip to 2858 m</t>
  </si>
  <si>
    <t>RIH 8-1/2" PDC Bit (RR) / Packed BHA from 2858 m to btm</t>
  </si>
  <si>
    <t>Performed Wiper trip to 9-5/8" Csg shoe. POOH. RIH 7" Liner to 2460m.</t>
  </si>
  <si>
    <t>RIH 7" Liner as per program. Circ. Set Hanger slips. Release setting tool. Perform cement job as per program. Set Hanger packer. POOH seeting tool.</t>
  </si>
  <si>
    <t>POOH 8-1/2" Bit / Packed BHA from 3063 m to 2880 m (Inside shoe) for wiper trip.</t>
  </si>
  <si>
    <t xml:space="preserve"> POOH 8-1/2" Bit / Packed BHA from 3063 m to 2880 m (Inside shoe) for wiper trip. RIH 8-1/2" Bit / Packed BHA from 2880 m to btm (3191m) - Hole slick.  Washed down last std.  Pumped 40 bbl Hi-vis pill. Circ &amp; screened out bridging material from active system. Flow checked - Ok.  Spotted 70 bbl 1.55 SG weighted hi-vis pill at btm.  POOH 8-1/2" Bit / packed BHA from 3191 m to surface. While POOH, Flow checked at 9-5/8" Csg shoe &amp; BHA - Ok. Monitored well via trip tank. L/D 3 x stabs. R/U Wellserve Casing running gears. P/U &amp; RIH 7” Csg (32#, Vam-21, P-110) with reamer shoe, float collar &amp; landing collar on 1st, 5th &amp; 6th jnt respectively. Torqued up &amp; baker locked. Checked integrity  of floats – OK. RIH 7” Liner to 523m. (38 jnts). Filled up Csg after every jnt. Installed circ head. Circ 1 x string volume. P/U Liner Hanger assy. Installed SWP. Torqued up X-O &amp; M/U with 7" Csg. Filled PBR with hi-vis. Checked integrity of RSM with circ - OK. Recorded parameters. RIH 7" Liner with Liner hanger assy from 523 m to 2460 m. Filled up string as per program and drifted each std.  20" x 13-3/8" Annulus Pressure = 0 Psi. 13-3/8"  x 9-5/8" Annulus Pressure = 0 Psi Update at 0600 hrs: Circ in progress. </t>
  </si>
  <si>
    <t>POOH 8-1/2" Bit / packed BHA from 3191 m to surface</t>
  </si>
  <si>
    <t>RIH 8-1/2" Bit / Packed BHA from 2880 m to btm (3191m) - Hole slick</t>
  </si>
  <si>
    <t>RIH 7" Liner to 3188 m . Set Hanger slips. Released setting tool. Performed cement job as per program. Set Hanger packer. POOH setting tool. RIH 8-1/2" Bit / slick BHA to 2237 m.</t>
  </si>
  <si>
    <t>RIH 8-1/2" Bit / slick BHA &amp; clear TOL. POOH. RIH 6 "PDC bit / motor BHA. COC. FIT. Drill ahead.</t>
  </si>
  <si>
    <t>5 RR 2</t>
  </si>
  <si>
    <t>POOH Liner hanger setting tool to surface &amp; L/D same.</t>
  </si>
  <si>
    <t>RIH 8-1/2" PDC bit (RR2) / slick BHA to 2237 m.</t>
  </si>
  <si>
    <t>Transferred 1090 bbl of HPWBM 1.52SG to 1.58SG to Adhi South-2.</t>
  </si>
  <si>
    <t>8.5" PDC Bit, Bitsub (FV), 6 x 6-1/2" DC, 21 x 5" HWDP</t>
  </si>
  <si>
    <t xml:space="preserve"> RIH 7" Liner with Liner hanger assy from 2460 m to 3191 m and tagged btm. Broke circ &amp; Recorded parameters at 9-5/8" csg shoe &amp; btm.  Circ btms-up @ 5-6 bpm (Max SPP 700 psi).  P/U &amp; M/U Cement Head. Dropped 1.75" setting ball and chased down the same - Obsvd ball seated. Increased pressure to 1400 psi to set Liner hanger- Confirmed Liner hanger setting  by 35 ton slack off. Increased pressure to 1800 psi to release setting tool hydraulically - Confirmed by pick-up. Re-engaged HNG tool. Sheared  ball seat at 3200 psi after several attempts. Circ. Meanwhile prepared mix fluid &amp; weighted up cement slurry. Held PJSM. R/U cementing lines &amp; P/T the same at 500 / 5000 psi - OK. Pumped 70 bbl Cemprime scrub spacer of 14 ppg at 7-8 bpm via rig pumps. Switched over to Dowell unit. Pumped 63 bbl Flexible Expendable Slurry of 15.8 ppg at 4 bpm. Dropped DP Dart. Displaced cement slurry with 20 bbl spacer + 30 bbl mud + 15 bbl spacer followed by 151 bbl mud as per program. Bumped plug.  Increased pressure to 3500 psi to P/T casing &amp; held for 10 minutes - OK. Bleed off - No back flow. P/U string &amp; activated RPA. Slacked off 35 tons to set Hanger PKR. Got clear indication of PKR setting at 15 &amp; 20 tons. L/D cement head. POOH &amp; released RSM. POOH setting tool to 2300 m. Direct circ 1.5 times hole volume. Obsrvd 15 bbls contaminated spacer. POOH Liner hanger setting tool to surface &amp; L/D same. RIH 8-1/2" PDC bit (RR2) / slick BHA to 2237 m. 20" x 13-3/8" Annulus Pressure = 0 Psi. 13-3/8"  x 9-5/8" Annulus Pressure = 0 Psi Update at 0600 hrs: POOH 8-1/2" PDC bit (RR2) / slick BHA at 2200 m in progress. </t>
  </si>
  <si>
    <t>Waiting on Cement</t>
  </si>
  <si>
    <t>RIH 8-1/2" Bit / slick BHA &amp; cleared TOL. POOH. L/D 21 x 5'' HWDP + 6 x 6-1/2'' DC. P/U, M/U &amp; RIH 11 x 4-3/4” DC + 21 x 3-1/2” HWDP + 75 x 3-1/2" DPs single by single. Flushed string</t>
  </si>
  <si>
    <t>POOH to surface . RIH 6 "PDC bit / motor BHA. COC. FIT. Drill ahead.</t>
  </si>
  <si>
    <t xml:space="preserve"> RIH 8-1/2" PDC bit (RR2) / slick BHA from 2200 m to 2293 m.  Washed down from 2293 m to 2657 m. Tagged TOL @ 2657 m.  Circulate and conditioned mud. Dumped 25 bbl contaminated cement.  POOH 8-1/2" PDC bit (RR2) / slick BHA from 2657 m to surface. While POOH, L/D 21 x 5'' HWDP jts + 6 x 6-1/2'' DC jts single by single. Work on power tong P/U, M/U &amp; RIH 11 x 4-3/4” DC + 21 x 3-1/2” HWDP + 75 x 3-1/2" DPs single by single to 1037 m. While P/U, hammered &amp; drifted each jt. Flushed string with high  GPM. Meanwhile prepared 900 bbls of 1.05 S.G KCL polymer Non - damaging mud. 20" x 13-3/8" Annulus Pressure = 0 Psi. 13-3/8"  x 9-5/8" Annulus Pressure = 0 Psi Update at 0600 hrs: RIH 6” PDC Bit / Motor BHA  at 1100 m in progress. </t>
  </si>
  <si>
    <t>RIH 8-1/2" PDC bit (RR2) / slick BHA from 2200 m to 2293 m</t>
  </si>
  <si>
    <t>POOH 8-1/2" PDC bit (RR2) / slick BHA from 2657 m to surface</t>
  </si>
  <si>
    <t>POOH from 1037 m to surface. RIH 6 "PDC Bit / Motor BHA. COC from 3117 to 3185 m. Displaced hole with 1.05 SG Non-Damaging mud. COC from 3185 to 3191 m. Conducted SIT at 1.3 EMW. Drilled 6" hole from 3191 m to 3233 m.</t>
  </si>
  <si>
    <t>Drill Ahead.</t>
  </si>
  <si>
    <t>TK63M</t>
  </si>
  <si>
    <t>3 x 10 + 3 x 9 (Fixed)</t>
  </si>
  <si>
    <t xml:space="preserve">Jutana </t>
  </si>
  <si>
    <t>6" PDC Bit, Power Pak A475M7838XP, Float Sub, Stabilizer , 11 x 4-3/4" DC, 15 x 3-1/2" HWDP, Jar, 6 x 3-1/2" HWDP</t>
  </si>
  <si>
    <t xml:space="preserve"> POOH from 1037 m to surface &amp; rack back. P/U &amp; RIH 6" PDC Bit (TK63M) with Mud motor. SHT - OK. RIH 6” PDC bit / Motor BHA to 3117m. Filled up string after every 15 stnds. Washed down last 2 stnds.  Tagged TOC at 3117m.  COC from 3117 to 3185 m. Drilled out plugs/ L/C &amp; F/C at 3117m &amp; 3131m respectively. While COC, obsrvd very hard cement. COC Parameters: WOB= 6-8 tons, SPP = 2600-2900psi, TRQ = 5-9 Kft-lbs, RPM S/B = 40/175, GPM = 240 Displaced hole with 1.05 S.G Non - Damaging KCL polymer mud. COC from 3185 to 3191 m. Drilled out F/S at 3188 m. R/U Slb Dowell unit lines &amp; P/T at 300 / 3000 psi. Conducted SIT at 1.3 EMW (Applied Surface Pressure = 1125 psi). R/D Slb Dowell unit lines. Recorded SCR. Commenced stage - V drilling &amp; drilled 6" hole from 3191 to 3233 m. Drilling Parameters: WOB= 6-8 tons, SPP = 1600-1900 psi, TRQ = 5-9 Kft-lbs, RPM S/B = 40/162, GPM = 230 20" x 13-3/8" Annulus Pressure = 0 Psi. 13-3/8"  x 9-5/8" Annulus Pressure = 0 Psi Update at 0600 hrs: Drilling 6" hole at 3311 m in progress. </t>
  </si>
  <si>
    <t>P/U &amp; RIH 6" PDC Bit (TK63M) with Mud motor to 3117m</t>
  </si>
  <si>
    <t>Drilled 6" hole from 3233 m to 3460 m (Well TD).</t>
  </si>
  <si>
    <t>Wiper trip to 7" Liner shoe. POOH. Record W/L logs as per program.</t>
  </si>
  <si>
    <t>Formation Name: Salt Range  at 3450 m MD / 3422 m TVD</t>
  </si>
  <si>
    <t xml:space="preserve">Sample Depth: 3460 m. </t>
  </si>
  <si>
    <t>Lithology: 50 % Anhydrite, Clay 30 %, Dolomite 20%</t>
  </si>
  <si>
    <t>Salt Range</t>
  </si>
  <si>
    <t xml:space="preserve"> Drilled 6" hole from 3233 m to 3460 m (Section TD). Obsvd max 486 Units gas in Tobra &amp; 792 Units gas in Khewra formation. Pumped hi-vis as required &amp; reamed at each connection. Drilling Parameters: WOB= 8-10 tons, SPP = 1500-1900 psi, TRQ = 5-9 Kft-lbs, RPM S/B = 80/200, GPM = 230-240 20" x 13-3/8" Annulus Pressure = 0 Psi. 13-3/8"  x 9-5/8" Annulus Pressure = 0 Psi Update at 0600 hrs: Circ in progress. </t>
  </si>
  <si>
    <t>Wiper trip to 7" Liner shoe. POOH 6" Bit/ Motor BHA from 3460 m to surface. Recorded W/L logs as per program.</t>
  </si>
  <si>
    <t xml:space="preserve">Record W/L logs as per program. Condition Trip. </t>
  </si>
  <si>
    <t>1-1-WT-N-X-I-NO-TD</t>
  </si>
  <si>
    <t xml:space="preserve"> Circ for geological sample. Swept 30 bbl Hi-vis pill and circ till shakers clean.  Performed Wiper trip to 7" csg shoe (3188 m). During POOH for wiper trip obsvd 5-10 tons OP at 3366 m - cleared with reaming. Hole slick during RIH.  Circ btms up. Obsvd max 74 Units trip gas on btm up. Flow checked – OK.  POOH from 3460 m to surface. Flow checked at TOL &amp; BHA - OK.  L/D Mud motor. Obsvd bit in gauge &amp; in good condition. L/D excess 24 x 3-1/2"DP + 21 x 5-1/2" DPs. Meanwhile prepared for W/L logging. Held PJSM. Installed shooting nipple &amp; W/L BOP. R/U W/L logging gears. Press tested W/L BOP &amp; Shooting nipple at 250 psi - OK. P/U, M/U &amp; RIH Slb W/L Tools Run # 1 (DLL-EMS-SP-GR) to btm. Recorded logs as per program. Monitored well thru trip tank.  20" x 13-3/8" Annulus Pressure = 0 Psi. 13-3/8"  x 9-5/8" Annulus Pressure = 0 Psi Update at 0600 hrs: Recording W/L logs in progress. </t>
  </si>
  <si>
    <t>POOH from 3460 m to surface</t>
  </si>
  <si>
    <t>Recorded W/L logs as per program.</t>
  </si>
  <si>
    <t xml:space="preserve"> Recorded Slb W/L Logs Run # 1 (DLL-EMS-SP-GR) as per program. POOH &amp; L/D W/L tools to surface. L/D W/L tools  Monitored well thru trip tank.  P/U, M/U &amp; RIH Slb W/L tools Run # 2 (Single LDS-CNL-MSFL-GR). Recorded logs as per program. POOH  to surface &amp; L/D W/L tools. Monitored well thru trip tank.  P/U, M/U &amp; RIH Slb W/L tools for Run # 3 (FMI-DSI-GR) to btm. Obsvd tool not responding properly. POOH to surface - Obsvd metal shavings on FMI tool. L/D tools. 20" x 13-3/8" Annulus Pressure = 0 Psi. 13-3/8"  x 9-5/8" Annulus Pressure = 0 Psi Update at 0600 hrs: Work on stuck W/L tool in progress. </t>
  </si>
  <si>
    <t>Recorded W/L logs as per program. RIH string magnet to 810 m.</t>
  </si>
  <si>
    <t>RIH to Btm. Circ. POOH. Record W/L Logs as per plan.</t>
  </si>
  <si>
    <t xml:space="preserve"> M/U &amp; RIH Slb W/L tools for Run # 4 (DSI-GR) and tagged btm at 3455 m.  P/U and Opened calipers for log - Obsvd tool stuck. Worked on stuck W/L tool and released the same after several attempts with in safe O/P limits. Recorded (DSI-GR) Log in open hole from 3400 m to 7" csg shoe (3188 m). Recorded Cased hole (DSI-GR) logs as per program. POOH &amp; L/D all logging tools.  R/D W/L logging gears. RIH string magnet with slick BHA to 810 m. Monitored well thru trip tank. 20" x 13-3/8" Annulus Pressure = 0 Psi. 13-3/8"  x 9-5/8" Annulus Pressure = 0 Psi Update at 0600 hrs: Pumping Hi -Vis in progress.</t>
  </si>
  <si>
    <t>RIH string magnet with slick BHA to 810 m</t>
  </si>
  <si>
    <t>RIH string magnet to btm. Circ &amp; POOH. RIH with 2 x (Junk sub &amp; String magnet) to 3248 m.</t>
  </si>
  <si>
    <t>RIH with 2 Junk sub and string magnets to 3248 m.</t>
  </si>
  <si>
    <t xml:space="preserve"> RIH String magnet from 810 m to 3460 m (Btm). Washed down last stand - Hole slick.  Pumped 2 x 20 bbl Lo-Vis + 30 bbl weighted Hi-Vis of 1.07 S.G &amp; circulated till shakers clean. At Btm up obsrvd 580 units maximum trip gas. During circ recovered 500 grams of metallic shavings from ditch magnet. Flow checked - OK. Pumped Slug &amp; POOH String magnet from 3460 m to surf. Flow checked at 7’’ liner shoe, 2000m BHA - OK. Recovered 4.05 Kg metallic shaving from string magnet RIH with 2 Junk sub and string magnets to 3248 m. 20" x 13-3/8" Annulus Pressure = 0 Psi. 13-3/8"  x 9-5/8" Annulus Pressure = 0 Psi Update at 0600 hrs: POOH in progress.</t>
  </si>
  <si>
    <t>RIH String magnet from 810 m to 3460 m</t>
  </si>
  <si>
    <t>Pumped Slug &amp; POOH String magnet from 3460 m to surface</t>
  </si>
  <si>
    <t>RIH string magnets to btm. Circ &amp; POOH. RIH with 2 x (Junk sub &amp; String magnet) and 7'' Scrapper to Btm. Circ.</t>
  </si>
  <si>
    <t>Circ. POOH. Record W/L Logs CBL-VDL-USIT in 7” casing  as per plan.</t>
  </si>
  <si>
    <t xml:space="preserve"> RIH from 3248 m to 3460 m (Btm). Washed down last stand - Hole slick.  Pumped 2 x 30 bbl Lo-Vis + 50 bbl weighted Hi-Vis of 1.07 S.G &amp; circulated till shakers clean. At Btm up obsrvd 190 units maximum trip gas. Worked on junk sub After circ recovered 100 grams of very fine metallic shavings from ditch magnet. Flow checked - OK.  Pumped Slug &amp; POOH String magnets with 2 x junk sub from 3460 m to surf m. Flow checked at 7'' liner shoe, 2000m, 810m and BHA - OK.. Recovered 6 Kg  metallic shaving from S/magnet &amp; Junk Subs. RIH magnet trip with 2 x Junk sub and 7'' scrapper to Btm(3460 m) - Hole slick. Washed down last stand. Pumped 2 x 30 bbl Lo-Vis + 50 bbl weighted Hi-Vis of 1.07 S.G &amp; circulated till shakers clean. At Btm up obsrvd 288 units maximum trip gas.  20" x 13-3/8" Annulus Pressure = 0 Psi. 13-3/8"  x 9-5/8" Annulus Pressure = 0 Psi Update at 0600 hrs: POOH in progress.</t>
  </si>
  <si>
    <t>RIH from 3248 m to 3460 m</t>
  </si>
  <si>
    <t>Pumped Slug &amp; POOH String magnets with 2 x junk sub from 3460 m to surface</t>
  </si>
  <si>
    <t>RIH magnet trip with 2 x Junk sub and 7'' scrapper to btm - Hole slick</t>
  </si>
  <si>
    <t>Circ. POOH 2 x (Junk sub &amp; String magnet) and 7'' Scrapper to surface. Recorded W/L logs (CBL-VDL-USIT) as per program. POOH. RIH Logging tool (VSP) to 3450 m - obsrvd tool got stuck. Worked to release the tool with max O/P limit- no success.</t>
  </si>
  <si>
    <t>Work to release logging tool. Record W/L Logs as per plan.</t>
  </si>
  <si>
    <t>Mehboob shah</t>
  </si>
  <si>
    <t xml:space="preserve">Transferred 365bbls HPWB to Adhi South -2 well. 
</t>
  </si>
  <si>
    <t xml:space="preserve"> Circ to clean hole. Worked on junk sub Flow checked - OK. Pumped Slug. POOH String magnets with 2 x junk sub &amp; 7'' scrapper from 3460 m to surface. Flow checked at 7'' liner shoe, 2000m, 810m and  BHA - OK. Recovered 1.7 Kg metallic shaving from two S/magnets &amp; 100 grams from Junk Subs (Total :1.8 Kg) Held PJSM. Installed shooting nipple &amp; W/L BOP. R/U W/L logging gears. Press tested W/L BOP &amp; Shooting nipple at 250 psi - OK. P/U, M/U &amp; RIH Slb W/L Tools Run # 4 (CBL-VDL-USIT). Recorded logs as per program in 7'' liner. POOH &amp; L/D logging tools.  P/U, M/U &amp; RIH Slb W/L tool Run # 5 (VSP). RIH to 3450 m - obsrvd tool got stuck. Worked to release the tool with max O/P limit- no success. 20" x 13-3/8" Annulus Pressure = 0 Psi. 13-3/8"  x 9-5/8" Annulus Pressure = 0 Psi Update at 0600 hrs: Work on stuck logging tool in progress.</t>
  </si>
  <si>
    <t>POOH String magnets with 2 x junk sub &amp; 7'' scrapper from 3460 m to surface</t>
  </si>
  <si>
    <t>Worked to release the logging tool with max O/P limit - no success.  Released ECRD &amp; POOH wireline cable to surface. RIH with OS fishing assy to 350 m.</t>
  </si>
  <si>
    <t xml:space="preserve">RIH with OS fishing assy to Top of fish. Circ. Latch &amp; POOH fish to surface.  </t>
  </si>
  <si>
    <t xml:space="preserve">Transferred total 1578 bbls HPWB  to Adhi South -2 well. 
</t>
  </si>
  <si>
    <t xml:space="preserve"> Worked to release the stuck logging tool with max O/P limit - no success. Released wireline cable from ECRD &amp; POOH wireline cable to surface. M/U SLB Overshot fishing assy dressed with 3 5/8'' grapple &amp; RIH to 350 m with 3 1/2'' DPs. While RIH added 34 jts of 3 1/2'' DPs. Drifed &amp; flushed the same. 20" x 13-3/8" Annulus Pressure = 0 Psi. 13-3/8"  x 9-5/8" Annulus Pressure = 0 Psi Update at 0600 hrs: RIH OS Fishing assy in progress.</t>
  </si>
  <si>
    <t>M/U SLB Overshot fishing assy dressed with 3 5/8'' grapple &amp; RIH to 350 m with 3 1/2'' DPs</t>
  </si>
  <si>
    <t>RIH with OS fishing assy to Top of fish. Circ. Latched &amp; POOH fish to surface. RIH with 6'' PDC bit (RR) / Packed BHA to 1144 m.</t>
  </si>
  <si>
    <t>RIH to Btm. Circ. POOH.</t>
  </si>
  <si>
    <t>RIH 6'' PDC Bit (RR) / Packed BHA to 1144 m.</t>
  </si>
  <si>
    <t xml:space="preserve"> RIH Overshot fishing assy from 350 m to 3300 m. Resumed circulation (GPM: 183, SPP: 330 psi). RIH SLB Overshot fishing assembly from 3300 m to
  3327.75 m (Top of Fish).  Worked on fish. Obsrvd fish latched. Confirmed with circ (GPM: 80, SPP: 550 psi). POOH fish from 3327.75 m to 3320 m. Reconfirmed with circ (GPM: 70,  SPP: 500 psi). Flow checked - OK. POOH fish from 3320 m to surf. Rerecovered 100% fish successfully (Fish length : 116.5 m). L/D VSP tool. Monitored well thru trip tank. RIH 6'' PDC Bit (RR) / Packed BHA to 1144 m. 20" x 13-3/8" Annulus Pressure = 0 Psi. 13-3/8"  x 9-5/8" Annulus Pressure = 0 Psi Update at 0600 hrs: Circ in progress.</t>
  </si>
  <si>
    <t>RIH Overshot fishing assy from 350 m to 3300 m</t>
  </si>
  <si>
    <t>POOH fish from 3320 m to surface</t>
  </si>
  <si>
    <t>RIH with 6'' PDC bit (RR) / Packed BHA to Btm. Circ. POOH. RIH with string magnet with 9 5/8'' Csg Scrapper to 2540 m.</t>
  </si>
  <si>
    <t>Cut &amp; Slip drill-line. RIH to Btm. Circ. R/U SLB WL for Gyro survey. POOH W/L and R/D SLB W/L running gears. POOH with string magnet with 9 5/8'' Csg Scrapper to surface.</t>
  </si>
  <si>
    <t xml:space="preserve"> RIH 6'' PDC Bit (RR) / Packed BHA to 3460 m. Obsrvd obstruction at 3324 m of 3 - 4 tons cleared the same with reiprocation. Washed down last stand. Pumped 50 bbl Hi-Vis &amp; circulated out till shakers clean. Observed 644 Units maximum trip gas on bottom up. Flow checked - OK.  POOH 6'' PDC Bit (RR) / Packed BHA from 3460 m to surf. Pumped slug at 2988 m. During POOH flow checked at 2000 m &amp; at BHA - OK. L/D Stabs. RIH with string magnet with 9 5/8'' Csg Scrapper to 2540 m. Filled string after every 15 stands. 20" x 13-3/8" Annulus Pressure = 0 Psi. 13-3/8"  x 9-5/8" Annulus Pressure = 0 Psi Update at 0600 hrs: RIH with 9 5/8'' Csg Scrapper in progress.</t>
  </si>
  <si>
    <t>RIH 6'' PDC Bit (RR) / Packed BHA to 3460 m</t>
  </si>
  <si>
    <t>POOH 6'' PDC Bit (RR) / Packed BHA from 3460 m to surface</t>
  </si>
  <si>
    <t>RIH with string magnet with 9 5/8'' Csg Scrapper to 2540 m</t>
  </si>
  <si>
    <t>Cut &amp; Slip drill-line RIH with string magnet with 9 5/8'' Csg Scrapper to Btm. Circ. Recorded Gyro survey. POOH string magnet with 9 5/8'' Csg Scrapper to surface.</t>
  </si>
  <si>
    <t>Perform logging (CBL - VDL - USIT - GR) in 9 5/8'' Csg &amp; (RCBL) in 7" liner as per plan. Routine BOP test. RIH with 7'' RTTS PKR &amp; perform Casing integrity test.</t>
  </si>
  <si>
    <t xml:space="preserve"> RIH string magnet with 9 5/8'' Csg Scrapper from 2540 to 3170 m. Filled string after every 15 stands. Cut &amp; slip Drill-line (90 m).  Cont'd RIH from 3170 m to 3460 m(Btm). Washed down last stand. Swept hole with 35 bbl Hi-Vis pill &amp; circulated out till shakers clean. Obsrvd 356 Units maximum trip gas on bottom up R/U Slb W/L logging gears for Gyro surveys. RIH Gyro survey tool with Slb W/L thru TDS to 3455 m (move string intermittently). During RIH Recorded Gyro surveys as per program. POOH EDS Gyro survey  tool to surface. L/D the same. R/D SLB W/L running gears.  Attempted to resume circ - Obsvd pressure build. Bled off press. Tried to circ out - Obsvd press build again. Flow checked - OK. POOH string magnet with 9 5/8'' Csg Scrapper to 50 m. Flow checked at 800 m - OK. 20" x 13-3/8" Annulus Pressure = 0 Psi. 13-3/8"  x 9-5/8" Annulus Pressure = 0 Psi Update at 0600 hrs: Recording W/L Logs in progress.</t>
  </si>
  <si>
    <t>RIH string magnet with 9 5/8'' Csg Scrapper from 2540m to 3170 m</t>
  </si>
  <si>
    <t>Cont'd RIH from 3170 m to 3460 m</t>
  </si>
  <si>
    <t>POOH string magnet with 9 5/8'' Csg Scrapper to 50 m</t>
  </si>
  <si>
    <t>POOH string magnet with 9 5/8'' Csg Scrapper to surface. Performed logging (CBL - VDL - USIT - GR) in 9 5/8'' Csg &amp; (RCBL) in 7" liner as per plan. BOP Press test.</t>
  </si>
  <si>
    <t>RIH with 7'' RTTS PKR &amp; perform 7'' Liner / Casing integrity test. POOH. RIH with Packed BHA.</t>
  </si>
  <si>
    <t>(1.0 Hrs NPT to CCDC for delay during BOP P/T)</t>
  </si>
  <si>
    <t xml:space="preserve"> POOH from 50 m to surface. Obsvd string magnet + bit sub and bit badly plugged with DPs rust / scaling. Recovered 1.4 Kg metallic shaving from string magnet. Held PJSM. Installed shooting nipple &amp; W/L BOP. R/U W/L logging gears. Press tested W/L BOP at 250 psi - OK. P/U, M/U &amp; RIH Slb W/L Tools Run # 6 (CBL-VDL-USIT-GR-CCL).Recorded logs as per program in 9 5/8'' casing. L/D W/L tools &amp; R/D Slb W/L logging Gears. Held PJSM. Installed shooting nipple &amp; W/L BOP. R/U IWEL W/L logging gears. Press tested W/L BOP at 500 psi - OK. P/U, M/U &amp; RIH IWLE W/L Tools Run # 7 (RCBL-VDL-CCL-GR). Recorded logs as per program in 7'' Liner.  POOH IWLE Logging tools &amp; L/D the same. R/D IWLE W/L Logging gears. M/U test plug assy and retrieved WB. Installed test plug in THS.  PT annular BOP + UPR + Blind rams + LPR + Kill / Choke line + HCR + Manual valves + IBOP + Chokemanifold  at 300 / 4000 psi for 10 min each - Ok. (1.0 Hrs NPT to CCDC for delay during BOP P/T) 20" x 13-3/8" Annulus Pressure = 0 Psi. 13-3/8"  x 9-5/8" Annulus Pressure = 0 Psi Update at 0600 hrs: RIH 7'' DLT PKR in progress.</t>
  </si>
  <si>
    <t>POOH from 50 m to surface</t>
  </si>
  <si>
    <t>RIH with 7'' RTTS PKR &amp; performed 7'' Liner / Casing integrity test. POOH. RIH 6'' PDC bit / Packed BHA to 536 m.</t>
  </si>
  <si>
    <t>RIH 6'' PDC bit / Packed BHA to btm. Circ. RIH Lower completion string.</t>
  </si>
  <si>
    <t>RIH 6'' PDC Bit (RR4) / Packed BHA to 536 m.</t>
  </si>
  <si>
    <t xml:space="preserve">Mohammad Ali </t>
  </si>
  <si>
    <t xml:space="preserve"> Installed wear bushing &amp; L/D test plug assy. Held PJSM. P/U 7'' DLT PKR (RTTS) and RIH to 3112 m. Recorded up &amp; down Weight( 117 / 112 Tons). Broke circulation (GPM: 182, SPP: 660 psi). Set 7'' RTTS  Packer by 5 right hand rotation. Slacked weight 10 tons for confirmation. Meanwhile P/T Dowell lines at 500 / 5000 psi - OK. Performed 7'' Liner / Casing integrity test at 3500 psi &amp; held for 15 minutes - OK. Bleed off press &amp; opened Pipe rams. R/D Dowell lines.  Unset 7'' DLT PKR (RTTS) &amp; POOH from 3112 m to surface. Monitored well thru trip tank. RIH 6'' PDC Bit (RR4) / Packed BHA to 536 m. 20" x 13-3/8" Annulus Pressure = 0 Psi. 13-3/8"  x 9-5/8" Annulus Pressure = 0 Psi Update at 0600 hrs: RIH 6'' PDC Bit / Packed BHA in progress.</t>
  </si>
  <si>
    <t xml:space="preserve">RIH 6'' PDC bit / Packed BHA to btm. Wiper Trip. Circ. R/U Wellserve TRS gears. </t>
  </si>
  <si>
    <t>RIH 6" Open hole lower Frac Completion assy to desire depth. Set hanger &amp; packers. Release running tool. Confirm integrity of CSG PKR. Displace hole with 1.05 SG filtered viscosified brine. POOH.</t>
  </si>
  <si>
    <t xml:space="preserve"> RIH 6'' PDC Bit (RR4) / Packed BHA from 536 m to 3460m (Btm). During RIH obsvd obstruction of 3 - 4 tons at 3255, 3261,3321, 3324, 3389 - 3391 &amp; 3449 - 3450m. Cleared the same with reaming and confirm on elevator. Performed Wiper trip to 7'' Liner shoe (3188 m). During RIH obsvd obstruction at 3255 m of 3 - 4 tons. Cleared it. Pumped 50 bbl Hi-Vis &amp; circulated out till shakers clean. Obsvd 193 Units maximum trip gas on Btm up. Displaced OH volume with fresh mud of 1.05 sg. Flow checked - OK. POOH 6'' PDC Bit (RR4) / Packed BHA to surface. L/D Drilling jar + bit. R/U Wellserve TRS gears. Prep for RIH Completion.  Held PJSM. M/U &amp; RIH 6" open hole lower frac Completion assembly on 3 1/2" tubing joints to 37 m. 20" x 13-3/8" Annulus Pressure = 0 Psi. 13-3/8"  x 9-5/8" Annulus Pressure = 0 Psi Update at 0600 hrs: RIH lower Frac completion assy in progress.</t>
  </si>
  <si>
    <t>RIH 6'' PDC Bit (RR4) / Packed BHA from 536 m to 3460 m</t>
  </si>
  <si>
    <t>POOH 6'' PDC Bit (RR4) / Packed BHA to surface</t>
  </si>
  <si>
    <t>RIH 6" Open hole  Frac lower Completion assy to 3089 m . Attempted to Set hanger - no success.</t>
  </si>
  <si>
    <t>Set hanger &amp; packers. Release running tool. Confirm integrity of CSG PKR. Displace hole with 1.05 SG filtered inhibited brine. POOH. Work on wellhead to install THS.</t>
  </si>
  <si>
    <t xml:space="preserve"> Held PJSM. M/U &amp; RIH 6" open hole Frac Completion assembly on 3 1/2" tubing joints from 37 m to 362 m.  M/U 7" Csg packer assy. Filled PBR with Barazan-D &amp; cont'd RIH Frac Completion assy at controlled speed on 3 1/2" x 5" DPs to 3089 m.While RIH, drifted each DP stnd &amp; maintained trip sheet. Circ btms up. R/U SLB W/L gear. Function tested W/L tools - OK. RIH W/L correlation tools (CCL - GR) and correlated depth. Spaced out. POOH W/L tools. R/D SLB W/L. R/U SLB Dowell unit lines &amp; P/T same at 5000 psi - OK. Dropped 1" ball. Attempted to Set completion Hanger @ 2000 psi - no success.  20" x 13-3/8" Annulus Pressure = 0 Psi. 13-3/8"  x 9-5/8" Annulus Pressure = 0 Psi Update at 0600 hrs: Set Completion hanger in progress.</t>
  </si>
  <si>
    <t>Set hanger &amp; packers. Released running tool. Confirmed integrity of CSG PKR. Displaced hole with 1.05 SG filtered inhibited brine. POOH. Work on wellhead to install THS.</t>
  </si>
  <si>
    <t>Install new THS (11” -10K x 11” -10K ). N/U BOP stack. P/T THS. RIH upper completion string as per program.</t>
  </si>
  <si>
    <t>3.5" LPR</t>
  </si>
  <si>
    <t xml:space="preserve"> Attempted to Set completion Hanger (3098.7 m) by applied press from 2000 to 2400 psi in increments thru Dowell lines. Set 5 x open hole packers &amp; released setting  tool by applying 3600 psi. Slacked 22 tons wt to set liner packer. Got clear indication. Confirmed integrity of Liner PKR by applying 2000 Psi press in annulus thru Dowell lines for 20 mints - OK. R/D Dowell lines. Pumped 50 bbl wash front fluid + 40 bbl caustic pill + 40 surfactant + 40 bbl drill water + 50 bbl viscosified brine.  Changed over to 1.05 SG KCl filtered inhibited brine. Dumped 60 bbl contamination brine. Flow checked - OK. POOH completion hanger running tool to surface. Meanwhile flushed surface lines &amp; cleaned possum belly Retrieved wear bushing.  Disconnected flowline, choke and kill line. Removed mud umbrella &amp; bell nipple. N/D BOP stack.  Installed Dummy hanger in (11” -10k x 13 5/8” -10k) Tubing head spool. Installed new THS (11” -10k x 11” -10k ) in progress.  20" x 13-3/8" Annulus Pressure = 0 Psi. 13-3/8"  x 9-5/8" Annulus Pressure = 0 Psi Update at 0600 hrs: RIH Upper completion in progress.</t>
  </si>
  <si>
    <t>Installed new THS (11” -10K x 11” -10K ). N/U BOP stack. P/T THS. RIH completion string as per program.</t>
  </si>
  <si>
    <t>RIH completion string as per program. Stung - in LSA. P/T thru annulus at 2000 psi. Space out. Install TRSSSV &amp; control line. Land tbg hanger in THS. Install BPV. L/D 3-1/2" + 5" DP (Clear floor for CT rigup)</t>
  </si>
  <si>
    <t xml:space="preserve"> Installed new THS and press tested at 500 / 6000 psi - OK. N/U BOP stack. Installed bell nipple. Connected flowline, choke and kill line. Changed lower pipe rams to 3 1/2'' rams. Press tested bonnet seal at 1000 psi - OK.. R/U Wellserve TRS gears. Held PJSM. P/U &amp; M/U  7" Permanent PKR with tail assembly as per program. R/U SLB WL running gears.  RIH 7'' Permanent Production Packer with SLB W/L.Correlated depth &amp; set 7'' Permanent PKR at 3061.5 m. POOH W/L to surface. L/D W/L tools &amp; running gears. R/U Wellserve TRS gears. Held PJSM. M/U &amp; RIH with 3 ½” Tubing (9.20 ppf JFE Lion T-95) with LSA to 1680 m. Meanwhile spotted CNLC SWT equipment. 20" x 13-3/8" Annulus Pressure = 0 Psi. 13-3/8"  x 9-5/8" Annulus Pressure = 0 Psi Update at 0600 hrs: RIH Completion string in progress.</t>
  </si>
  <si>
    <t>RIH completion string as per program. Stung - in LSA &amp; P/T - OK. Spaced out. Installed TRSSSV &amp; control line. Landed tbg hanger in THS. Installed BPV. N/D BOP. N/U THA.</t>
  </si>
  <si>
    <t>L/D 5" DP (Clear floor for CT rigup). N/U X-Mass tree. Remove BPV &amp; install TWCV. P/T X-Mass tree. R/U Sprint CT unit. Perform CIT.</t>
  </si>
  <si>
    <t xml:space="preserve"> RIH with 3 ½” Tubing (9.20 ppf JFE Lion T-95) with LSA from 1680 to 3054 m. Connected TDS and RIH with Circ. Obsvd press increased up to 300 psi. Stopped mud pump and stung in LSA into Packer and SBE up to No-Go. Applied 4 tons weight to confirm full insertion. R/U Dowell lines to annulus. Press tested annulus at 200 / 1000 psi - OK.  Stung out LSA &amp; POOH 3 ½” Tubing from 3061 to 2969 m. Installed TRSSSV &amp; M/U Control Line with TRSCSSV. P/T control line @ 8000 psi - OK. RIH from 2969 m  to 3047 m. Landed tbg hanger in THS. R/U Dowell Cementing lines. Pressure tested annulus / tubing hanger at 1500 psi - OK. R/D Dowell lines. L/D landing joint. Installed BPV in tubing hanger.  Removed flow line + mud umbrella + bell nipple. Removed kill / choke lines and associated hydraulic lines. N/D BOP stack. (Dismantaled) P/U &amp; installed Tubing head adaptor. P/T adaptor cavity at 7000 psi - OK 20" x 13-3/8" Annulus Pressure = 0 Psi. 13-3/8"  x 9-5/8" Annulus Pressure = 0 Psi Update at 0600 hrs: L/D string in progress.</t>
  </si>
  <si>
    <t>L/D 5" DP (Clear floor for CT rigup). N/U X-Mass tree. Removed BPV &amp; installed TWCV. P/T X-Mass tree. P/T SWT lines. R/U Sprint CT unit in progress.</t>
  </si>
  <si>
    <t xml:space="preserve"> R/U Sprint CT unit. Perform CIT as per Program.</t>
  </si>
  <si>
    <t>5 Hr NPT to CNLC SWT due to delaying and leakage obsrvd at surf lines during Press Test.</t>
  </si>
  <si>
    <t xml:space="preserve"> Shifted 28 stds of 3 1/2'' DPs + BHA and L/D 42 stds of 75'' DP single by single (Cleared floor for CT Rig up). N/U 4-1/16"-10K X-Mass tree. Removed BPV &amp; installed TWCV. R/U Dowell lines &amp; P/T the same at 8000 psi - OK. P/T X-Mass tree at 7500 psi &amp; held for 15 minutes - OK. R/U CNLC testing lines and P/T upstream of choke at 5000 psi and downstream of choke at 1000 psi - OK. During P/T obsrvd leakages and changed seal of surf lines connections. Meanwhile Spotted Sprint CT unit. Opened Khewra formation by operating RSI @ 4900 psi – Observed clear indication of sleeve opening. Obsrvd well at CNLC choke - No pressure / flow. R/U Sprint CT Unit in progress. 20" x 13-3/8" Annulus Pressure = 0 Psi. 13-3/8"  x 9-5/8" Annulus Pressure = 0 Psi Update at 0600 hrs: Obsvering well in progress.</t>
  </si>
  <si>
    <t>R/U Sprint CT unit. Nitrogen kick off well. CIT.</t>
  </si>
  <si>
    <t>CIT. R/D CNLC equipment. Secure well. L/D drill string. Rig release.</t>
  </si>
  <si>
    <t xml:space="preserve"> R/U Sprint CT &amp; P/T Sprint CT setup at 3500 psi - OK. Conducted CT pull test - OK. RIH CT and performed N2 kick off at 1500 m &amp; 2000 m - obsvd HC at surf.  POOH &amp; R/D Sprint CT. Flowed well to clean up / CIT. 20" x 13-3/8" Annulus Pressure = 0 Psi. 13-3/8"  x 9-5/8" Annulus Pressure = 0 Psi Update at 0600 hrs: CIT in progress.</t>
  </si>
  <si>
    <t xml:space="preserve">CIT. Secured well. R/D CNLC equipment. L/D drill string. </t>
  </si>
  <si>
    <t>L/D drill string. Rig release.</t>
  </si>
  <si>
    <t xml:space="preserve"> Flowed well to clean up / CIT. Closed TRSSSV, all X-Mass Tree Valves, installed pressure gauges &amp; secured Well. Meanwhile R/D CNLC SWT Setup. Installed catwalk, mouse hole, hydraulic tong &amp; prep for L/D drill string. L/D 7 x 3 1/2'' HWDP stands &amp; 15 x 4 3/4'' DCs stands single by single. 20" x 13-3/8" Annulus Pressure = 0 Psi. 13-3/8"  x 9-5/8" Annulus Pressure = 0 Psi Update at 0600 hrs: L/D Drill string in progress.</t>
  </si>
  <si>
    <t>L/D drill string. Rig released.</t>
  </si>
  <si>
    <t>50 x 5 1/2'' DP stands single by single.  (While L/D, obsrvd 5 1/2'' DP connections over torqued. Used manual tong to break connection).</t>
  </si>
  <si>
    <t>Released Rig at 11:30 hrs on 06.07.2020</t>
  </si>
  <si>
    <t>"Last Report"</t>
  </si>
  <si>
    <t xml:space="preserve">Update at 0600 hrs: </t>
  </si>
  <si>
    <t xml:space="preserve"> 50 x 5 1/2'' DP stands single by single.  (While L/D, obsrvd 5 1/2'' DP connections over torqued. Used manual tong to break connection). Released Rig at 11:30 hrs on 06.07.2020 "Last Report" 20" x 13-3/8" Annulus Pressure = 0 Psi. 13-3/8"  x 9-5/8" Annulus Pressure = 0 Psi Update at 0600 hrs: </t>
  </si>
  <si>
    <t>Gyro</t>
  </si>
  <si>
    <t xml:space="preserve">Alluvium / Chinji </t>
  </si>
  <si>
    <t>Sandstone: Transparent to translucent, light to medium grey, loose, in parts consolidate, fine to medium grained, sub angular to sub rounded, moderated sorted, calcareous cement, trace mica.
Rework Limestone: White, off white, light yellowish, crypto crystalline, sub blocky in parts, in parts dolomitic. 
Claystone: Light brown, light yellowish, in parts soft, sub blocky to blocky, slightly to moderately calcareous.
Claystone: Light brown, light yellowish, reddish brown, in parts soft, sub blocky to blocky, sticky, pasty, moderately calcareous.
Sandstone: Transparent to translucent, light to medium grey, loose, in parts consolidate, fine to medium grained, sub angular to sub rounded, moderated sorted, calcareous cement, trace mica.</t>
  </si>
  <si>
    <t xml:space="preserve">Claystone: Light brown, light yellowish, reddish brown, in parts soft, sub blocky to blocky, sticky, pasty, moderately calcareous.
Sandstone: Transparent to translucent, light to medium grey, loose, in parts consolidate, fine to medium grained, sub angular to sub rounded, moderated sorted, calcareous cement, trace mica.
</t>
  </si>
  <si>
    <t>Traces</t>
  </si>
  <si>
    <t>Claystone: Light brown, light yellow, reddish brown, in parts soft, sub blocky to blocky, sticky, pasty, moderately calcareous.
Sandstone: Transparent to translucent, light to medium grey, loose, in parts consolidate, fine to medium grained, sub angular to sub rounded, moderated sorted, calcareous cement, trace mica.</t>
  </si>
  <si>
    <t>Sandstone: Transparent to translucent, light to medium grey, loose, fine to medium grained, sub angular to sub rounded, moderated sorted, calcareous cement, trace mica.
Claystone: Light brown, light yellow, reddish brown, in parts soft, sub blocky to blocky, moderately calcareous.</t>
  </si>
  <si>
    <t>Claystone: Reddish brown, light yellow, light brown, soft to firm, sub blocky to blocky, in parts amorphous, sticky, pasty, washable, slightly to moderately calcareous.
Sandstone: Transparent to translucent, light to medium grey, in parts greenish grey, loose, in parts consolidated, fine to medium grained, sub angular to sub rounded, poorly to moderated sorted, calcareous cement, trace mica.</t>
  </si>
  <si>
    <t>Sandstone: Transparent to translucent, light grey, loose, in parts consolidated, very fine to fine grained, sub angular to sub rounded, poorly sorted, calcareous cement, trace rework limestone, trace mica.
Claystone: Reddish brown, light brown, firm to moderately hard, sub blocky to blocky, in parts amorphous, in parts silty, slightly washable, moderately calcareous.</t>
  </si>
  <si>
    <t>Sandstone: Transparent to translucent, light grey, occasionally ash grey, loose, occasionally friable, very fine to fine grained, sub angular to sub rounded, poorly sorted, calcareous cement, trace mica.</t>
  </si>
  <si>
    <t>Sandstone: Transparent to translucent, light grey, occasionally ash grey, loose, occasionally friable, very fine to fine grained, sub angular to sub rounded, poorly sorted, calcareous cement, trace mica
Claystone: Reddish brown, light brown, moderate brown, soft to firm, amorphous, in parts sub blocky to blocky, sticky, pasty, washable, moderately calcareous.</t>
  </si>
  <si>
    <t>Claystone: light grey to grey, light yellowish brown, greyish green, soft to firm, amorphous, high sticky, pasty, high washable, moderately calcareous.
Sandstone: As above.</t>
  </si>
  <si>
    <t>Claystone: Light brown, reddish brown, light yellow brown, soft to firm, sub blocky to blocky, washable, slightly calcareous.
Sandstone: Transparent to translucent, light grey, light greyish green, loose, occasionally friable, very fine to fine grained, sub angular to sub rounded, poorly sorted, calcareous cement, trace mica, trace gluconate.</t>
  </si>
  <si>
    <t>Claystone: Reddish brown, Light brown, light yellowish brown, firm, in parts moderate hard, blocky to sub blocky, in parts silty, slightly washable, slightly to moderately calcareous.
Sandstone: Transparent to translucent, light grey, light greyish green, loose, occasionally friable, very fine to fine grained, sub angular to sub rounded, poorly sorted, calcareous cement, trace mica, trace glauconite.</t>
  </si>
  <si>
    <t>Sandstone: Transparent to translucent, light grey, light greyish green, loose to friable, very fine to fine grained, sub angular to sub rounded, poorly sorted, calcareous cement, trace mica and glauconite, rare trace mafic minerals.</t>
  </si>
  <si>
    <t>Sandstone:  Light grey, greenish gry, transparent to translucent, loose to friable, very fine to fine grained, in parts medium grained, sub angular to sub rounded, poorly sorted, calcareous cement, trace mica, trace glauconite, trace mafic minerals.
Claystone: Light brown, reddish brown, light yellowish brown, soft to firm, in parts moderate hard, sub blocky to blocky, in parts silty, slightly washable, slightly to moderately calcareous.</t>
  </si>
  <si>
    <t>Sandstone: Transparent to translucent, light grey, greenish gry, loose to friable, very fine to fine grained, sub angular to sub rounded, poorly sorted, calcareous cement, trace mica, trace glauconite, trace mafic minerals.
Claystone: Light brown, reddish brown, light yellowish brown, soft to firm, sub blocky to blocky, in parts silty, slightly washable, slightly to moderately calcareous.
Limestone: White, off white, light yellowish brown, crypto crystalline, in parts sub blocky.</t>
  </si>
  <si>
    <t>Sandstone: Transparent to translucent, light grey, greenish gry, loose to friable, fine to medium grained, in parts very fine grained, sub angular to sub rounded, poorly sorted, calcareous cement, trace mica, trace glauconite, trace mafic minerals.
Claystone: As above.</t>
  </si>
  <si>
    <t>Sandstone: Light grey, greenish gry, Transparent to translucent, in parts yellowish brown., loose to friable, in parts consolidated, fine to medium grained, in parts very fine grained, sub angular to sub rounded, poorly to moderate sorted, calcareous cement, argillaceous matrix, trace glauconite, trace limestone.
Claystone: Brick red, Light brown, reddish brown, soft to firm, sub blocky to blocky, slightly washable, moderately calcareous.</t>
  </si>
  <si>
    <t>Claystone: Reddish brown, light brown, moderate brown, yellowish grey, soft to firm, sub blocky to blocky, slightly silty, slightly washable, moderately calcareous.
Sandstone: Light grey, Transparent to translucent, greenish grey, loose to friable, fine to medium grained, in parts very fine grained, sub angular to sub rounded, poorly sorted, trace mafic minerals, calcareous cement.</t>
  </si>
  <si>
    <t>Sandstone: Light grey, light brown, greenish grey, Transparent to translucent, loose to friable, very fine to fine grained, in parts medium grained, sub angular to sub rounded, moderately sorted, trace mafic minerals, calcareous cement.
Claystone: light brown, moderate brown, yellowish grey, soft to firm, sub blocky to blocky, slightly silty, slightly pasty, slightly washable, moderately calcareous.</t>
  </si>
  <si>
    <t>Sandstone: Light grey, light brown, greenish grey, Transparent to translucent, loose to friable, very fine to fine grained, in parts medium grained, sub angular to sub rounded, moderately sorted, trace mafic mineral, calcareous cement.
Claystone: Reddish brown, moderate brown, yellowish grey, soft to firm, sub blocky to blocky, slightly silty, slightly pasty, slightly washable, moderately calcareous.</t>
  </si>
  <si>
    <t>Claystone: Reddish brown, moderate brown, yellowish grey, soft to firm, sub blocky to blocky, slightly silty, pasty, moderately washable, slightly calcareous.
Sandstone: As above.</t>
  </si>
  <si>
    <t>Sandstone: Transparent to translucent, light grey, light brown, greenish grey, loose to friable, very fine to fine grained, in parts medium grained, sub angular to sub rounded, moderately sorted, trace mafic mineral, in parts glauconitic, calcareous cement.
Claystone: As above.</t>
  </si>
  <si>
    <t>Claystone: Reddish brown, moderate brown, yellowish brown, soft to firm, blocky to sub blocky, moderately calcareous.
Sandstone: Transparent to translucent, light grey, in parts light brown, loose to friable, very fine to fine grained, sub rounded to rounded, moderately sorted, calcareous cement, trace mica, trace mafic minerals.</t>
  </si>
  <si>
    <t>Claystone: Brick red, reddish brown, moderate brown, in parts yellowish brown, soft to firm, blocky to sub blocky, in parts amorphous, silty, moderately calcareous.
Sandstone: Transparent to translucent, light grey, in parts light brown, loose to friable, very fine to fine grained, sub rounded to rounded, moderately sorted, calcareous cement, trace mafic minerals.</t>
  </si>
  <si>
    <t xml:space="preserve">Claystone: Brick red, reddish brown, moderate brown, in parts yellowish brown, soft to firm, blocky to sub blocky, in parts amorphous, silty, moderately calcareous.
Sandstone: Transparent to translucent, light grey, in parts light brown, loose to friable, very fine to fine grained, sub rounded to rounded, moderately sorted, calcareous cement, trace mafic minerals.
</t>
  </si>
  <si>
    <t>Claystone (70%): Brick red, reddish brown, moderate brown, in parts yellowish brown, soft to firm, blocky to sub blocky, in parts amorphous, silty, moderately calcareous.
Sandstone (30%): Transparent to translucent, light grey, in parts light brown, loose to friable, very fine to fine grained, sub rounded to rounded, moderately sorted, calcareous cement, trace mafic minerals.</t>
  </si>
  <si>
    <t>Sandstone: Transparent to translucent, light grey, greenish grey, in parts light brown, loose to friable, very fine to fine grained, in parts medium grained, sub angular to sub rounded, moderately sorted, calcareous cement, trace mafic minerals.
Claystone: Reddish brown, light brown, moderate brown, soft to firm, in parts moderately hard, blocky to sub blocky, in parts amorphous, silty, trace reworked limestone, moderately calcareous.</t>
  </si>
  <si>
    <t>Claystone: Reddish brown, light brown, in parts yellowish brown, soft to firm, sub blocky, in parts amorphous, sticky, pasty, washable, in parts silty, moderately calcareous.
Sandstone: Transparent to translucent, light grey, in parts greenish grey, loose to friable, very fine to fine grained, sub angular to sub rounded, poorly to moderately sorted, calcareous cement, in parts argillaceous matrix, trace mafic minerals.</t>
  </si>
  <si>
    <t>Sandstone: Transparent to translucent, light grey, medium grey, friable to loose, very fine to fine grained, in parts medium grained, sub angular to sub rounded, poorly to moderately sorted, calcareous cement, in parts argillaceous matrix.
Claystone: Reddish brown, light brown, yellowish brown, soft to firm, sub blocky to blocky, in parts amorphous, sticky, pasty, washable, slightly to moderately calcareous.</t>
  </si>
  <si>
    <t xml:space="preserve">Claystone: Reddish brown, light to medium brown, yellowish brown, soft to firm, occasionally moderately hard, amorphous to sub blocky, sticky, pasty, washable, slightly to moderately calcareous.
Sandstone: Light to medium grey, transparent to translucent, very fine to fine grained, loose to friable, in parts grading to siltstone, rounded to sub rounded, poorly to moderately sorted, argillaceous, slightly calcareous cement. </t>
  </si>
  <si>
    <t>Sandstone: Light grey, light brown, transparent to translucent, very fine to fine grained, in parts medium grained, loose to friable, in parts grading to siltstone, rounded to sub rounded, poorly to moderately sorted, argillaceous, trace mafic minerals, slightly calcareous cement
Claystone: Light to medium brown, reddish brown, yellowish brown, soft to firm, occasionally moderately hard, amorphous to sub blocky, sticky, pasty, washable, slightly to moderately calcareous.</t>
  </si>
  <si>
    <t>Sandstone: Light grey, light brown, transparent to translucent, very fine to fine grained, in parts medium grained, loose to friable, in parts grading to siltstone, rounded to sub rounded, poorly to moderately sorted, argillaceous, trace mafic minerals, slightly calcareous cement
Claystone (60%): Light to medium brown, reddish brown, yellowish brown, soft to firm, occasionally moderately hard, amorphous to sub blocky, sticky, pasty, washable, slightly to moderately calcareous.</t>
  </si>
  <si>
    <t>Sandstone: As above.
Claystone: Reddish brown, light brown, olive brown, soft to firm, occasionally moderately hard, amorphous to sub blocky, sticky, pasty, in parts silty, washable, moderately calcareous.</t>
  </si>
  <si>
    <t>Claystone: Brick red, moderate brown, soft to firm, in parts moderately hard, sub blocky to blocky, in parts amorphous, sticky, pasty, in parts silty, washable, slightly calcareous.</t>
  </si>
  <si>
    <t>Sandstone: Light grey, white, yellowish grey, transparent to translucent, loose to friable, in parts consolidated, fine to medium grained, rounded to sub rounded, poorly to moderately sorted, calcareous cement, in parts argillaceous matrix.
Claystone: Reddish brown, brick red, moderate brown, in parts yellowish brown, soft to firm, sub blocky to blocky, in parts amorphous, slightly sticky, pasty, in parts silty, washable, moderately calcareous.</t>
  </si>
  <si>
    <t>Claystone: Brick red, reddish brown, moderate brown, in parts yellowish brown, soft to firm, sub blocky to blocky, in parts amorphous, sticky, pasty, washable, slightly to moderately calcareous.
Sandstone: Light grey, off white, light greenish grey, in parts light brown, transparent to translucent, loose to friable, in parts consulate, very fine to fine grained, in parts medium grained, rounded to sub rounded, poorly to moderately sorted, calcareous cement, trace glauconite.</t>
  </si>
  <si>
    <t>Claystone: Moderate brown, reddish brown, greyish brown, yellowish brown, soft to moderate hard, occasionally hard, amorphous to sub blocky, occasionally blocky, slightly sticky, in parts silty, washable, trace calcite veins, moderately calcareous.
Sandstone: Light to medium grey, transparent to translucent, loose to friable, fine to medium grained, rounded to sub rounded, poorly to moderately sorted, calcareous cement, trace mafic minerals.</t>
  </si>
  <si>
    <t xml:space="preserve">Claystone: Reddish brown, brick red, greyish brown, soft to firm, occasionally moderate hard, amorphous to sub blocky, occasionally blocky, sticky, pasty, moderately calcareous, washable.
Sandstone: Light to medium grey, transparent to translucent, very fine to fine grained, occasionally medium grained, rounded to sub rounded, loose to friable, occasionally compact, poorly to moderately sorted, calcareous cement, trace mafic minerals.
</t>
  </si>
  <si>
    <t>Claystone: Reddish brown, brick red, greyish brown, soft to firm, occasionally moderate hard, amorphous to sub blocky, occasionally blocky, sticky, pasty, moderately calcareous, washable.
Sandstone: Light to medium grey, transparent to translucent, very fine to fine grained, occasionally medium grained, rounded to sub rounded, loose to friable, occasionally compact, poorly to moderately sorted, calcareous cement, trace mafic minerals.</t>
  </si>
  <si>
    <t>Sandstone: Light to medium grey, brownish grey, transparent to translucent, very fine to fine grained, occasionally medium grained, rounded to sub rounded, loose to friable, occasionally compact, poorly to moderately sorted, calcareous cement.
Claystone: Reddish brown, brick red, moderate brown, in parts yellowish brown, soft to firm, occasionally moderate hard, sub blocky to blocky, occasionally amorphous, sticky, pasty, washable, in parts silty, moderately calcareous.
Limestone (Tr-10%): Milky white, white, creamy, soft to firm, cryptocrystalline.</t>
  </si>
  <si>
    <t>Sandstone: Light to medium grey, brownish grey, transparent to translucent, very fine to fine grained, rounded to sub rounded, loose to friable, occasionally compact, poorly to moderately sorted, calcareous cement.
Claystone: Moderate brown, reddish brown, greyish brown, soft to moderate hard, occasionally hard, sub blocky to blocky, occasionally amorphous, slightly sticky, moderately washable, in parts silty, slightly to moderately calcareous.</t>
  </si>
  <si>
    <t>Claystone: Reddish brown, brick red, greyish brown, in parts moderate brown, soft to firm, in parts moderate hard, sub blocky to blocky, occasionally amorphous, sticky, pasty, in parts silty, washable, moderately calcareous.
Sandstone: Light to medium grey, brownish grey, transparent to translucent, very fine to fine grained, occasionally medium grained, rounded to sub rounded, loose to friable, occasionally compact, poorly to moderately sorted, calcareous cement.</t>
  </si>
  <si>
    <t>Sandstone (90-70%): Light to medium grey, light olive grey, greenish grey, in parts brownish grey, very fine to fine grained, occasionally medium grained, rounded to sub rounded, loose to friable, occasionally compact, poorly to moderately sorted, calcareous cement.
Claystone (10-30%): Moderate brown, reddish brown, greyish brown, soft to firm, occasionally moderate hard, amorphous to sub blocky, occasionally blocky, sticky, pasty, in parts silty, washable, moderately calcareous.</t>
  </si>
  <si>
    <t>Sandstone (80-20%): Light to medium grey, brownish grey, transparent to translucent, fine to medium grained, rounded to sub rounded, loose to friable, slightly to moderately compact, poorly to moderately sorted, calcareous cement, in parts argillaceous, trace mafic minerals.
Claystone (20-80%): Moderate brown, reddish brown, brick red, soft to moderate hard, amorphous to sub blocky, in parts blocky, sticky, pasty, washable, disperse, moderately calcareous.</t>
  </si>
  <si>
    <t>Claystone (60%): Greyish brown, dusky brown, dusky red, soft to moderate hard, amorphous to sub blocky, in parts blocky, sticky, pasty, in parts silty, washable, disperse, moderately calcareous.
Sandstone (40%): As above.</t>
  </si>
  <si>
    <t>Claystone: Greyish brown, dusky brown, dusky red, soft to moderate hard, amorphous to sub blocky, in parts blocky, sticky, pasty, in parts silty, washable, disperse, moderately calcareous.
Sandstone: Light to medium grey, brownish grey, transparent to translucent, fine to medium grained, rounded to sub rounded, loose to friable, slightly to moderately compact, poorly to moderately sorted, calcareous cement, in parts argillaceous, trace mafic minerals.</t>
  </si>
  <si>
    <t>Sandstone: Grey, dark yellowish grey, transparent to translucent, very fine to fine grained, in parts medium grained, rounded to sub rounded, moderately compact, poorly to moderately sorted, grading to siltstone, calcareous cement, in parts argillaceous, trace mafic minerals, trace limestone.
Claystone: Moderate brown, reddish brown, brick red, greyish brown, soft to firm, in parts moderate hard to hard, amorphous to sub blocky, in parts blocky, sticky, pasty, in parts silty, washable, calcareous.</t>
  </si>
  <si>
    <t>Sandstone: Light to medium grey, transparent to translucent, very fine to fine grained, occasionally medium grained, rounded to sub rounded, poorly to moderately sorted, in parts grading to siltstone, trace mafic minerals, trace glauconite, in parts argillaceous, calcareous cement.
Claystone: Reddish brown, moderate brown, brick red, greyish brown, soft to firm, in parts moderate hard, amorphous to sub blocky, in parts blocky, sticky, pasty, in parts silty, washable, slightly to moderately calcareous.</t>
  </si>
  <si>
    <t>Claystone: Medium to dark brown, brick red, reddish, greyish brown, soft to firm, moderate hard, in parts hard, amorphous to sub blocky, in parts blocky, sticky, pasty, in parts silty, calcareous, washable.
Sandstone: Light to medium grey, transparent to translucent, friable, moderately compact, very fine to fine grained, occasionally medium grained, rounded to sub rounded, poorly to moderately sorted, in parts grading to siltstone, trace mafic minerals, trace glauconite, in parts argillaceous matrix, calcareous cement.</t>
  </si>
  <si>
    <t>Sandstone: Light grey, white, transparent to translucent, in parts greenish grey, loose to friable, in parts moderately compact, very fine to fine grained, occasionally medium grained, rounded to sub rounded, poorly to moderately sorted, calcareous cement, trace mafic minerals, trace glauconite. 
Claystone: Dark brown, moderate brown, reddish brown, in parts brick red, soft to firm, in parts moderately hard, sub blocky to blocky, in parts amorphous, slightly sticky, pasty, in parts silty, washable, moderately calcareous.</t>
  </si>
  <si>
    <t xml:space="preserve">Claystone: Moderate reddish brown, moderate brown, brick red, soft to firm, amorphous, in parts sub blocky, sticky, pasty, washable, moderately calcareous.
Sandstone: Light to medium grey, transparent to translucent, loose to friable, in parts moderately compact, very fine to fine grained, occasionally medium grained, rounded to sub rounded, poorly to moderately sorted, calcareous cement.
</t>
  </si>
  <si>
    <t>Sandstone: Light grey, transparent to translucent, very fine to fine grained, rounded to sub rounded, moderately compact, poorly to moderately sorted, calcareous cement, in parts argillaceous, trace mafic minerals, trace glauconite.
Claystone: Moderate brown, reddish brown, brick red, greyish brown, soft to firm, occasionally moderately hard, in parts hard to very hard, amorphous to sub blocky, in parts blocky, sticky, pasty, in parts silty, in parts disperse, washable, calcareous.
Limestone: off white, light greyish yellow, soft to firm, microcrystalline to cryptocrystalline, sub blocky to blocky.</t>
  </si>
  <si>
    <t>Sandstone: Grey, brownish grey, transparent to translucent, moderately compact to compact, very fine to fine grained, rounded to sub rounded, poorly to moderately sorted, in parts grading to siltstone, calcareous cement, in parts argillaceous, trace mafic minerals, trace glauconite.
Claystone: Moderate brown, reddish brown, brick red, greyish brown, soft to firm, occasionally moderately hard, in parts hard to very hard, amorphous to sub blocky, occasionally blocky, sticky, pasty, in parts silty, in parts disperse, washable, calcareous.</t>
  </si>
  <si>
    <t>Claystone: Moderate brown, reddish brown, brick red, greyish brown, soft to firm, occasionally moderately hard, in parts hard to very hard, amorphous to sub blocky, occasionally blocky, sticky, pasty, in parts silty, in parts disperse, washable, calcareous.
Sandstone: Grey, brownish grey, transparent to translucent, moderately compact to compact, very fine to fine grained, rounded to sub rounded, poorly to moderately sorted, in parts grading to siltstone, calcareous cement, in parts argillaceous, trace mafic minerals, trace glauconite.</t>
  </si>
  <si>
    <t>Sandstone: Light to medium grey, white, transparent to translucent, moderately compact to compact, in parts friable, very fine to fine grained, occasionally medium grained, rounded to sub rounded, poorly to moderately sorted, in parts grading to siltstone, calcareous cement, in parts argillaceous, trace glauconite.
Claystone: Moderate reddish brown, reddish brown, brick red, soft to firm, occasionally moderately hard, amorphous to sub blocky, occasionally blocky, sticky, pasty, in parts silty, washable, moderately calcareous, trace limestone.</t>
  </si>
  <si>
    <t>Claystone: Moderate brown, reddish brown, greyish brown, soft to moderately hard, in parts hard, amorphous to sub blocky, in parts blocky, sticky, pasty, silty, washable, calcareous.
Sandstone: As above.</t>
  </si>
  <si>
    <t>Claystone: Moderate brown, reddish brown, greyish brown, soft to moderately hard, in parts hard, amorphous to sub blocky, in parts blocky, sticky, pasty, silty, washable, calcareous.
Limestone (TR-10%): Light grey, off white, dirty white, light brownish grey, soft to firm, microcrystalline to cryptocrystalline, sub blocky to blocky, argillaceous.</t>
  </si>
  <si>
    <t>Claystone: Reddish brown, moderate brown, greyish brown, yellowish brown, soft to moderately hard, in parts hard, amorphous to sub blocky, in parts blocky, in parts grading to siltstone, washable, calcareous, trace limestone.
Sandstone (TR-20%): Light to medium grey, transparent to translucent, in parts light brown, moderately compact to compact, very fine to fine grained, in parts medium grained, rounded to sub rounded, poorly to moderately sorted, in parts grading to siltstone, calcareous cement, in parts argillaceous.</t>
  </si>
  <si>
    <t>Claystone: Moderate brown, reddish brown, greyish brown, yellowish brown, in parts olive grey, soft to moderately hard, in parts hard, amorphous to sub blocky, in parts blocky, in parts grading to siltstone, washable, calcareous, trace limestone.
Sandstone: Light to medium grey, light bluish grey, transparent to translucent, very fine to fine grained, rounded to sub rounded, poorly to moderately sorted, in parts grading to siltstone, slightly calcareous cement, trace mafic minerals.</t>
  </si>
  <si>
    <t>Claystone: Moderate brown, reddish brown, greyish brown, yellowish brown, in parts olive grey, soft to moderately hard, in parts hard, amorphous to sub blocky, in parts blocky, in parts grading to siltstone, washable, calcareous, trace limestone.</t>
  </si>
  <si>
    <t>Limestone: Light brown, creamy, off white, pale yellowish brown, soft to moderately hard, sub block to blocky, microcrystalline to cryptocrystalline, in parts chalky, in parts argillaceous.
Claystone: Moderate brown, reddish brown, greyish brown, yellowish brown, in parts olive grey, soft to moderately hard, in parts hard, amorphous to sub blocky, in parts blocky, in parts grading to siltstone, washable, calcareous, trace limestone.</t>
  </si>
  <si>
    <t>Patala</t>
  </si>
  <si>
    <t>Lockhart</t>
  </si>
  <si>
    <t>Hangu</t>
  </si>
  <si>
    <t>Warcha-Dandot</t>
  </si>
  <si>
    <t>Limestone: Pale yellowish brown, dusky brown, light grey to grey, off white, soft to firm, in parts moderately hard, sub block to blocky, microcrystalline to cryptocrystalline, in parts chalky, in parts argillaceous.</t>
  </si>
  <si>
    <t>Limestone: Pale yellowish brown, dusky brown, light grey to grey, off white, soft to firm, in parts moderately hard, sub block to blocky, microcrystalline to cryptocrystalline, in parts chalky, in parts argillaceous.
Marl: Greenish grey, medium bluish grey, medium grey, soft to firm, amorphous, washable. 
Shale: Dark greenish grey, medium grey, soft to moderately hard, sub fissile to fissile, splintery, slight to non calcareous.</t>
  </si>
  <si>
    <t xml:space="preserve">Limestone: Pale yellowish brown, off white, brownish grey, occasionally dirty white, soft to moderately hard, hard in parts, microcrystalline to cryptocrystalline, sub block to blocky, chalky, trace fossil. Show: trace light golden yellow direct fluor, very poor streaming light bluish white Cut fluor, no residual ring.
Marl: Greenish grey, medium bluish grey, medium grey, soft to firm, amorphous, washable. </t>
  </si>
  <si>
    <t>Limestone: Pale yellowish brown, off white, brownish grey, occasionally dirty white, soft to moderately hard, hard in parts, microcrystalline to cryptocrystalline, sub block to blocky, chalky, trace fossil. Shows: trace light golden yellow direct fluor, very poor streaming light bluish white Cut fluor, no residual ring.</t>
  </si>
  <si>
    <t>Limestone: Dark brown, yellowish brown, pale yellowish brown, soft to moderately hard, hard to very hard in parts, microcrystalline to cryptocrystalline, sub block to blocky, chalky, trace carbonaceous matrix, trace fossil. Shows: trace light golden yellow direct fluor, very poor streaming light bluish white Cut fluor, no residual ring.
Shale: Dark greenish grey, bluish grey, medium grey, soft to moderately hard, sub fissile to fissile, splintery, slight to non calcareous.</t>
  </si>
  <si>
    <t>Limestone: Yellowish brown, dusky brown, greyish brown, soft to moderately hard, hard to very hard in parts, microcrystalline to cryptocrystalline, sub block to blocky, chalky, trace carbonaceous matrix, trace fossil, trace sucrosic texture. Shows: trace light golden yellow direct fluor, very poor streaming light bluish white Cut fluor, no residual ring.</t>
  </si>
  <si>
    <t>Limestone: Yellowish brown, dusky brown, greyish brown, soft to moderately hard, hard to very hard in parts, microcrystalline to cryptocrystalline, sub block to blocky, chalky, trace carbonaceous matrix, trace fossil, trace sucrosic texture. 
Marl: Greenish grey, light to medium grey, light olive grey, soft to amorphous, slightly sticky, washable, grading to argillaceous limestone.</t>
  </si>
  <si>
    <t>Marl: Light Greenish grey, dark grey, light olive grey, soft, amorphous, slightly sticky, slightly washable. 
Limestone: Light to medium grey, dirty white, dark brownish grey in parts, soft to firm, moderately hard in parts, sub blocky to blocky, microcrystalline to cryptocrystalline, moderately to high argillaceous, no shows. 
Shale: Dark greenish grey, bluish grey, dark grey, moderately hard to hard, sub fissile, splintery in parts, slightly to non-calcareous.</t>
  </si>
  <si>
    <t>Shale: Dark greenish grey, bluish grey, dark grey, moderately hard to hard, sub fissile, splintery in parts, slightly to non-calcareous.
Marl: Light Greenish grey, dark grey, light olive grey, soft, amorphous, slightly sticky, slightly washable.</t>
  </si>
  <si>
    <t>Limestone: Light grey, light brown, dirty white, in parts off white, soft to firm, amorphous, sub blocky, microcrystalline to cryptocrystalline, in parts chalky, no shows. 
Marl: Light greenish grey, dark grey, light olive grey, soft, amorphous, slightly sticky, slightly washable.
Shale: Dark greenish grey, bluish grey, dark grey, moderately hard to hard, sub fissile, splintery in parts, slightly to non calcareous.</t>
  </si>
  <si>
    <t>Claystone: Greyish brown, pale brown, pale yellowish brown, soft to firm, amorphous, in parts sub blocky, slightly sticky, pasty, silty in parts, slightly calcareous, washable, trace limestone.
Siltstone: Light to medium grey, brownish grey, soft to moderately hard, hard in parts, sub blocky, in parts grading to very fine sandstone.
Shale: Dark greenish grey, bluish grey, dark grey, moderately hard to hard, sub fissile, splintery in parts, slightly to non calcareous.</t>
  </si>
  <si>
    <t>Claystone: Light to medium grey, pale yellowish brown, greyish brown, soft to firm, amorphous, sub blocky in parts, sticky, pasty, silty, washable, slightly calcareous.
Sandstone: Transparent to translucent, off white, light to medium grey, fine to very fine grained, grading to siltstone,
rounded to sub rounded, poorly to moderately sorted, calcareous cement, in parts argillaceous, trace limestone.
Shale: Dark grey, Dark greenish grey, in parts bluish grey, soft to moderately hard, in parts hard, sub blocky to blocky, sub fissile to fissile, platy, splintery, slightly to non calcareous.</t>
  </si>
  <si>
    <t>Claystone: Medium to dark grey, blackish grey, brownish grey, soft to firm, moderately hard in parts, amorphous to sub blocky, sticky in parts, silty, common carbonaceous matrix, washable, slightly to non calcareous.
Sandstone: Transparent to translucent, off white, light to medium grey, fine to very fine grained, grading to siltstone,
rounded to sub rounded, poorly to moderately sorted, calcareous cement, in parts argillaceous.
Shale: Dark grey, Dark greenish grey, in parts bluish grey, soft to moderately hard, in parts hard, sub blocky to blocky, sub fissile to fissile, platy, splintery, slightly to non calcareous.</t>
  </si>
  <si>
    <t>Jutana</t>
  </si>
  <si>
    <t>Kussak</t>
  </si>
  <si>
    <t>Sandstone: Transparent to translucent, off white, light to medium grey, fine to very fine grained, grading to siltstone,
rounded to sub rounded, poorly to moderately sorted, calcareous cement, in parts argillaceous.
Claystone: Medium to dark grey, blackish grey, brownish grey, soft to firm, moderately hard in parts, amorphous to sub blocky, sticky in parts, silty, common carbonaceous matrix, washable, slightly to non calcareous.
Shale (20%): Dark grey, Dark greenish grey, in parts bluish grey, soft to moderately hard, in parts hard, sub blocky to blocky, sub fissile to fissile, platy, splintery, slightly to non calcareous.</t>
  </si>
  <si>
    <t>Sandstone: Transparent to translucent, light grey, greenish grey, brownish grey, friable to compact, fine to medium grained, rounded to sub rounded, moderately sorted, in parts calcareous cement, in parts trace limestone, in parts grading to siltstone
Claystone: Medium to dark grey, blackish grey, brownish grey, soft to firm, moderately hard in parts, amorphous to sub blocky, sticky in parts, silty, common carbonaceous matrix, washable, slightly to non calcareous.
Shale: Medium to dark grey, greyish black, dark greenish grey, soft to firm, moderately hard in parts, in parts hard, sub blocky to blocky, sub fissile to fissile, platy, splintery, in parts silty, slightly to non calcareous.</t>
  </si>
  <si>
    <t>Sandstone: Transparent to translucent, white, light grey, light pink, orange, in parts light brown, fine to medium grained, in parts coarse grained, occasionally very coarse grained, loose to moderately compact, in parts well compact, sub angular to rounded, poorly to moderately sorted, in parts gritty &amp; conglomerate slightly to moderately calcareous cement. Shows: trace to pitchy, light golden yellow direct fluor, very slow streaming light bluish white Cut fluor, very light yellow residual ring.
Shale: Dark grey, greyish black, dark greenish grey, firm to moderately hard, in parts very hard, sub blocky to blocky, sub fissile to fissile, platy, in parts silty, slightly to non calcareous.</t>
  </si>
  <si>
    <t>Dolomite: Light brown, dirty white, off white, firm to moderately hard, in parts hard, sucrosic texture microcrystalline, in parts argillaceous. 
Sandstone: Transparent to translucent, white, light grey, light pink, orange, in parts light brown, fine to medium grained, in parts coarse grained, occasionally very coarse grained, loose to moderately compact, in parts well compact, sub angular to rounded, poorly to moderately sorted, in parts glauconite, trace mafic mineral.
Shale: Dark grey, greyish black, dark greenish grey, firm to moderately hard, in parts very hard to very hard, sub blocky to blocky, sub fissile to fissile, platy, in parts silty, slightly to non calcareous.</t>
  </si>
  <si>
    <t>Sandstone: Light to medium grey, transparent to translucent, off white, light grey, greenish grey, fine to medium grained, in parts coarse grained, friable to moderately compact, in parts well compact, sub angular to rounded, poorly to moderately sorted, trace pyrite, trace to common glauconite, trace mafic mineral, in parts dolomitic, poor porosity, no shows.
Shale (20-40%): Greyish brown, medium to dark brown, medium to dark grey, greyish black, firm to moderately hard, in parts hard to very hard, sub blocky to blocky, sub fissile to fissile, platy, in parts silty, in parts amorphous clay, non calcareous.</t>
  </si>
  <si>
    <t>Sandstone: Transparent to translucent, light yellowish brown, greyish brown, light grey, light orange, fine to medium grained, in parts coarse grained, friable to moderately compact, in parts well compact, sub angular to rounded, poorly to moderately sorted, trace pyrite &amp; glauconite, trace mafic mineral, poor to moderate visible porosity. Shows: trace to spotty golden yellow direct fluorescence, slow streaming light bluish white Cut fluorescence, very light yellow residual ring.
Shale: Medium to dark grey, greenish grey, greyish brown, greyish black, firm to moderately hard, in parts hard to very hard, sub blocky to blocky, sub fissile to fissile, platy, in parts silty, in parts amorphous clay, non calcareous.</t>
  </si>
  <si>
    <t>Sandstone: Transparent to translucent, light yellowish brown, greyish brown, light grey, light orange, fine to medium grained, in parts coarse grained, friable to moderately compact, in parts well compact, sub angular to rounded, poorly to moderately sorted, trace pyrite &amp; glauconite, trace mafic mineral, moderate visible porosity. Shows: trace to spotty golden yellow direct fluorescence, slow streaming light bluish white Cut fluorescence, very light yellow residual ring.
Claystone: Moderate brown, brownish grey, reddish brown, in parts brick red, soft to firm, amorphous, in parts silty, slightly washable, slightly to non calcareous. 
Shale: Medium to dark grey, greenish grey, greyish brown, greyish black, firm to moderately hard, in parts hard to very hard, sub blocky to blocky, sub fissile to fissile, platy, in parts silty, in parts amorphous clay, non calcareous.</t>
  </si>
  <si>
    <t>Claystone: Moderate reddish brown, brownish grey, light brown, brick red, soft to firm, amorphous, in parts silty, slightly washable, slightly to non calcareous. 
Sandstone: Transparent to translucent, light yellowish brown, greyish brown, light grey, off white, light orange, fine to medium grained, in parts coarse grained, loose friable, in parts moderately compact, sub angular to sub rounded, poorly to moderately sorted, trace pyrite &amp; glauconite, trace mafic mineral, poor visible porosity.
Siltstone: Light brown, light orange grey, off white, light grey, soft to firm, in parts moderately hard to hard, amorphous, to sub blocky, slightly to non calcareous.</t>
  </si>
  <si>
    <t>Claystone: Moderate reddish brown, brownish grey, light brown, brick red, soft to firm, amorphous, in parts silty, trace dolomite, slightly washable, slightly to non calcareous. 
Siltstone: Dusky red, dusky brown, greyish brown, light grey, off white, moderately hard to hard, in parts very hard, sub blocky to blocky, in parts grading to very fine sandstone, slightly to non calcareous.
Sandstone: Transparent to translucent, light yellowish brown, greyish brown, light grey, off white, fine to medium grained, loose to moderately compact, sub angular to sub rounded, poorly to moderately sorted, in parts grading to siltstone, trace glauconite, trace mafic mineral, poor visible porosity.</t>
  </si>
  <si>
    <t>Anhydrite / Gypsum: Off white, to white, light grey, soft to firm, amorphous, sub blocky, crystalline. 
Dolomite: Light brown, brownish grey, moderately hard to hard, in parts very hard, sub blocky to blocky, in parts argillaceous.
Claystone: Moderate reddish brown, brownish grey, light brown, brick red, soft to moderate hard, amorphous to sub blocky, in parts silty, slightly washable, slightly to non calcareous.</t>
  </si>
  <si>
    <t>Root_Cause</t>
  </si>
  <si>
    <t>Severity</t>
  </si>
  <si>
    <t>Prespud</t>
  </si>
  <si>
    <t>Equipment</t>
  </si>
  <si>
    <t>Surface</t>
  </si>
  <si>
    <t xml:space="preserve">CCDC FHD centrifuge capacity curve shows the FHD centrifuge capacity should be at 50 gpm when the mud weight is 1.69 S.G / 14 PPG. But field centrifuge test results showed around 20 GPM which is unacceptable  </t>
  </si>
  <si>
    <t xml:space="preserve">Performed Centrifuge check as per recommended parameters on site with CCDC and MI Mud engineers. Derrick (OEM) engineer was Unavailable. </t>
  </si>
  <si>
    <t>Inappropraite Equipment Efiiciency</t>
  </si>
  <si>
    <t>Medium</t>
  </si>
  <si>
    <t>Construction</t>
  </si>
  <si>
    <t>QHSE</t>
  </si>
  <si>
    <t>Cellar dimension at Well Adhi South are (3' x 3' x 3.5' ) which creates dificulty to accommodate all wellhead sections upto cellar top.Secondly clearance in cellar is very low to easily work inside cellar.</t>
  </si>
  <si>
    <t>Services</t>
  </si>
  <si>
    <t>Construction dept should be communicated to increase the cellar dimension specially for deep wells to avoid any convinience.</t>
  </si>
  <si>
    <t>Need to be reconsidered / investigated</t>
  </si>
  <si>
    <t>Everyone gets in contact with Rig floor stairs handrails. This is an unsafe act keeping Covid-19 pandemic in mind.</t>
  </si>
  <si>
    <t>Disinfection of handrails must be carried out twice a day or every crew change.</t>
  </si>
  <si>
    <t>Crew awarness</t>
  </si>
  <si>
    <t>High</t>
  </si>
  <si>
    <t>Work on Wellhead</t>
  </si>
  <si>
    <t>TRS</t>
  </si>
  <si>
    <t xml:space="preserve">Used cold casing cutter to cut 20" Casing. It took around 5 hrs to get the done. </t>
  </si>
  <si>
    <t>The Operator was not skillful enough to complete the job timely.</t>
  </si>
  <si>
    <t>Crew competency</t>
  </si>
  <si>
    <t>20" Slip on Lock type (SOL) Wellhead has been used for the 1st time instead of Slip on Weld ( SOW). It was easily of install and save much rig time.</t>
  </si>
  <si>
    <t>It is recommeded to use slip on lock type Wellhead on all future wells to save time &amp; cost.</t>
  </si>
  <si>
    <t>Optimization initiative</t>
  </si>
  <si>
    <t>MI SWACO</t>
  </si>
  <si>
    <t>It was observed that while drilling 17-1/2" section, mud loss on shakers was too high (~1000 bbls in 24 hours).</t>
  </si>
  <si>
    <t>Reduced GPM &amp; drilling parameters to optimize mud loss from shakers. We had 3 shakers at wellsite. One more shaker should be installed to compensate high ROP &amp; GPM requirement avoiding excessive shakers loss.</t>
  </si>
  <si>
    <t>Mismanagement by Mud Engineer</t>
  </si>
  <si>
    <t>During mixing barite, the hoppers were getting plugged. Upon checking found chunks of wet barite. The barite sent by BMI looked old and wet. Most of the bags are wet &amp; segregated while mixing.</t>
  </si>
  <si>
    <t>BMI</t>
  </si>
  <si>
    <t>Bags with wet barite to be segregated &amp; not be used.</t>
  </si>
  <si>
    <t>Poor product quality</t>
  </si>
  <si>
    <t>CCDC crew took extra time for BOP Nipple up and pressure testing.</t>
  </si>
  <si>
    <t>N/UP BOP</t>
  </si>
  <si>
    <t>It is recommended for CCDC to have a defined procedure for BOP nipple up &amp; testing. This would not only speed up the process but also make it safe.  M/U and testing on stump can reduce the time as well.</t>
  </si>
  <si>
    <t>Lack of training and skilled supervisor</t>
  </si>
  <si>
    <t xml:space="preserve">There is no provision of Bleed off valve on Mud Pump manifold. </t>
  </si>
  <si>
    <t xml:space="preserve">Currently bleed off has to be done at pump side. </t>
  </si>
  <si>
    <t>Improper equipment design</t>
  </si>
  <si>
    <t xml:space="preserve">It is difficult to locate floating equipment, Top/ Bottom plugs based on just index number as different vendor plugs have different profiles and are not interchangeable. There fore they should have different indexing.  </t>
  </si>
  <si>
    <t>Proper indexing &amp; segreagtion of equipment from each vendor</t>
  </si>
  <si>
    <t>Material handling/ indexing</t>
  </si>
  <si>
    <t>ECP (Expandable Casing Packer) has both pin ends. In order to make it up, we have to use coupling from Casing joint &amp; install on ECP to make it Pin x Box. Consequently, we have to waste a complete Casing joint for coupling.</t>
  </si>
  <si>
    <t>Casing</t>
  </si>
  <si>
    <t>Severe water shortage issue was faced at Well Adhi South -3 due to local community problems. Consequently, it effects the rig operations. Secondly, water transfer motor from water pit to tanks  should be of rig contractor instead of PPL /contractor.</t>
  </si>
  <si>
    <t>It is suggested that water bore should be inside fence. Contractor should be responsible to deal with locals &amp; provide continous supply of water. Water transfer motor from water pit to tanks  should be of rig contractor instead of PPL /contractor.</t>
  </si>
  <si>
    <t>Local Community issues</t>
  </si>
  <si>
    <t>Dead volume of  large water pits like should have sumps so that the dead volume could be lifted if required during emergency</t>
  </si>
  <si>
    <t xml:space="preserve">Sumps should be made so that the dead volume could be lifted </t>
  </si>
  <si>
    <t>No provision of sump in water pit</t>
  </si>
  <si>
    <t>Low</t>
  </si>
  <si>
    <t xml:space="preserve">Need to install pipe next to V door which can be used while drifting Drill string. This will make the drifting operation safer and faster. </t>
  </si>
  <si>
    <t>Cementing</t>
  </si>
  <si>
    <t xml:space="preserve">Such pipe can easily be manufactured inhouse and should be installed to prevent any accident in the future. </t>
  </si>
  <si>
    <t>Update Equipment</t>
  </si>
  <si>
    <t xml:space="preserve">While fillup casing the mud pumps are used which is not a safe practice. </t>
  </si>
  <si>
    <t xml:space="preserve">There should be separate line from trip tank or hopper for fillup of csg purpose. More over there should be ON/OFF switch in dog house. </t>
  </si>
  <si>
    <t xml:space="preserve">There is no provision to monitor make up torque values of drill string. </t>
  </si>
  <si>
    <t xml:space="preserve">The power tong M/U Torque gauge should be installed in dog house so that the driller can monitor the make up of drill string. </t>
  </si>
  <si>
    <t xml:space="preserve">While tripping we should use DP wiper rubber to prevent anything from dropping in the hole. </t>
  </si>
  <si>
    <t>DP wiper rubber to be used</t>
  </si>
  <si>
    <t xml:space="preserve">All CCDC Rigs have only 8" Vent line for Diverter system with bends. This is a violation of PPL well control policy. </t>
  </si>
  <si>
    <t>CCDC to ensure minimum 10" vnet line with 0 bends in upcoming wells.</t>
  </si>
  <si>
    <t>Wireline Logging</t>
  </si>
  <si>
    <t>During POOH wireline tool(FMI). Observed metallic shaving come with logging tool. Due to downhole drilling operations result in generation of ferrous debris (metallic shaving) which remain in the wellbore. Which effect the logging tools to retrieve logs properly. Also MWD was not used in 6 inch section, rapid build up in inclination was noted creating sharp dog legs.</t>
  </si>
  <si>
    <t>Matter investigated thorughly &amp; found out that liner top was tagged aggressivley due to confusion in liner tally, resulting in generation of metallic shavings. Also ditch magnet was not installed that could have detected these shavings during cleanout trip. MWD was also not run while drilling 6" hole &amp; there was sharp dog leg in 6" hole due to high formation bends, coupled with aggressive drilling parameters causing damage to liner &amp; generation of metallic shavings.</t>
  </si>
  <si>
    <t>Dedicated cleanout trip inside 7" liner needs to be performed while running Motor/ directional BHA. MWD to be used in 6 inch section for future wells.</t>
  </si>
  <si>
    <t>Downhole</t>
  </si>
  <si>
    <t>Improper job planning, slurry design by the cementing contractor. Also mud/ spacer compatibility tests were not run.</t>
  </si>
  <si>
    <t>Poor service quality by cementing contractor</t>
  </si>
  <si>
    <t>Poor or low quality cement behind 7’’ liner was found during CBL – VDL log by SLB W/L, which was reconfirmed by RCBLlog (360 deg view) conducted by WLE.</t>
  </si>
  <si>
    <t>Rig Up</t>
  </si>
  <si>
    <t>PJSM. P/U &amp; M/U 20” Csg (106.5 #, BTC,K-55) with F/S &amp; F/C on 1st and 2nd jnt already Baker locked &amp; torqued up on racks. Checked integrity of floats - OK. RIH 20" Csg (Total 23 Jts) to 256 m. Filled up every jnt &amp; washed down last jnt.</t>
  </si>
  <si>
    <t>Casing Cementing</t>
  </si>
  <si>
    <t>Pumped 80 bbl of 13 ppg Spacer. Switched-over to Dowell unit and pumped 315 bbl Lead Slurry of 15.8 ppg  followed by 100 bbl batch mix tail slurry of 15.8 ppg. Displaced the same with 5 bbl spacer + 8 bbls mud (4 bbl underdisplaced). Bled-off - No back flow. Dumped 80 bbls contaminated spacer + 60 bbl neat cement.</t>
  </si>
  <si>
    <t>Full</t>
  </si>
  <si>
    <t>Window cut 30" conductor &amp; welded support pads onto 20” casing. Window cut 30" conductor on upper side &amp; rough cut 20” Csg. L/D 20” Csg landing jnt. Cut 0" conductor &amp; L/D same.</t>
  </si>
  <si>
    <t>17:30:00 PM</t>
  </si>
  <si>
    <t>22:30:00 PM</t>
  </si>
  <si>
    <t>Install CHH</t>
  </si>
  <si>
    <t>Install Diverter</t>
  </si>
  <si>
    <t>PJSM. P/U &amp; M/U 14” Csg (114 #, BTC,P-110) with F/S &amp; F/C on 1st and 5th jnt already Baker locked &amp; torqued up on racks. Checked integrity of floats - OK. RIH 14" Csg to 283 m. Filled up each jnt while RIH.</t>
  </si>
  <si>
    <t>RIH 14" x 13-3/8" Csg from 283 m to 1052 m (Total jnts = 90) with centralizers installed as per tally. Filled up Csg every 5 Jts. Washed down last jnt.</t>
  </si>
  <si>
    <t xml:space="preserve">Pumped 100 bbls Mud Push II spacer of 14 ppg from Rig pump. Dropped bottom plug. Switched to cmnt unit. Pumped 440 bbls of 15.2 ppg fly mixed lead slurry followed by 150 bbls of 16.2 ppg of batch mixed tail slurry. Dropped top plug. Displaced with 20 bbls Mud Push II spacer. Switched to Rig pumps. Displaced with 469 bbls mud. Plug bumped. Increased pressure to 2500 psi &amp; Press tested Csg at 2500 psi. Held pressure for 15 mints - OK. While displacement, dumped contaminated spacer &amp; ~ 90 bbls neat cmnt (Max wt - 15 ppg). Checked back flow - No flow.	</t>
  </si>
  <si>
    <t>N/D 21-1/4" Diverter system and spacer spools.</t>
  </si>
  <si>
    <t>Nipple Down</t>
  </si>
  <si>
    <t>Install CHS</t>
  </si>
  <si>
    <t>N/U 13-5/8" x 10K BOP stack &amp; related equipment. Function tested from all three remote panels. Connected kill &amp; choke lines. (3.5 Hrs NPT to CCDC for delay)</t>
  </si>
  <si>
    <t>Nipple Up</t>
  </si>
  <si>
    <t>Nipple UP</t>
  </si>
  <si>
    <t xml:space="preserve">M/U test plug assy. Set test plug in CHS. Pressure tested annular BOP at 350 / 4000 psi - OK. Pressure test UPR + Blind rams + LPR + Kill / Choke line + HCR + Manual valves + IBOP + Choke manifold (Offline) at 350 / 4000 psi - OK. (3.5 Hrs NPT to CCDC for delay). Installed wear bushing. L/D test plug assy.														</t>
  </si>
  <si>
    <t>Lay Down</t>
  </si>
  <si>
    <t>Drill String</t>
  </si>
  <si>
    <t>P/U, M/U &amp; RIH 69 x 5" DP joints to 655 m single by single. Drifted, hammered &amp; flushed each joint. P/U, M/U &amp; RIH 24 x 5" DP jts from 655 m to 864 m single by single. Flushed string with high GPM.</t>
  </si>
  <si>
    <t>Make Up</t>
  </si>
  <si>
    <t xml:space="preserve">Lifted 21-1/4" Diverter system. Rough cut 13-3/8" Casing. L/D landing joint.	</t>
  </si>
  <si>
    <t xml:space="preserve">Final cut 13-3/8" Casing. Bevelled and dressed 13-3/8" Casing stub. </t>
  </si>
  <si>
    <t>Installed 20" csg cutter. Final cut 20" Casing &amp; bevelled same. Meanwhile prepared 1200 bbls 1.15 SG high performance mud.</t>
  </si>
  <si>
    <t>Landed 20" x 21-1/4" SOL CHH on 20" Casing stub. Press tested FS seal at 550 psi - OK.</t>
  </si>
  <si>
    <t xml:space="preserve">POOH 12-1/4” Bit/ Directional BHA from 2247 m to 1044 m (Inside 13-3/8" Csg) . During POOH obsvd O/P of 7-15 Tons at 2119m, 2092m, 2071m, 2021m, 2006m, 1931m &amp; 1788 m &amp; 1755 m - cleared by pump out. Obsvd 10-18 Tons 1451 m and 1495 m - cleared with reaming. 															</t>
  </si>
  <si>
    <t>2119m, 2092m, 2071m, 2021m, 2006m, 1931m, 1788 m &amp; 1755 m</t>
  </si>
  <si>
    <t>Soft</t>
  </si>
  <si>
    <t>POOH 12-1/4" Bit / Directional BHA from 2891 m to 166 m (Top of BHA). During POOH Obsvd 10-15 Tons O/P at 2525m, 2439m, 2407m, 2377 m - cleared with pump out &amp; Obsvd 10-17 O/P at 2512 m - cleared with back reaming.</t>
  </si>
  <si>
    <t>2525m, 2439m, 2407m, 2377 m</t>
  </si>
  <si>
    <t>RIH 12-1/4" Bit / Packed BHA from 1017 m to 2891 m. During RIH obsvd obstruction of 15-20 tons at 1252m, 1414m, 1463m, 1608m, 1787m, 1851m, 1929m, 2359m, 2388m, 2457m, 2501m, 2547m, 2604m, 2661m, 2746m, 2810m, 2847m- 2858m, 2878m-2889 m - Cleared with reaming.</t>
  </si>
  <si>
    <t>Condition Run</t>
  </si>
  <si>
    <t>1252m, 1414m, 1463m, 1608m, 1787m, 1851m, 1929m, 2359m, 2388m, 2457m, 2501m, 2547m, 2604m, 2661m, 2746m, 2810m, 2847m- 2858m, 2878m-2889 m</t>
  </si>
  <si>
    <t xml:space="preserve">POOH 12-1/4" Bit / Packed BHA from 2891 m to 1796 m. During POOH Obsvd O/P of 10-15 tons at 2635m, 2579m, 2529m &amp; 2434 m - cleared with back reaming. </t>
  </si>
  <si>
    <t>2635m, 2579m, 2529m &amp; 2434 m</t>
  </si>
  <si>
    <t xml:space="preserve">Held PJSM. P/U &amp; M/U first 8 jts of 9-5/8" Csg with F/Shoe &amp; F/Collar already baker locked and torqued up on 1st and 8th jt respectively. Checked integrity of floats -Ok. RIH 9-5/8" Casing to 2530 m (221 jts). Installed centralizers &amp; ECP as per program. While RIH, filled up every joint of Casing with fill up tool &amp; monitored well via trip tank. Broke circulation and recorded parameters at 1045 m and 2000 m. 	</t>
  </si>
  <si>
    <t xml:space="preserve">Held PJSM. Pumped 100 bbl CEMPRIME scrub of 16.5 ppg @ 10 bpm followed by 50 bbl 16.5 ppg Mudpush II via rig pumps @ 10 bpm. Dropped btm plug. Switched over to dowell unit. Pumped 150 bbl of 17.4 ppg lead slurry+ 100 bbl of 17.4 ppg tail slurry+ 340 bbl of 17.4 ppg lead slurry followed by 99.1 bbl of 17.4 ppg tail slurry @ 5 bpm. Dropped top plug. Displaced slurry with 20 bbl 16.5 ppg Mudpush II Spacer + 637 bbl mud - Observed plug bumped. Increased pressure gradually to P/T 9-5/8" Casing and activated ECP at 4600 psi for 10 mins - Ok. Checked for backflow - Negative. Observed full returns during cement job. Dumped 130 bbl of neat cement (Max wt=17.4ppg)		</t>
  </si>
  <si>
    <t>Lifted BOP stack. Rough cut 9-5/8" Casing. L/D landing Joint.</t>
  </si>
  <si>
    <t>Nipple down BOP stack.</t>
  </si>
  <si>
    <t>Final cut 9-5/8" Casing stub &amp; bevelled same.</t>
  </si>
  <si>
    <t xml:space="preserve">Nipple Up 13-5/8" - 10K x 11" - 10K THS. Tightenend stud bolts. </t>
  </si>
  <si>
    <t>Pressure Test Ring gasket + FS Seals (Upper &amp; Lower) + Csg Hanger at 300/4000 psi  for 15 /15 min – Ok.</t>
  </si>
  <si>
    <t xml:space="preserve">Nipple up 13-5/8" - 10K BOP Stack. Changed UPR from 9-5/8” casing ram to 5-1/2” pipe rams. Function tested BOP - Ok. </t>
  </si>
  <si>
    <t xml:space="preserve">M/U and installed test plug in tubing head spool. Pressure Test annular BOP + UPR + Blind rams + LPR + Kill / Choke line + HCR + Manual valves + IBOP + Choke manifold (Offline) at 300 / 4000 psi for 10 min each - Ok. Installed wear bushing &amp; L/D test plug assy. Installed mud umbrella.	</t>
  </si>
  <si>
    <t xml:space="preserve">P/U, M/U &amp; RIH  6 x 5" HWDPs + 63 x 5" DPs to 657 m single by single. Flushed string at high GPM. POOH 5" DP stands to surface. </t>
  </si>
  <si>
    <t xml:space="preserve">P/U &amp; RIH 7” Casing (32#, Vam-21, P-110) with reamer shoe, float collar &amp; landing collar on 1st, 5th &amp; 6th joint respectively. Torqued up &amp; baker locked. Checked integrity of floats – OK. RIH 7” Liner to 523m. (38 joints). Filled up Casing after every joint. Installed circ head. Circ 1 x string volume. P/U Liner Hanger assembly. Installed SWP. Torqued up X-O &amp; M/U with 7" Casing. Filled PBR with hi-vis. Checked integrity of RSM with circ - OK. Recorded parameters. RIH 7" Liner with Liner hanger assy from 523 m to 3191 m. Filled up string as per program and drifted each stand. 	</t>
  </si>
  <si>
    <t>Pumped 70 bbl Cemprime scrub spacer of 14 ppg at 7-8 bpm via rig pumps. Switched over to Dowell unit. Pumped 63 bbl Flexible Expendable Slurry of 15.8 ppg at 4 bpm. Dropped DP Dart. Displaced cement slurry with 20 bbl spacer + 30 bbl mud + 15 bbl spacer followed by 151 bbl mud as per program. Bumped plug. Increased pressure to 3500 psi to P/T casing &amp; held for 10 minutes - OK. Bleed off - No back flow.	POOH to 2300m &amp; direct circ 1.5 times hole volume. Observed 15 bbls contaminated spacer.</t>
  </si>
  <si>
    <t>%OH_Excess</t>
  </si>
  <si>
    <t>Work on power tong.</t>
  </si>
  <si>
    <t>P/U, M/U &amp; RIH 11 x 4-3/4” DC + 21 x 3-1/2” HWDP + 75 x 3-1/2" DPs single by single to 1037 m. While P/U, hammered &amp; drifted each joint. Flushed string with high GPM. Meanwhile prepared 900 bbls of 1.05 S.G KCL polymer Non - damaging mud. POOH from 1037 m to surface &amp; rack back.</t>
  </si>
  <si>
    <t xml:space="preserve">Worked to release the stuck logging tool with max O/P limit - no success. Released wireline cable from ECRD &amp; POOH wireline cable to surface.	M/U SLB Overshot fishing assembly dressed with 3 5/8'' grapple &amp; RIH to 350 m with 3 1/2'' DPs. While RIH added 34 joints of 3 1/2'' DPs. Drifted &amp; flushed the same.	</t>
  </si>
  <si>
    <t xml:space="preserve">RIH Overshot fishing assy from 350 m to 3300 m. Resumed circulation (GPM: 183, SPP: 330 psi). RIH SLB Overshot fishing assembly from 3300 m to 3327.75 m (Top of Fish). Worked on fish. Observed fish latched. Confirmed with circ (GPM: 80, SPP: 550 psi). POOH fish from 3327.75 m to 3320 m. Reconfirmed with circ (GPM: 70, SPP: 500 psi). Flow checked - OK. POOH fish from 3320 m to surf. Rerecovered 100% fish successfully (Fish length: 116.5 m). L/D VSP tool. Monitored well thru trip tank.	</t>
  </si>
  <si>
    <t xml:space="preserve">Worked on Mud pumps. </t>
  </si>
  <si>
    <t>Hole_Size</t>
  </si>
  <si>
    <t>Duration</t>
  </si>
  <si>
    <t>Drilled_depth</t>
  </si>
  <si>
    <t>Trip_from</t>
  </si>
  <si>
    <t>Trip_to</t>
  </si>
  <si>
    <t>Distance_covered</t>
  </si>
  <si>
    <t>Avg_Tripping_Speed</t>
  </si>
  <si>
    <t>Water</t>
  </si>
  <si>
    <t>Diesel_Stock</t>
  </si>
  <si>
    <t>Diesel_Consumption</t>
  </si>
  <si>
    <t>Bit_Size</t>
  </si>
  <si>
    <t>Depth-in</t>
  </si>
  <si>
    <t>Depth-out</t>
  </si>
  <si>
    <t>Meterage</t>
  </si>
  <si>
    <t>Bit_Hours</t>
  </si>
  <si>
    <t>Krevs_revsx1000</t>
  </si>
  <si>
    <t>Avg.ROP</t>
  </si>
  <si>
    <t>Depth_MD</t>
  </si>
  <si>
    <t>Depth_TVD</t>
  </si>
  <si>
    <t>Avg ROP</t>
  </si>
  <si>
    <t>Torque</t>
  </si>
  <si>
    <t>Flowrate_gpm</t>
  </si>
  <si>
    <t>SPP</t>
  </si>
  <si>
    <t>Mud_Wt</t>
  </si>
  <si>
    <t>Ream_from</t>
  </si>
  <si>
    <t>Ream_to</t>
  </si>
  <si>
    <t>Obstruction_point</t>
  </si>
  <si>
    <t>Tight_Spot</t>
  </si>
  <si>
    <t>Type_of_Reaming</t>
  </si>
  <si>
    <t>Loss_prior_to_LCM</t>
  </si>
  <si>
    <t>Loss_after_LCM</t>
  </si>
  <si>
    <t>Inflow/Gain</t>
  </si>
  <si>
    <t>Kill_Mud_weight</t>
  </si>
  <si>
    <t>Kill_Mud_Pumped</t>
  </si>
  <si>
    <t>LCM_Pill_Pumped</t>
  </si>
  <si>
    <t>Cummulative_NPT</t>
  </si>
  <si>
    <t>NPT_Details</t>
  </si>
  <si>
    <t>Depth-MD</t>
  </si>
  <si>
    <t>Depth-TVD</t>
  </si>
  <si>
    <t>Temperature_degF</t>
  </si>
  <si>
    <t>Density</t>
  </si>
  <si>
    <t>Funnel_Viscosity</t>
  </si>
  <si>
    <t>Fann_Reading_R600</t>
  </si>
  <si>
    <t>Fann_Reading_R300</t>
  </si>
  <si>
    <t>Fann_Reading_R200</t>
  </si>
  <si>
    <t>Fann_Reading_R100</t>
  </si>
  <si>
    <t>Fann_Reading_R6</t>
  </si>
  <si>
    <t>Fann_Reading_R3</t>
  </si>
  <si>
    <t>Gel_Strength_10sec</t>
  </si>
  <si>
    <t>Gel_Strength_10min</t>
  </si>
  <si>
    <t>Gel_Strength_30min</t>
  </si>
  <si>
    <t>API_Fluid Loss_cc/30min</t>
  </si>
  <si>
    <t>HTHP_FluidLoss</t>
  </si>
  <si>
    <t>Chlorides</t>
  </si>
  <si>
    <t>KCl%</t>
  </si>
  <si>
    <t>Hardness</t>
  </si>
  <si>
    <t>PHPA%</t>
  </si>
  <si>
    <t>MIX_II-Fine</t>
  </si>
  <si>
    <t>G-SEAL_HRG-Fine</t>
  </si>
  <si>
    <t>G-SEAL_PLUS</t>
  </si>
  <si>
    <r>
      <t>ADI_CARB</t>
    </r>
    <r>
      <rPr>
        <vertAlign val="superscript"/>
        <sz val="10"/>
        <color rgb="FF000080"/>
        <rFont val="Arial"/>
        <family val="2"/>
      </rPr>
      <t>®-</t>
    </r>
    <r>
      <rPr>
        <sz val="10"/>
        <color indexed="32"/>
        <rFont val="Arial"/>
        <family val="2"/>
      </rPr>
      <t>600</t>
    </r>
  </si>
  <si>
    <t>Calcium_Carbonate-Fine</t>
  </si>
  <si>
    <t>Calcium_Carbonate-Medium</t>
  </si>
  <si>
    <t>Hole_Volume</t>
  </si>
  <si>
    <t>Active_Pits</t>
  </si>
  <si>
    <t>Reserve</t>
  </si>
  <si>
    <t>Kill_Mud</t>
  </si>
  <si>
    <t>Mud_Received</t>
  </si>
  <si>
    <t>LCM</t>
  </si>
  <si>
    <t>Shakers_Loss</t>
  </si>
  <si>
    <t>Downhole_Losses</t>
  </si>
  <si>
    <t>Fluid_Dumped</t>
  </si>
  <si>
    <t>Dilution</t>
  </si>
  <si>
    <t>Fresh_mud_addition</t>
  </si>
  <si>
    <t>Daily_treatment_cost</t>
  </si>
  <si>
    <t>Cumm_Mud_Cost</t>
  </si>
  <si>
    <t>Cumm_Dilution</t>
  </si>
  <si>
    <t>Cumm_Shaker_Losses</t>
  </si>
  <si>
    <t>Cumm_Downhole_Losses</t>
  </si>
  <si>
    <t>Cumm_Fluid_Dumped</t>
  </si>
  <si>
    <t>Cumm_Fresh_mud_addition</t>
  </si>
  <si>
    <t>Hole_size</t>
  </si>
  <si>
    <t>Casing_size</t>
  </si>
  <si>
    <t>Casing_Size</t>
  </si>
  <si>
    <t>Last_Casing_Shoe_depth</t>
  </si>
  <si>
    <t>Annular_Volume</t>
  </si>
  <si>
    <t>Mud_Density_ppg</t>
  </si>
  <si>
    <t>Spacer_Density_ppg</t>
  </si>
  <si>
    <t>Lead_Density_ppg</t>
  </si>
  <si>
    <t>Tail_Density_ppg</t>
  </si>
  <si>
    <t>Spacer_Volume</t>
  </si>
  <si>
    <t>Lead_Volume</t>
  </si>
  <si>
    <t>Tail_Volume</t>
  </si>
  <si>
    <t>Displacement</t>
  </si>
  <si>
    <t>Under-displacment</t>
  </si>
  <si>
    <t>Contamination_Dumped</t>
  </si>
  <si>
    <t>Spacer_Dumped</t>
  </si>
  <si>
    <t>Neat_Cement_Dumped</t>
  </si>
  <si>
    <t>Returns_Full/Partial</t>
  </si>
  <si>
    <t>Sample_Start_depth</t>
  </si>
  <si>
    <t>Sample_End_depth</t>
  </si>
  <si>
    <t>Conglomerate/Breccia%</t>
  </si>
  <si>
    <t>Sandstone%</t>
  </si>
  <si>
    <t>Claystone%</t>
  </si>
  <si>
    <t>Siltstone%</t>
  </si>
  <si>
    <t>Shale%</t>
  </si>
  <si>
    <t>Marl%</t>
  </si>
  <si>
    <t>Limestone%</t>
  </si>
  <si>
    <t>Dolomite%</t>
  </si>
  <si>
    <t>Gypsum/Anhydrite%</t>
  </si>
  <si>
    <t>Lesson_type_Downhole/Surface</t>
  </si>
  <si>
    <t>Lost_Time</t>
  </si>
  <si>
    <t xml:space="preserve">Obsvd leakage in Kelly hose seal. POOH 1 stand &amp; circulate via Circ head. Meanwhile replaced Kelly hose seal and P/T the same at 4000 psi - Ok. Obsvd Mud pump #1 pop off valve piston wash and Mud pump # 3 High pressure filter seal wash. Worked on mud pumps, Meanwhile Circ with pump # 2. </t>
  </si>
  <si>
    <t>NPT_Class_Services/Ops_NPT</t>
  </si>
  <si>
    <t>Last_BOP_PT</t>
  </si>
  <si>
    <t>Spud Mud</t>
  </si>
  <si>
    <t>HPWBM</t>
  </si>
  <si>
    <t>LD KCL Polymer</t>
  </si>
  <si>
    <t xml:space="preserve">Displaced hole from 1.53 SG HPWB with 1.05 SG fresh KCL Polymer mud @ 3185m inside casing shoe. 
Stored HPWBM in reserve tanks. </t>
  </si>
  <si>
    <t xml:space="preserve">Added MIX II Fine in active system to maintain it's concentration. SINE PF 46 used in active system &amp; reserve HPWBM to minimize bio degradation. </t>
  </si>
  <si>
    <t>Operational</t>
  </si>
  <si>
    <t>Cummulative_Services</t>
  </si>
  <si>
    <t>Cummulative_Operational</t>
  </si>
  <si>
    <t>Cummulative_PT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</si>
</sst>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h:mm;@"/>
    <numFmt numFmtId="165" formatCode="#,##0.000"/>
    <numFmt numFmtId="166" formatCode="0.0"/>
    <numFmt numFmtId="167" formatCode="0.000"/>
    <numFmt numFmtId="168" formatCode="m/d/yyyy;@"/>
    <numFmt numFmtId="169" formatCode="[$-F800]dddd\,\ mmmm\ dd\,\ yyyy"/>
  </numFmts>
  <fonts count="36" x14ac:knownFonts="1">
    <font>
      <sz val="11"/>
      <color theme="1"/>
      <name val="Calibri"/>
      <family val="2"/>
      <scheme val="minor"/>
    </font>
    <font>
      <sz val="10"/>
      <name val="Arial"/>
      <family val="2"/>
    </font>
    <font>
      <sz val="10"/>
      <name val="Times New Roman"/>
      <family val="1"/>
    </font>
    <font>
      <sz val="9"/>
      <name val="Arial"/>
      <family val="2"/>
    </font>
    <font>
      <b/>
      <sz val="16"/>
      <name val="Times New Roman"/>
      <family val="1"/>
    </font>
    <font>
      <sz val="10"/>
      <color theme="1"/>
      <name val="Times New Roman"/>
      <family val="1"/>
    </font>
    <font>
      <b/>
      <sz val="10"/>
      <name val="Times New Roman"/>
      <family val="1"/>
    </font>
    <font>
      <b/>
      <sz val="12"/>
      <name val="Times New Roman"/>
      <family val="1"/>
    </font>
    <font>
      <b/>
      <sz val="10"/>
      <color indexed="12"/>
      <name val="Times New Roman"/>
      <family val="1"/>
    </font>
    <font>
      <sz val="9"/>
      <name val="Times New Roman"/>
      <family val="1"/>
    </font>
    <font>
      <sz val="10"/>
      <color rgb="FFFF0000"/>
      <name val="Times New Roman"/>
      <family val="1"/>
    </font>
    <font>
      <sz val="8"/>
      <name val="Times New Roman"/>
      <family val="1"/>
    </font>
    <font>
      <sz val="10"/>
      <name val="MS Sans Serif"/>
    </font>
    <font>
      <sz val="10"/>
      <color rgb="FFFF0000"/>
      <name val="Arial"/>
      <family val="2"/>
    </font>
    <font>
      <sz val="10"/>
      <name val="Arial"/>
      <family val="2"/>
    </font>
    <font>
      <b/>
      <sz val="10"/>
      <name val="Arial"/>
      <family val="2"/>
    </font>
    <font>
      <sz val="11"/>
      <color theme="1"/>
      <name val="Calibri"/>
      <family val="2"/>
      <scheme val="minor"/>
    </font>
    <font>
      <sz val="10"/>
      <color indexed="32"/>
      <name val="Arial"/>
      <family val="2"/>
    </font>
    <font>
      <vertAlign val="subscript"/>
      <sz val="10"/>
      <color rgb="FF000080"/>
      <name val="Arial"/>
      <family val="2"/>
    </font>
    <font>
      <vertAlign val="superscript"/>
      <sz val="10"/>
      <color rgb="FF000080"/>
      <name val="Arial"/>
      <family val="2"/>
    </font>
    <font>
      <sz val="10"/>
      <color theme="1"/>
      <name val="Arial"/>
      <family val="2"/>
    </font>
    <font>
      <b/>
      <sz val="10"/>
      <color rgb="FFFF0000"/>
      <name val="Arial"/>
      <family val="2"/>
    </font>
    <font>
      <sz val="10"/>
      <color indexed="8"/>
      <name val="Arial"/>
      <family val="2"/>
    </font>
    <font>
      <sz val="9"/>
      <color rgb="FFFF0000"/>
      <name val="Times New Roman"/>
      <family val="1"/>
    </font>
    <font>
      <b/>
      <sz val="10"/>
      <color indexed="10"/>
      <name val="Times New Roman"/>
      <family val="1"/>
    </font>
    <font>
      <sz val="12"/>
      <color rgb="FF0000FF"/>
      <name val="Arial Narrow"/>
      <family val="2"/>
    </font>
    <font>
      <sz val="11"/>
      <name val="Times New Roman"/>
      <family val="1"/>
    </font>
    <font>
      <b/>
      <sz val="9"/>
      <name val="Times New Roman"/>
      <family val="1"/>
    </font>
    <font>
      <b/>
      <sz val="11"/>
      <name val="Times New Roman"/>
      <family val="1"/>
    </font>
    <font>
      <b/>
      <sz val="8"/>
      <color theme="1"/>
      <name val="Times New Roman"/>
      <family val="1"/>
    </font>
    <font>
      <b/>
      <sz val="10"/>
      <color theme="1"/>
      <name val="Times New Roman"/>
      <family val="1"/>
    </font>
    <font>
      <sz val="9"/>
      <color theme="1"/>
      <name val="Arial"/>
      <family val="2"/>
    </font>
    <font>
      <sz val="9"/>
      <color theme="1"/>
      <name val="Times New Roman"/>
      <family val="1"/>
    </font>
    <font>
      <sz val="8"/>
      <color rgb="FFFF0000"/>
      <name val="Times New Roman"/>
      <family val="1"/>
    </font>
    <font>
      <sz val="11"/>
      <name val="Calibri"/>
      <family val="2"/>
      <scheme val="minor"/>
    </font>
    <font>
      <sz val="8"/>
      <name val="Calibri"/>
      <family val="2"/>
      <scheme val="minor"/>
    </font>
  </fonts>
  <fills count="11">
    <fill>
      <patternFill patternType="none"/>
    </fill>
    <fill>
      <patternFill patternType="gray125"/>
    </fill>
    <fill>
      <patternFill patternType="solid">
        <fgColor theme="0"/>
        <bgColor indexed="64"/>
      </patternFill>
    </fill>
    <fill>
      <patternFill patternType="solid">
        <fgColor indexed="22"/>
        <bgColor indexed="64"/>
      </patternFill>
    </fill>
    <fill>
      <patternFill patternType="solid">
        <fgColor rgb="FFCCFFCC"/>
        <bgColor indexed="64"/>
      </patternFill>
    </fill>
    <fill>
      <patternFill patternType="solid">
        <fgColor indexed="42"/>
        <bgColor indexed="64"/>
      </patternFill>
    </fill>
    <fill>
      <patternFill patternType="solid">
        <fgColor indexed="41"/>
        <bgColor indexed="64"/>
      </patternFill>
    </fill>
    <fill>
      <patternFill patternType="solid">
        <fgColor rgb="FFCCFF66"/>
        <bgColor indexed="64"/>
      </patternFill>
    </fill>
    <fill>
      <patternFill patternType="solid">
        <fgColor theme="9" tint="0.79998168889431442"/>
        <bgColor indexed="64"/>
      </patternFill>
    </fill>
    <fill>
      <patternFill patternType="solid">
        <fgColor rgb="FF002060"/>
        <bgColor indexed="64"/>
      </patternFill>
    </fill>
    <fill>
      <patternFill patternType="solid">
        <fgColor rgb="FF92D05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s>
  <cellStyleXfs count="32">
    <xf numFmtId="0" fontId="0" fillId="0" borderId="0"/>
    <xf numFmtId="0" fontId="1" fillId="0" borderId="0"/>
    <xf numFmtId="0" fontId="12" fillId="0" borderId="0"/>
    <xf numFmtId="0" fontId="14" fillId="0" borderId="0"/>
    <xf numFmtId="43" fontId="16" fillId="0" borderId="0" applyFont="0" applyFill="0" applyBorder="0" applyAlignment="0" applyProtection="0"/>
    <xf numFmtId="0" fontId="1" fillId="0" borderId="0"/>
    <xf numFmtId="0" fontId="1" fillId="0" borderId="0"/>
    <xf numFmtId="0" fontId="16" fillId="0" borderId="0"/>
    <xf numFmtId="0" fontId="16" fillId="0" borderId="0"/>
    <xf numFmtId="0" fontId="16" fillId="0" borderId="0"/>
    <xf numFmtId="0" fontId="16" fillId="0" borderId="0"/>
    <xf numFmtId="43" fontId="1" fillId="0" borderId="0" applyFont="0" applyFill="0" applyBorder="0" applyAlignment="0" applyProtection="0"/>
    <xf numFmtId="0" fontId="16" fillId="0" borderId="0"/>
    <xf numFmtId="0" fontId="16" fillId="0" borderId="0"/>
    <xf numFmtId="0" fontId="1"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cellStyleXfs>
  <cellXfs count="494">
    <xf numFmtId="0" fontId="0" fillId="0" borderId="0" xfId="0"/>
    <xf numFmtId="0" fontId="3" fillId="0" borderId="0" xfId="0" applyFont="1" applyAlignment="1">
      <alignment horizontal="center" vertical="center" wrapText="1"/>
    </xf>
    <xf numFmtId="19" fontId="0" fillId="0" borderId="0" xfId="0" applyNumberFormat="1"/>
    <xf numFmtId="0" fontId="2" fillId="5" borderId="10" xfId="1" applyFont="1" applyFill="1" applyBorder="1" applyProtection="1">
      <protection locked="0"/>
    </xf>
    <xf numFmtId="0" fontId="2" fillId="5" borderId="1" xfId="1" applyFont="1" applyFill="1" applyBorder="1" applyProtection="1">
      <protection locked="0"/>
    </xf>
    <xf numFmtId="0" fontId="2" fillId="6" borderId="15" xfId="1" applyFont="1" applyFill="1" applyBorder="1" applyProtection="1">
      <protection locked="0"/>
    </xf>
    <xf numFmtId="0" fontId="3" fillId="0" borderId="0" xfId="3" applyFont="1" applyAlignment="1">
      <alignment horizontal="center" vertical="center" wrapText="1"/>
    </xf>
    <xf numFmtId="0" fontId="3" fillId="0" borderId="0" xfId="3" applyFont="1" applyAlignment="1">
      <alignment horizontal="center"/>
    </xf>
    <xf numFmtId="14" fontId="14" fillId="0" borderId="0" xfId="3" applyNumberFormat="1" applyAlignment="1">
      <alignment horizontal="center"/>
    </xf>
    <xf numFmtId="0" fontId="14" fillId="0" borderId="0" xfId="3" applyAlignment="1">
      <alignment horizontal="center"/>
    </xf>
    <xf numFmtId="14" fontId="14" fillId="0" borderId="0" xfId="3" applyNumberFormat="1" applyAlignment="1"/>
    <xf numFmtId="0" fontId="14" fillId="0" borderId="0" xfId="3" applyAlignment="1"/>
    <xf numFmtId="0" fontId="14" fillId="0" borderId="0" xfId="3" applyAlignment="1">
      <alignment wrapText="1"/>
    </xf>
    <xf numFmtId="0" fontId="14" fillId="0" borderId="0" xfId="3"/>
    <xf numFmtId="14" fontId="14" fillId="0" borderId="0" xfId="3" applyNumberFormat="1"/>
    <xf numFmtId="0" fontId="4" fillId="0" borderId="2" xfId="1" applyFont="1" applyBorder="1" applyAlignment="1" applyProtection="1">
      <alignment horizontal="center" vertical="center"/>
      <protection locked="0"/>
    </xf>
    <xf numFmtId="0" fontId="4" fillId="0" borderId="3" xfId="1" applyFont="1" applyBorder="1" applyAlignment="1" applyProtection="1">
      <alignment horizontal="center" vertical="center"/>
      <protection locked="0"/>
    </xf>
    <xf numFmtId="0" fontId="4" fillId="0" borderId="4" xfId="1" applyFont="1" applyBorder="1" applyAlignment="1" applyProtection="1">
      <alignment horizontal="center" vertical="center"/>
      <protection locked="0"/>
    </xf>
    <xf numFmtId="0" fontId="4" fillId="0" borderId="8" xfId="1" applyFont="1" applyBorder="1" applyAlignment="1" applyProtection="1">
      <alignment horizontal="center" vertical="center"/>
      <protection locked="0"/>
    </xf>
    <xf numFmtId="0" fontId="4" fillId="0" borderId="9" xfId="1" applyFont="1" applyBorder="1" applyAlignment="1" applyProtection="1">
      <alignment horizontal="center" vertical="center"/>
      <protection locked="0"/>
    </xf>
    <xf numFmtId="0" fontId="7" fillId="0" borderId="12" xfId="1" applyFont="1" applyBorder="1" applyAlignment="1" applyProtection="1">
      <alignment horizontal="center" vertical="center"/>
      <protection locked="0"/>
    </xf>
    <xf numFmtId="0" fontId="2" fillId="2" borderId="6" xfId="1" applyFont="1" applyFill="1" applyBorder="1" applyAlignment="1" applyProtection="1">
      <alignment horizontal="center"/>
      <protection locked="0"/>
    </xf>
    <xf numFmtId="0" fontId="2" fillId="2" borderId="7" xfId="1" applyFont="1" applyFill="1" applyBorder="1" applyAlignment="1" applyProtection="1">
      <alignment horizontal="center"/>
      <protection locked="0"/>
    </xf>
    <xf numFmtId="0" fontId="2" fillId="2" borderId="5" xfId="1" applyFont="1" applyFill="1" applyBorder="1" applyAlignment="1" applyProtection="1">
      <alignment horizontal="center"/>
      <protection locked="0"/>
    </xf>
    <xf numFmtId="166" fontId="2" fillId="2" borderId="6" xfId="1" applyNumberFormat="1" applyFont="1" applyFill="1" applyBorder="1" applyAlignment="1" applyProtection="1">
      <alignment horizontal="center"/>
      <protection locked="0"/>
    </xf>
    <xf numFmtId="166" fontId="2" fillId="2" borderId="7" xfId="1" applyNumberFormat="1" applyFont="1" applyFill="1" applyBorder="1" applyAlignment="1" applyProtection="1">
      <alignment horizontal="center"/>
      <protection locked="0"/>
    </xf>
    <xf numFmtId="166" fontId="2" fillId="2" borderId="5" xfId="1" applyNumberFormat="1" applyFont="1" applyFill="1" applyBorder="1" applyAlignment="1" applyProtection="1">
      <alignment horizontal="center"/>
      <protection locked="0"/>
    </xf>
    <xf numFmtId="49" fontId="2" fillId="2" borderId="6" xfId="1" applyNumberFormat="1" applyFont="1" applyFill="1" applyBorder="1" applyAlignment="1" applyProtection="1">
      <alignment horizontal="center"/>
      <protection locked="0"/>
    </xf>
    <xf numFmtId="49" fontId="2" fillId="2" borderId="7" xfId="1" applyNumberFormat="1" applyFont="1" applyFill="1" applyBorder="1" applyAlignment="1" applyProtection="1">
      <alignment horizontal="center"/>
      <protection locked="0"/>
    </xf>
    <xf numFmtId="49" fontId="2" fillId="2" borderId="5" xfId="1" applyNumberFormat="1" applyFont="1" applyFill="1" applyBorder="1" applyAlignment="1" applyProtection="1">
      <alignment horizontal="center"/>
      <protection locked="0"/>
    </xf>
    <xf numFmtId="49" fontId="2" fillId="0" borderId="6" xfId="1" applyNumberFormat="1" applyFont="1" applyBorder="1" applyAlignment="1" applyProtection="1">
      <alignment horizontal="center"/>
      <protection locked="0"/>
    </xf>
    <xf numFmtId="49" fontId="2" fillId="0" borderId="7" xfId="1" applyNumberFormat="1" applyFont="1" applyBorder="1" applyAlignment="1" applyProtection="1">
      <alignment horizontal="center"/>
      <protection locked="0"/>
    </xf>
    <xf numFmtId="49" fontId="2" fillId="0" borderId="5" xfId="1" applyNumberFormat="1" applyFont="1" applyBorder="1" applyAlignment="1" applyProtection="1">
      <alignment horizontal="center"/>
      <protection locked="0"/>
    </xf>
    <xf numFmtId="1" fontId="2" fillId="2" borderId="6" xfId="1" applyNumberFormat="1" applyFont="1" applyFill="1" applyBorder="1" applyAlignment="1" applyProtection="1">
      <alignment horizontal="center"/>
      <protection locked="0"/>
    </xf>
    <xf numFmtId="1" fontId="2" fillId="2" borderId="5" xfId="1" applyNumberFormat="1" applyFont="1" applyFill="1" applyBorder="1" applyAlignment="1" applyProtection="1">
      <alignment horizontal="center"/>
      <protection locked="0"/>
    </xf>
    <xf numFmtId="49" fontId="2" fillId="5" borderId="6" xfId="1" applyNumberFormat="1" applyFont="1" applyFill="1" applyBorder="1" applyAlignment="1" applyProtection="1">
      <alignment horizontal="center"/>
      <protection locked="0"/>
    </xf>
    <xf numFmtId="49" fontId="2" fillId="5" borderId="7" xfId="1" applyNumberFormat="1" applyFont="1" applyFill="1" applyBorder="1" applyAlignment="1" applyProtection="1">
      <alignment horizontal="center"/>
      <protection locked="0"/>
    </xf>
    <xf numFmtId="49" fontId="2" fillId="5" borderId="5" xfId="1" applyNumberFormat="1" applyFont="1" applyFill="1" applyBorder="1" applyAlignment="1" applyProtection="1">
      <alignment horizontal="center"/>
      <protection locked="0"/>
    </xf>
    <xf numFmtId="1" fontId="2" fillId="2" borderId="7" xfId="1" applyNumberFormat="1" applyFont="1" applyFill="1" applyBorder="1" applyAlignment="1" applyProtection="1">
      <alignment horizontal="center"/>
      <protection locked="0"/>
    </xf>
    <xf numFmtId="2" fontId="2" fillId="2" borderId="6" xfId="1" applyNumberFormat="1" applyFont="1" applyFill="1" applyBorder="1" applyAlignment="1" applyProtection="1">
      <alignment horizontal="center"/>
      <protection locked="0"/>
    </xf>
    <xf numFmtId="2" fontId="2" fillId="2" borderId="7" xfId="1" applyNumberFormat="1" applyFont="1" applyFill="1" applyBorder="1" applyAlignment="1" applyProtection="1">
      <alignment horizontal="center"/>
      <protection locked="0"/>
    </xf>
    <xf numFmtId="2" fontId="2" fillId="2" borderId="5" xfId="1" applyNumberFormat="1" applyFont="1" applyFill="1" applyBorder="1" applyAlignment="1" applyProtection="1">
      <alignment horizontal="center"/>
      <protection locked="0"/>
    </xf>
    <xf numFmtId="2" fontId="17" fillId="0" borderId="0" xfId="5" applyNumberFormat="1" applyFont="1" applyBorder="1" applyAlignment="1" applyProtection="1">
      <alignment horizontal="center" vertical="center" wrapText="1"/>
      <protection hidden="1"/>
    </xf>
    <xf numFmtId="1" fontId="17" fillId="0" borderId="0" xfId="5" applyNumberFormat="1" applyFont="1" applyBorder="1" applyAlignment="1" applyProtection="1">
      <alignment horizontal="center" vertical="center" wrapText="1"/>
      <protection hidden="1"/>
    </xf>
    <xf numFmtId="1" fontId="17" fillId="0" borderId="0" xfId="5" applyNumberFormat="1" applyFont="1" applyFill="1" applyBorder="1" applyAlignment="1" applyProtection="1">
      <alignment horizontal="center" vertical="center" wrapText="1"/>
      <protection hidden="1"/>
    </xf>
    <xf numFmtId="2" fontId="17" fillId="0" borderId="0" xfId="5" applyNumberFormat="1" applyFont="1" applyFill="1" applyBorder="1" applyAlignment="1" applyProtection="1">
      <alignment horizontal="center" vertical="center" wrapText="1"/>
      <protection hidden="1"/>
    </xf>
    <xf numFmtId="0" fontId="17" fillId="0" borderId="0" xfId="6" applyFont="1" applyFill="1" applyBorder="1" applyAlignment="1" applyProtection="1">
      <alignment horizontal="center" vertical="center" wrapText="1"/>
      <protection hidden="1"/>
    </xf>
    <xf numFmtId="43" fontId="17" fillId="0" borderId="0" xfId="4" applyFont="1" applyFill="1" applyBorder="1" applyAlignment="1" applyProtection="1">
      <alignment horizontal="center" vertical="center" wrapText="1"/>
      <protection hidden="1"/>
    </xf>
    <xf numFmtId="49" fontId="17" fillId="0" borderId="0" xfId="6" applyNumberFormat="1" applyFont="1" applyFill="1" applyBorder="1" applyAlignment="1" applyProtection="1">
      <alignment horizontal="center" vertical="center" wrapText="1"/>
      <protection hidden="1"/>
    </xf>
    <xf numFmtId="0" fontId="0" fillId="0" borderId="0" xfId="0" applyAlignment="1">
      <alignment horizontal="center" wrapText="1"/>
    </xf>
    <xf numFmtId="168" fontId="0" fillId="0" borderId="0" xfId="0" applyNumberFormat="1" applyAlignment="1">
      <alignment horizontal="center"/>
    </xf>
    <xf numFmtId="2" fontId="0" fillId="0" borderId="0" xfId="0" applyNumberFormat="1" applyAlignment="1">
      <alignment horizontal="center"/>
    </xf>
    <xf numFmtId="1" fontId="0" fillId="0" borderId="0" xfId="0" applyNumberFormat="1" applyAlignment="1">
      <alignment horizontal="center"/>
    </xf>
    <xf numFmtId="166" fontId="0" fillId="0" borderId="0" xfId="0" applyNumberFormat="1" applyAlignment="1">
      <alignment horizontal="center"/>
    </xf>
    <xf numFmtId="0" fontId="0" fillId="0" borderId="0" xfId="0" applyAlignment="1">
      <alignment horizontal="center"/>
    </xf>
    <xf numFmtId="43" fontId="0" fillId="0" borderId="0" xfId="4" applyFont="1" applyAlignment="1">
      <alignment horizontal="center"/>
    </xf>
    <xf numFmtId="43" fontId="0" fillId="0" borderId="0" xfId="4" applyFont="1"/>
    <xf numFmtId="0" fontId="0" fillId="0" borderId="0" xfId="0" applyAlignment="1">
      <alignment wrapText="1"/>
    </xf>
    <xf numFmtId="0" fontId="0" fillId="9" borderId="0" xfId="0" applyFill="1"/>
    <xf numFmtId="0" fontId="1" fillId="0" borderId="0" xfId="3" applyFont="1" applyAlignment="1"/>
    <xf numFmtId="14" fontId="0" fillId="0" borderId="0" xfId="0" applyNumberFormat="1"/>
    <xf numFmtId="2" fontId="0" fillId="0" borderId="0" xfId="0" applyNumberFormat="1"/>
    <xf numFmtId="2" fontId="3" fillId="0" borderId="0" xfId="0" applyNumberFormat="1" applyFont="1" applyAlignment="1">
      <alignment horizontal="center" vertical="center" wrapText="1"/>
    </xf>
    <xf numFmtId="2" fontId="14" fillId="0" borderId="0" xfId="3" applyNumberFormat="1"/>
    <xf numFmtId="167" fontId="0" fillId="0" borderId="0" xfId="0" applyNumberFormat="1"/>
    <xf numFmtId="1" fontId="0" fillId="0" borderId="0" xfId="0" applyNumberFormat="1"/>
    <xf numFmtId="0" fontId="0" fillId="0" borderId="0" xfId="0" applyNumberFormat="1"/>
    <xf numFmtId="0" fontId="6" fillId="0" borderId="0" xfId="1" applyFont="1"/>
    <xf numFmtId="0" fontId="2" fillId="0" borderId="2" xfId="1" applyFont="1" applyBorder="1"/>
    <xf numFmtId="0" fontId="2" fillId="0" borderId="4" xfId="1" applyFont="1" applyBorder="1"/>
    <xf numFmtId="0" fontId="2" fillId="0" borderId="0" xfId="1" applyFont="1" applyAlignment="1">
      <alignment horizontal="right"/>
    </xf>
    <xf numFmtId="0" fontId="2" fillId="0" borderId="8" xfId="1" applyFont="1" applyBorder="1"/>
    <xf numFmtId="0" fontId="2" fillId="0" borderId="9" xfId="1" applyFont="1" applyBorder="1"/>
    <xf numFmtId="0" fontId="2" fillId="0" borderId="10" xfId="1" applyFont="1" applyBorder="1"/>
    <xf numFmtId="0" fontId="8" fillId="0" borderId="0" xfId="1" applyFont="1"/>
    <xf numFmtId="0" fontId="2" fillId="0" borderId="11" xfId="1" applyFont="1" applyBorder="1"/>
    <xf numFmtId="0" fontId="2" fillId="0" borderId="13" xfId="1" applyFont="1" applyBorder="1"/>
    <xf numFmtId="0" fontId="2" fillId="0" borderId="14" xfId="1" applyFont="1" applyBorder="1"/>
    <xf numFmtId="0" fontId="2" fillId="0" borderId="3" xfId="1" applyFont="1" applyBorder="1"/>
    <xf numFmtId="0" fontId="2" fillId="3" borderId="1" xfId="1" applyFont="1" applyFill="1" applyBorder="1" applyAlignment="1">
      <alignment horizontal="center"/>
    </xf>
    <xf numFmtId="0" fontId="2" fillId="0" borderId="15" xfId="1" applyFont="1" applyBorder="1"/>
    <xf numFmtId="0" fontId="2" fillId="0" borderId="0" xfId="1" applyFont="1" applyAlignment="1">
      <alignment horizontal="left"/>
    </xf>
    <xf numFmtId="0" fontId="2" fillId="0" borderId="9" xfId="1" applyFont="1" applyBorder="1" applyAlignment="1">
      <alignment horizontal="left"/>
    </xf>
    <xf numFmtId="0" fontId="9" fillId="0" borderId="10" xfId="1" applyFont="1" applyBorder="1"/>
    <xf numFmtId="0" fontId="9" fillId="0" borderId="14" xfId="1" applyFont="1" applyBorder="1"/>
    <xf numFmtId="0" fontId="2" fillId="0" borderId="12" xfId="1" applyFont="1" applyBorder="1"/>
    <xf numFmtId="0" fontId="2" fillId="3" borderId="10" xfId="1" applyFont="1" applyFill="1" applyBorder="1" applyAlignment="1">
      <alignment horizontal="center"/>
    </xf>
    <xf numFmtId="0" fontId="6" fillId="0" borderId="6" xfId="1" applyFont="1" applyBorder="1"/>
    <xf numFmtId="0" fontId="6" fillId="0" borderId="7" xfId="1" applyFont="1" applyBorder="1"/>
    <xf numFmtId="0" fontId="6" fillId="0" borderId="5" xfId="1" applyFont="1" applyBorder="1"/>
    <xf numFmtId="0" fontId="6" fillId="0" borderId="2" xfId="1" applyFont="1" applyBorder="1"/>
    <xf numFmtId="12" fontId="2" fillId="0" borderId="0" xfId="1" applyNumberFormat="1" applyFont="1" applyAlignment="1">
      <alignment horizontal="left"/>
    </xf>
    <xf numFmtId="0" fontId="2" fillId="3" borderId="5" xfId="1" applyFont="1" applyFill="1" applyBorder="1" applyAlignment="1">
      <alignment horizontal="center"/>
    </xf>
    <xf numFmtId="166" fontId="2" fillId="0" borderId="0" xfId="1" applyNumberFormat="1" applyFont="1" applyAlignment="1">
      <alignment horizontal="left"/>
    </xf>
    <xf numFmtId="0" fontId="2" fillId="0" borderId="7" xfId="1" applyFont="1" applyBorder="1" applyAlignment="1">
      <alignment horizontal="center"/>
    </xf>
    <xf numFmtId="0" fontId="7" fillId="0" borderId="0" xfId="1" applyFont="1" applyAlignment="1">
      <alignment horizontal="center" vertical="center"/>
    </xf>
    <xf numFmtId="0" fontId="7" fillId="0" borderId="11" xfId="1" applyFont="1" applyBorder="1" applyAlignment="1">
      <alignment horizontal="center" vertical="center"/>
    </xf>
    <xf numFmtId="0" fontId="7" fillId="0" borderId="12" xfId="1" applyFont="1" applyBorder="1" applyAlignment="1">
      <alignment horizontal="center" vertical="center"/>
    </xf>
    <xf numFmtId="0" fontId="2" fillId="6" borderId="0" xfId="1" applyFont="1" applyFill="1"/>
    <xf numFmtId="0" fontId="2" fillId="5" borderId="0" xfId="1" applyFont="1" applyFill="1"/>
    <xf numFmtId="166" fontId="9" fillId="8" borderId="0" xfId="1" applyNumberFormat="1" applyFont="1" applyFill="1" applyAlignment="1">
      <alignment horizontal="center"/>
    </xf>
    <xf numFmtId="166" fontId="9" fillId="8" borderId="0" xfId="1" applyNumberFormat="1" applyFont="1" applyFill="1" applyAlignment="1">
      <alignment horizontal="left"/>
    </xf>
    <xf numFmtId="0" fontId="2" fillId="0" borderId="1" xfId="1" applyFont="1" applyBorder="1"/>
    <xf numFmtId="0" fontId="2" fillId="0" borderId="5" xfId="1" applyFont="1" applyBorder="1"/>
    <xf numFmtId="0" fontId="4" fillId="0" borderId="0" xfId="1" applyFont="1" applyAlignment="1" applyProtection="1">
      <alignment horizontal="center" vertical="center"/>
      <protection locked="0"/>
    </xf>
    <xf numFmtId="0" fontId="7" fillId="0" borderId="0" xfId="1" applyFont="1" applyAlignment="1" applyProtection="1">
      <alignment horizontal="center" vertical="center"/>
      <protection locked="0"/>
    </xf>
    <xf numFmtId="0" fontId="2" fillId="0" borderId="6" xfId="1" applyFont="1" applyBorder="1"/>
    <xf numFmtId="0" fontId="2" fillId="0" borderId="7" xfId="1" applyFont="1" applyBorder="1"/>
    <xf numFmtId="0" fontId="2" fillId="0" borderId="5" xfId="1" applyFont="1" applyBorder="1" applyAlignment="1">
      <alignment horizontal="center"/>
    </xf>
    <xf numFmtId="0" fontId="2" fillId="0" borderId="6" xfId="1" applyFont="1" applyBorder="1" applyAlignment="1">
      <alignment horizontal="center"/>
    </xf>
    <xf numFmtId="0" fontId="2" fillId="3" borderId="6" xfId="1" applyFont="1" applyFill="1" applyBorder="1" applyAlignment="1">
      <alignment horizontal="center"/>
    </xf>
    <xf numFmtId="0" fontId="2" fillId="3" borderId="7" xfId="1" applyFont="1" applyFill="1" applyBorder="1" applyAlignment="1">
      <alignment horizontal="center"/>
    </xf>
    <xf numFmtId="0" fontId="2" fillId="3" borderId="6" xfId="1" applyFont="1" applyFill="1" applyBorder="1" applyAlignment="1">
      <alignment horizontal="left"/>
    </xf>
    <xf numFmtId="0" fontId="2" fillId="3" borderId="5" xfId="1" applyFont="1" applyFill="1" applyBorder="1" applyAlignment="1">
      <alignment horizontal="left"/>
    </xf>
    <xf numFmtId="3" fontId="2" fillId="0" borderId="6" xfId="1" applyNumberFormat="1" applyFont="1" applyBorder="1" applyAlignment="1" applyProtection="1">
      <alignment horizontal="center"/>
      <protection locked="0"/>
    </xf>
    <xf numFmtId="3" fontId="2" fillId="0" borderId="7" xfId="1" applyNumberFormat="1" applyFont="1" applyBorder="1" applyAlignment="1" applyProtection="1">
      <alignment horizontal="center"/>
      <protection locked="0"/>
    </xf>
    <xf numFmtId="3" fontId="2" fillId="0" borderId="5" xfId="1" applyNumberFormat="1" applyFont="1" applyBorder="1" applyAlignment="1" applyProtection="1">
      <alignment horizontal="center"/>
      <protection locked="0"/>
    </xf>
    <xf numFmtId="0" fontId="2" fillId="0" borderId="6" xfId="1" applyFont="1" applyBorder="1" applyAlignment="1" applyProtection="1">
      <alignment horizontal="center"/>
      <protection locked="0"/>
    </xf>
    <xf numFmtId="0" fontId="2" fillId="0" borderId="7" xfId="1" applyFont="1" applyBorder="1" applyAlignment="1" applyProtection="1">
      <alignment horizontal="center"/>
      <protection locked="0"/>
    </xf>
    <xf numFmtId="0" fontId="2" fillId="0" borderId="5" xfId="1" applyFont="1" applyBorder="1" applyAlignment="1" applyProtection="1">
      <alignment horizontal="center"/>
      <protection locked="0"/>
    </xf>
    <xf numFmtId="0" fontId="6" fillId="0" borderId="6" xfId="1" applyFont="1" applyBorder="1" applyAlignment="1">
      <alignment horizontal="left"/>
    </xf>
    <xf numFmtId="0" fontId="6" fillId="0" borderId="7" xfId="1" applyFont="1" applyBorder="1" applyAlignment="1">
      <alignment horizontal="left"/>
    </xf>
    <xf numFmtId="0" fontId="6" fillId="0" borderId="5" xfId="1" applyFont="1" applyBorder="1" applyAlignment="1">
      <alignment horizontal="left"/>
    </xf>
    <xf numFmtId="0" fontId="1" fillId="3" borderId="6" xfId="1" applyFill="1" applyBorder="1" applyAlignment="1">
      <alignment horizontal="center" vertical="center"/>
    </xf>
    <xf numFmtId="0" fontId="1" fillId="3" borderId="7" xfId="1" applyFill="1" applyBorder="1" applyAlignment="1">
      <alignment horizontal="center" vertical="center"/>
    </xf>
    <xf numFmtId="0" fontId="1" fillId="3" borderId="5" xfId="1" applyFill="1" applyBorder="1" applyAlignment="1">
      <alignment horizontal="center" vertical="center"/>
    </xf>
    <xf numFmtId="0" fontId="8" fillId="0" borderId="7" xfId="1" applyFont="1" applyBorder="1"/>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3" borderId="4" xfId="1" applyFont="1" applyFill="1" applyBorder="1" applyAlignment="1">
      <alignment horizontal="center"/>
    </xf>
    <xf numFmtId="12" fontId="2" fillId="0" borderId="6" xfId="1" applyNumberFormat="1" applyFont="1" applyBorder="1" applyAlignment="1" applyProtection="1">
      <alignment horizontal="center"/>
      <protection locked="0"/>
    </xf>
    <xf numFmtId="2" fontId="2" fillId="0" borderId="6" xfId="1" applyNumberFormat="1" applyFont="1" applyBorder="1" applyAlignment="1" applyProtection="1">
      <alignment horizontal="center"/>
      <protection locked="0"/>
    </xf>
    <xf numFmtId="2" fontId="2" fillId="0" borderId="7" xfId="1" applyNumberFormat="1" applyFont="1" applyBorder="1" applyAlignment="1" applyProtection="1">
      <alignment horizontal="center"/>
      <protection locked="0"/>
    </xf>
    <xf numFmtId="2" fontId="2" fillId="0" borderId="5" xfId="1" applyNumberFormat="1" applyFont="1" applyBorder="1" applyAlignment="1" applyProtection="1">
      <alignment horizontal="center"/>
      <protection locked="0"/>
    </xf>
    <xf numFmtId="166" fontId="2" fillId="0" borderId="6" xfId="1" applyNumberFormat="1" applyFont="1" applyBorder="1" applyAlignment="1" applyProtection="1">
      <alignment horizontal="center"/>
      <protection locked="0"/>
    </xf>
    <xf numFmtId="166" fontId="2" fillId="0" borderId="7" xfId="1" applyNumberFormat="1" applyFont="1" applyBorder="1" applyAlignment="1" applyProtection="1">
      <alignment horizontal="center"/>
      <protection locked="0"/>
    </xf>
    <xf numFmtId="166" fontId="2" fillId="0" borderId="5" xfId="1" applyNumberFormat="1" applyFont="1" applyBorder="1" applyAlignment="1" applyProtection="1">
      <alignment horizontal="center"/>
      <protection locked="0"/>
    </xf>
    <xf numFmtId="166" fontId="2" fillId="0" borderId="6" xfId="1" applyNumberFormat="1" applyFont="1" applyBorder="1" applyAlignment="1" applyProtection="1">
      <alignment horizontal="center" vertical="center"/>
      <protection locked="0"/>
    </xf>
    <xf numFmtId="166" fontId="2" fillId="0" borderId="7" xfId="1" applyNumberFormat="1" applyFont="1" applyBorder="1" applyAlignment="1" applyProtection="1">
      <alignment horizontal="center" vertical="center"/>
      <protection locked="0"/>
    </xf>
    <xf numFmtId="166" fontId="2" fillId="0" borderId="5" xfId="1" applyNumberFormat="1" applyFont="1" applyBorder="1" applyAlignment="1" applyProtection="1">
      <alignment horizontal="center" vertical="center"/>
      <protection locked="0"/>
    </xf>
    <xf numFmtId="0" fontId="2" fillId="0" borderId="1" xfId="1" applyFont="1" applyBorder="1" applyAlignment="1">
      <alignment horizontal="center"/>
    </xf>
    <xf numFmtId="1" fontId="2" fillId="0" borderId="6" xfId="1" applyNumberFormat="1" applyFont="1" applyBorder="1" applyAlignment="1" applyProtection="1">
      <alignment horizontal="center"/>
      <protection locked="0"/>
    </xf>
    <xf numFmtId="1" fontId="2" fillId="0" borderId="7" xfId="1" applyNumberFormat="1" applyFont="1" applyBorder="1" applyAlignment="1" applyProtection="1">
      <alignment horizontal="center"/>
      <protection locked="0"/>
    </xf>
    <xf numFmtId="1" fontId="2" fillId="0" borderId="5" xfId="1" applyNumberFormat="1" applyFont="1" applyBorder="1" applyAlignment="1" applyProtection="1">
      <alignment horizontal="center"/>
      <protection locked="0"/>
    </xf>
    <xf numFmtId="0" fontId="2" fillId="3" borderId="6" xfId="1" applyFont="1" applyFill="1" applyBorder="1" applyAlignment="1">
      <alignment vertical="center"/>
    </xf>
    <xf numFmtId="0" fontId="2" fillId="3" borderId="7" xfId="1" applyFont="1" applyFill="1" applyBorder="1" applyAlignment="1">
      <alignment vertical="center"/>
    </xf>
    <xf numFmtId="0" fontId="2" fillId="3" borderId="5" xfId="1" applyFont="1" applyFill="1" applyBorder="1" applyAlignment="1">
      <alignment vertical="center"/>
    </xf>
    <xf numFmtId="49" fontId="2" fillId="3" borderId="6" xfId="1" applyNumberFormat="1" applyFont="1" applyFill="1" applyBorder="1" applyAlignment="1">
      <alignment horizontal="center"/>
    </xf>
    <xf numFmtId="49" fontId="2" fillId="3" borderId="7" xfId="1" applyNumberFormat="1" applyFont="1" applyFill="1" applyBorder="1" applyAlignment="1">
      <alignment horizontal="center"/>
    </xf>
    <xf numFmtId="49" fontId="2" fillId="3" borderId="5" xfId="1" applyNumberFormat="1" applyFont="1" applyFill="1" applyBorder="1" applyAlignment="1">
      <alignment horizontal="center"/>
    </xf>
    <xf numFmtId="14" fontId="3" fillId="0" borderId="0" xfId="0" applyNumberFormat="1" applyFont="1" applyAlignment="1">
      <alignment horizontal="center" vertical="center" wrapText="1"/>
    </xf>
    <xf numFmtId="166" fontId="1" fillId="8" borderId="1" xfId="1" applyNumberFormat="1" applyFill="1" applyBorder="1" applyAlignment="1">
      <alignment horizontal="center"/>
    </xf>
    <xf numFmtId="0" fontId="1" fillId="6" borderId="6" xfId="1" applyFill="1" applyBorder="1" applyAlignment="1" applyProtection="1">
      <alignment horizontal="center"/>
      <protection locked="0"/>
    </xf>
    <xf numFmtId="0" fontId="1" fillId="6" borderId="5" xfId="1" applyFill="1" applyBorder="1" applyAlignment="1" applyProtection="1">
      <alignment horizontal="center"/>
      <protection locked="0"/>
    </xf>
    <xf numFmtId="0" fontId="20" fillId="5" borderId="6" xfId="1" applyFont="1" applyFill="1" applyBorder="1" applyAlignment="1" applyProtection="1">
      <alignment horizontal="center"/>
      <protection locked="0"/>
    </xf>
    <xf numFmtId="0" fontId="20" fillId="5" borderId="5" xfId="1" applyFont="1" applyFill="1" applyBorder="1" applyAlignment="1" applyProtection="1">
      <alignment horizontal="center"/>
      <protection locked="0"/>
    </xf>
    <xf numFmtId="0" fontId="1" fillId="5" borderId="6" xfId="1" applyFill="1" applyBorder="1" applyAlignment="1" applyProtection="1">
      <alignment horizontal="center"/>
      <protection locked="0"/>
    </xf>
    <xf numFmtId="0" fontId="1" fillId="5" borderId="5" xfId="1" applyFill="1" applyBorder="1" applyAlignment="1" applyProtection="1">
      <alignment horizontal="center"/>
      <protection locked="0"/>
    </xf>
    <xf numFmtId="19" fontId="14" fillId="0" borderId="0" xfId="3" applyNumberFormat="1" applyAlignment="1"/>
    <xf numFmtId="0" fontId="2" fillId="0" borderId="0" xfId="1" applyFont="1"/>
    <xf numFmtId="0" fontId="2" fillId="0" borderId="0" xfId="1" applyFont="1" applyAlignment="1">
      <alignment horizontal="center"/>
    </xf>
    <xf numFmtId="49" fontId="2" fillId="0" borderId="0" xfId="1" applyNumberFormat="1" applyFont="1" applyAlignment="1" applyProtection="1">
      <alignment horizontal="center"/>
      <protection locked="0"/>
    </xf>
    <xf numFmtId="166" fontId="2" fillId="0" borderId="0" xfId="1" applyNumberFormat="1" applyFont="1" applyAlignment="1">
      <alignment horizontal="center"/>
    </xf>
    <xf numFmtId="12" fontId="2" fillId="0" borderId="0" xfId="1" applyNumberFormat="1" applyFont="1" applyAlignment="1">
      <alignment horizontal="center"/>
    </xf>
    <xf numFmtId="166" fontId="3" fillId="8" borderId="1" xfId="1" applyNumberFormat="1" applyFont="1" applyFill="1" applyBorder="1" applyAlignment="1">
      <alignment horizontal="center"/>
    </xf>
    <xf numFmtId="0" fontId="6" fillId="0" borderId="3" xfId="1" applyFont="1" applyBorder="1" applyAlignment="1">
      <alignment horizontal="left"/>
    </xf>
    <xf numFmtId="0" fontId="6" fillId="0" borderId="4" xfId="1" applyFont="1" applyBorder="1" applyAlignment="1">
      <alignment horizontal="left"/>
    </xf>
    <xf numFmtId="1" fontId="2" fillId="0" borderId="2" xfId="1" applyNumberFormat="1" applyFont="1" applyBorder="1" applyAlignment="1" applyProtection="1">
      <alignment horizontal="center" vertical="center" wrapText="1"/>
      <protection locked="0"/>
    </xf>
    <xf numFmtId="1" fontId="2" fillId="0" borderId="4" xfId="1" applyNumberFormat="1" applyFont="1" applyBorder="1" applyAlignment="1" applyProtection="1">
      <alignment horizontal="center" vertical="center" wrapText="1"/>
      <protection locked="0"/>
    </xf>
    <xf numFmtId="1" fontId="2" fillId="0" borderId="8" xfId="1" applyNumberFormat="1" applyFont="1" applyBorder="1" applyAlignment="1" applyProtection="1">
      <alignment horizontal="center" vertical="center" wrapText="1"/>
      <protection locked="0"/>
    </xf>
    <xf numFmtId="1" fontId="2" fillId="0" borderId="9" xfId="1" applyNumberFormat="1" applyFont="1" applyBorder="1" applyAlignment="1" applyProtection="1">
      <alignment horizontal="center" vertical="center" wrapText="1"/>
      <protection locked="0"/>
    </xf>
    <xf numFmtId="1" fontId="2" fillId="0" borderId="11" xfId="1" applyNumberFormat="1" applyFont="1" applyBorder="1" applyAlignment="1" applyProtection="1">
      <alignment horizontal="center" vertical="center" wrapText="1"/>
      <protection locked="0"/>
    </xf>
    <xf numFmtId="1" fontId="2" fillId="0" borderId="13" xfId="1" applyNumberFormat="1" applyFont="1" applyBorder="1" applyAlignment="1" applyProtection="1">
      <alignment horizontal="center" vertical="center" wrapText="1"/>
      <protection locked="0"/>
    </xf>
    <xf numFmtId="49" fontId="2" fillId="0" borderId="6" xfId="1" applyNumberFormat="1" applyFont="1" applyBorder="1" applyProtection="1">
      <protection locked="0"/>
    </xf>
    <xf numFmtId="49" fontId="2" fillId="0" borderId="7" xfId="1" applyNumberFormat="1" applyFont="1" applyBorder="1" applyProtection="1">
      <protection locked="0"/>
    </xf>
    <xf numFmtId="49" fontId="2" fillId="0" borderId="5" xfId="1" applyNumberFormat="1" applyFont="1" applyBorder="1" applyProtection="1">
      <protection locked="0"/>
    </xf>
    <xf numFmtId="166" fontId="2" fillId="2" borderId="1" xfId="1" applyNumberFormat="1" applyFont="1" applyFill="1" applyBorder="1" applyAlignment="1" applyProtection="1">
      <alignment horizontal="center"/>
      <protection locked="0"/>
    </xf>
    <xf numFmtId="0" fontId="2" fillId="2" borderId="6" xfId="1" applyFont="1" applyFill="1" applyBorder="1" applyAlignment="1" applyProtection="1">
      <alignment horizontal="center" vertical="center"/>
      <protection locked="0"/>
    </xf>
    <xf numFmtId="0" fontId="2" fillId="2" borderId="7" xfId="1" applyFont="1" applyFill="1" applyBorder="1" applyAlignment="1" applyProtection="1">
      <alignment horizontal="center" vertical="center"/>
      <protection locked="0"/>
    </xf>
    <xf numFmtId="0" fontId="2" fillId="2" borderId="5" xfId="1" applyFont="1" applyFill="1" applyBorder="1" applyAlignment="1" applyProtection="1">
      <alignment horizontal="center" vertical="center"/>
      <protection locked="0"/>
    </xf>
    <xf numFmtId="166" fontId="2" fillId="0" borderId="1" xfId="1" applyNumberFormat="1" applyFont="1" applyBorder="1" applyAlignment="1" applyProtection="1">
      <alignment horizontal="center"/>
      <protection locked="0"/>
    </xf>
    <xf numFmtId="1" fontId="2" fillId="4" borderId="6" xfId="1" applyNumberFormat="1" applyFont="1" applyFill="1" applyBorder="1" applyAlignment="1">
      <alignment horizontal="center"/>
    </xf>
    <xf numFmtId="1" fontId="2" fillId="4" borderId="7" xfId="1" applyNumberFormat="1" applyFont="1" applyFill="1" applyBorder="1" applyAlignment="1">
      <alignment horizontal="center"/>
    </xf>
    <xf numFmtId="1" fontId="2" fillId="4" borderId="5" xfId="1" applyNumberFormat="1" applyFont="1" applyFill="1" applyBorder="1" applyAlignment="1">
      <alignment horizontal="center"/>
    </xf>
    <xf numFmtId="49" fontId="2" fillId="0" borderId="6" xfId="1" applyNumberFormat="1" applyFont="1" applyBorder="1" applyAlignment="1" applyProtection="1">
      <alignment horizontal="left" vertical="top" wrapText="1"/>
      <protection locked="0"/>
    </xf>
    <xf numFmtId="49" fontId="2" fillId="0" borderId="7" xfId="1" applyNumberFormat="1" applyFont="1" applyBorder="1" applyAlignment="1" applyProtection="1">
      <alignment horizontal="left" vertical="top" wrapText="1"/>
      <protection locked="0"/>
    </xf>
    <xf numFmtId="0" fontId="2" fillId="2" borderId="0" xfId="1" applyFont="1" applyFill="1"/>
    <xf numFmtId="0" fontId="24" fillId="0" borderId="0" xfId="1" applyFont="1" applyAlignment="1">
      <alignment horizontal="left"/>
    </xf>
    <xf numFmtId="2" fontId="25" fillId="0" borderId="16" xfId="2" applyNumberFormat="1" applyFont="1" applyBorder="1" applyAlignment="1">
      <alignment horizontal="center"/>
    </xf>
    <xf numFmtId="49" fontId="2" fillId="3" borderId="5" xfId="1" applyNumberFormat="1" applyFont="1" applyFill="1" applyBorder="1"/>
    <xf numFmtId="2" fontId="25" fillId="0" borderId="17" xfId="2" applyNumberFormat="1" applyFont="1" applyBorder="1" applyAlignment="1">
      <alignment horizontal="center"/>
    </xf>
    <xf numFmtId="166" fontId="3" fillId="8" borderId="1" xfId="1" applyNumberFormat="1" applyFont="1" applyFill="1" applyBorder="1" applyAlignment="1">
      <alignment horizontal="center" vertical="center"/>
    </xf>
    <xf numFmtId="166" fontId="3" fillId="8" borderId="1" xfId="1" applyNumberFormat="1" applyFont="1" applyFill="1" applyBorder="1" applyAlignment="1">
      <alignment horizontal="left" vertical="center"/>
    </xf>
    <xf numFmtId="164" fontId="3" fillId="0" borderId="0" xfId="1" quotePrefix="1" applyNumberFormat="1" applyFont="1" applyAlignment="1" applyProtection="1">
      <alignment horizontal="left" vertical="center"/>
      <protection locked="0"/>
    </xf>
    <xf numFmtId="2" fontId="3" fillId="0" borderId="0" xfId="1" applyNumberFormat="1" applyFont="1" applyAlignment="1">
      <alignment horizontal="left" vertical="center"/>
    </xf>
    <xf numFmtId="2" fontId="3" fillId="0" borderId="15" xfId="1" applyNumberFormat="1" applyFont="1" applyBorder="1" applyAlignment="1">
      <alignment horizontal="left" vertical="center"/>
    </xf>
    <xf numFmtId="166" fontId="3" fillId="8" borderId="0" xfId="1" applyNumberFormat="1" applyFont="1" applyFill="1" applyAlignment="1">
      <alignment horizontal="left" vertical="center"/>
    </xf>
    <xf numFmtId="0" fontId="1" fillId="6" borderId="0" xfId="1" applyFill="1" applyAlignment="1" applyProtection="1">
      <alignment horizontal="left" vertical="center"/>
      <protection locked="0"/>
    </xf>
    <xf numFmtId="0" fontId="1" fillId="5" borderId="0" xfId="1" applyFill="1" applyAlignment="1" applyProtection="1">
      <alignment horizontal="left" vertical="center"/>
      <protection locked="0"/>
    </xf>
    <xf numFmtId="49" fontId="13" fillId="2" borderId="0" xfId="1" applyNumberFormat="1" applyFont="1" applyFill="1" applyAlignment="1" applyProtection="1">
      <alignment horizontal="left" wrapText="1"/>
      <protection locked="0"/>
    </xf>
    <xf numFmtId="166" fontId="9" fillId="8" borderId="1" xfId="1" applyNumberFormat="1" applyFont="1" applyFill="1" applyBorder="1" applyAlignment="1">
      <alignment horizontal="left" vertical="center"/>
    </xf>
    <xf numFmtId="166" fontId="23" fillId="8" borderId="1" xfId="1" applyNumberFormat="1" applyFont="1" applyFill="1" applyBorder="1" applyAlignment="1">
      <alignment horizontal="left" vertical="center"/>
    </xf>
    <xf numFmtId="166" fontId="9" fillId="0" borderId="1" xfId="1" applyNumberFormat="1" applyFont="1" applyBorder="1" applyAlignment="1">
      <alignment horizontal="center"/>
    </xf>
    <xf numFmtId="0" fontId="8" fillId="0" borderId="1" xfId="1" applyFont="1" applyBorder="1"/>
    <xf numFmtId="0" fontId="2" fillId="5" borderId="1" xfId="1" applyFont="1" applyFill="1" applyBorder="1" applyAlignment="1">
      <alignment horizontal="center"/>
    </xf>
    <xf numFmtId="0" fontId="2" fillId="6" borderId="1" xfId="1" applyFont="1" applyFill="1" applyBorder="1" applyAlignment="1">
      <alignment horizontal="center"/>
    </xf>
    <xf numFmtId="164" fontId="9" fillId="0" borderId="0" xfId="1" applyNumberFormat="1" applyFont="1" applyAlignment="1" applyProtection="1">
      <alignment horizontal="center"/>
      <protection locked="0"/>
    </xf>
    <xf numFmtId="14" fontId="5" fillId="4" borderId="6" xfId="1" applyNumberFormat="1" applyFont="1" applyFill="1" applyBorder="1" applyAlignment="1" applyProtection="1">
      <alignment horizontal="center"/>
      <protection locked="0"/>
    </xf>
    <xf numFmtId="14" fontId="5" fillId="4" borderId="7" xfId="1" applyNumberFormat="1" applyFont="1" applyFill="1" applyBorder="1" applyAlignment="1" applyProtection="1">
      <alignment horizontal="center"/>
      <protection locked="0"/>
    </xf>
    <xf numFmtId="14" fontId="5" fillId="4" borderId="5" xfId="1" applyNumberFormat="1" applyFont="1" applyFill="1" applyBorder="1" applyAlignment="1" applyProtection="1">
      <alignment horizontal="center"/>
      <protection locked="0"/>
    </xf>
    <xf numFmtId="1" fontId="5" fillId="4" borderId="1" xfId="1" applyNumberFormat="1" applyFont="1" applyFill="1" applyBorder="1" applyAlignment="1">
      <alignment horizontal="center"/>
    </xf>
    <xf numFmtId="0" fontId="7" fillId="0" borderId="8" xfId="1" applyFont="1" applyBorder="1" applyAlignment="1">
      <alignment horizontal="center" vertical="center"/>
    </xf>
    <xf numFmtId="1" fontId="7" fillId="0" borderId="0" xfId="1" applyNumberFormat="1" applyFont="1" applyAlignment="1">
      <alignment horizontal="center" vertical="center"/>
    </xf>
    <xf numFmtId="0" fontId="7" fillId="0" borderId="9" xfId="1" applyFont="1" applyBorder="1" applyAlignment="1">
      <alignment horizontal="center" vertical="center"/>
    </xf>
    <xf numFmtId="2" fontId="5" fillId="5" borderId="1" xfId="1" applyNumberFormat="1" applyFont="1" applyFill="1" applyBorder="1" applyAlignment="1" applyProtection="1">
      <alignment horizontal="center"/>
      <protection locked="0"/>
    </xf>
    <xf numFmtId="0" fontId="7" fillId="0" borderId="13" xfId="1" applyFont="1" applyBorder="1" applyAlignment="1">
      <alignment horizontal="center" vertical="center"/>
    </xf>
    <xf numFmtId="49" fontId="2" fillId="0" borderId="1" xfId="1" applyNumberFormat="1" applyFont="1" applyBorder="1" applyAlignment="1" applyProtection="1">
      <alignment horizontal="center"/>
      <protection locked="0"/>
    </xf>
    <xf numFmtId="0" fontId="2" fillId="0" borderId="1" xfId="1" applyFont="1" applyBorder="1" applyAlignment="1" applyProtection="1">
      <alignment horizontal="center"/>
      <protection locked="0"/>
    </xf>
    <xf numFmtId="14" fontId="5" fillId="0" borderId="6" xfId="1" applyNumberFormat="1" applyFont="1" applyBorder="1" applyAlignment="1" applyProtection="1">
      <alignment horizontal="center"/>
      <protection locked="0"/>
    </xf>
    <xf numFmtId="14" fontId="5" fillId="0" borderId="7" xfId="1" applyNumberFormat="1" applyFont="1" applyBorder="1" applyAlignment="1" applyProtection="1">
      <alignment horizontal="center"/>
      <protection locked="0"/>
    </xf>
    <xf numFmtId="14" fontId="5" fillId="0" borderId="5" xfId="1" applyNumberFormat="1" applyFont="1" applyBorder="1" applyAlignment="1" applyProtection="1">
      <alignment horizontal="center"/>
      <protection locked="0"/>
    </xf>
    <xf numFmtId="164" fontId="9" fillId="0" borderId="6" xfId="1" applyNumberFormat="1" applyFont="1" applyBorder="1" applyAlignment="1" applyProtection="1">
      <alignment horizontal="center"/>
      <protection locked="0"/>
    </xf>
    <xf numFmtId="164" fontId="9" fillId="0" borderId="5" xfId="1" applyNumberFormat="1" applyFont="1" applyBorder="1" applyAlignment="1" applyProtection="1">
      <alignment horizontal="center"/>
      <protection locked="0"/>
    </xf>
    <xf numFmtId="0" fontId="2" fillId="3" borderId="7" xfId="1" applyFont="1" applyFill="1" applyBorder="1" applyAlignment="1">
      <alignment horizontal="left"/>
    </xf>
    <xf numFmtId="1" fontId="2" fillId="0" borderId="1" xfId="1" applyNumberFormat="1" applyFont="1" applyBorder="1" applyAlignment="1">
      <alignment horizontal="center"/>
    </xf>
    <xf numFmtId="2" fontId="2" fillId="0" borderId="6" xfId="1" applyNumberFormat="1" applyFont="1" applyBorder="1" applyAlignment="1">
      <alignment horizontal="center"/>
    </xf>
    <xf numFmtId="2" fontId="2" fillId="0" borderId="7" xfId="1" applyNumberFormat="1" applyFont="1" applyBorder="1" applyAlignment="1">
      <alignment horizontal="center"/>
    </xf>
    <xf numFmtId="2" fontId="2" fillId="0" borderId="5" xfId="1" applyNumberFormat="1" applyFont="1" applyBorder="1" applyAlignment="1">
      <alignment horizontal="center"/>
    </xf>
    <xf numFmtId="4" fontId="2" fillId="2" borderId="6" xfId="1" applyNumberFormat="1" applyFont="1" applyFill="1" applyBorder="1" applyAlignment="1" applyProtection="1">
      <alignment horizontal="center"/>
      <protection locked="0"/>
    </xf>
    <xf numFmtId="4" fontId="2" fillId="2" borderId="7" xfId="1" applyNumberFormat="1" applyFont="1" applyFill="1" applyBorder="1" applyAlignment="1" applyProtection="1">
      <alignment horizontal="center"/>
      <protection locked="0"/>
    </xf>
    <xf numFmtId="4" fontId="2" fillId="2" borderId="5" xfId="1" applyNumberFormat="1" applyFont="1" applyFill="1" applyBorder="1" applyAlignment="1" applyProtection="1">
      <alignment horizontal="center"/>
      <protection locked="0"/>
    </xf>
    <xf numFmtId="169" fontId="2" fillId="0" borderId="6" xfId="1" applyNumberFormat="1" applyFont="1" applyBorder="1" applyAlignment="1" applyProtection="1">
      <alignment horizontal="center"/>
      <protection locked="0"/>
    </xf>
    <xf numFmtId="169" fontId="2" fillId="0" borderId="7" xfId="1" applyNumberFormat="1" applyFont="1" applyBorder="1" applyAlignment="1" applyProtection="1">
      <alignment horizontal="center"/>
      <protection locked="0"/>
    </xf>
    <xf numFmtId="169" fontId="2" fillId="0" borderId="5" xfId="1" applyNumberFormat="1" applyFont="1" applyBorder="1" applyAlignment="1" applyProtection="1">
      <alignment horizontal="center"/>
      <protection locked="0"/>
    </xf>
    <xf numFmtId="1" fontId="2" fillId="2" borderId="6" xfId="1" applyNumberFormat="1" applyFont="1" applyFill="1" applyBorder="1" applyAlignment="1">
      <alignment horizontal="center"/>
    </xf>
    <xf numFmtId="1" fontId="2" fillId="2" borderId="7" xfId="1" applyNumberFormat="1" applyFont="1" applyFill="1" applyBorder="1" applyAlignment="1">
      <alignment horizontal="center"/>
    </xf>
    <xf numFmtId="1" fontId="2" fillId="2" borderId="5" xfId="1" applyNumberFormat="1" applyFont="1" applyFill="1" applyBorder="1" applyAlignment="1">
      <alignment horizontal="center"/>
    </xf>
    <xf numFmtId="14" fontId="2" fillId="2" borderId="6" xfId="1" applyNumberFormat="1" applyFont="1" applyFill="1" applyBorder="1" applyAlignment="1" applyProtection="1">
      <alignment horizontal="center"/>
      <protection locked="0"/>
    </xf>
    <xf numFmtId="14" fontId="2" fillId="2" borderId="7" xfId="1" applyNumberFormat="1" applyFont="1" applyFill="1" applyBorder="1" applyAlignment="1" applyProtection="1">
      <alignment horizontal="center"/>
      <protection locked="0"/>
    </xf>
    <xf numFmtId="14" fontId="2" fillId="2" borderId="5" xfId="1" applyNumberFormat="1" applyFont="1" applyFill="1" applyBorder="1" applyAlignment="1" applyProtection="1">
      <alignment horizontal="center"/>
      <protection locked="0"/>
    </xf>
    <xf numFmtId="14" fontId="5" fillId="2" borderId="6" xfId="1" applyNumberFormat="1" applyFont="1" applyFill="1" applyBorder="1" applyAlignment="1" applyProtection="1">
      <alignment horizontal="center"/>
      <protection locked="0"/>
    </xf>
    <xf numFmtId="14" fontId="5" fillId="2" borderId="7" xfId="1" applyNumberFormat="1" applyFont="1" applyFill="1" applyBorder="1" applyAlignment="1" applyProtection="1">
      <alignment horizontal="center"/>
      <protection locked="0"/>
    </xf>
    <xf numFmtId="14" fontId="5" fillId="2" borderId="5" xfId="1" applyNumberFormat="1" applyFont="1" applyFill="1" applyBorder="1" applyAlignment="1" applyProtection="1">
      <alignment horizontal="center"/>
      <protection locked="0"/>
    </xf>
    <xf numFmtId="0" fontId="1" fillId="7" borderId="6" xfId="1" applyFill="1" applyBorder="1" applyAlignment="1">
      <alignment horizontal="left" vertical="center" wrapText="1"/>
    </xf>
    <xf numFmtId="0" fontId="1" fillId="7" borderId="7" xfId="1" applyFill="1" applyBorder="1" applyAlignment="1">
      <alignment horizontal="left" vertical="center" wrapText="1"/>
    </xf>
    <xf numFmtId="0" fontId="1" fillId="7" borderId="5" xfId="1" applyFill="1" applyBorder="1" applyAlignment="1">
      <alignment horizontal="left" vertical="center" wrapText="1"/>
    </xf>
    <xf numFmtId="12" fontId="2" fillId="10" borderId="6" xfId="1" applyNumberFormat="1" applyFont="1" applyFill="1" applyBorder="1" applyAlignment="1" applyProtection="1">
      <alignment horizontal="left"/>
      <protection locked="0"/>
    </xf>
    <xf numFmtId="12" fontId="2" fillId="10" borderId="7" xfId="1" applyNumberFormat="1" applyFont="1" applyFill="1" applyBorder="1" applyAlignment="1" applyProtection="1">
      <alignment horizontal="left"/>
      <protection locked="0"/>
    </xf>
    <xf numFmtId="12" fontId="2" fillId="10" borderId="5" xfId="1" applyNumberFormat="1" applyFont="1" applyFill="1" applyBorder="1" applyAlignment="1" applyProtection="1">
      <alignment horizontal="left"/>
      <protection locked="0"/>
    </xf>
    <xf numFmtId="12" fontId="2" fillId="0" borderId="7" xfId="1" applyNumberFormat="1" applyFont="1" applyBorder="1" applyAlignment="1" applyProtection="1">
      <alignment horizontal="center"/>
      <protection locked="0"/>
    </xf>
    <xf numFmtId="12" fontId="2" fillId="0" borderId="5" xfId="1" applyNumberFormat="1" applyFont="1" applyBorder="1" applyAlignment="1" applyProtection="1">
      <alignment horizontal="center"/>
      <protection locked="0"/>
    </xf>
    <xf numFmtId="2" fontId="2" fillId="0" borderId="1" xfId="1" applyNumberFormat="1" applyFont="1" applyBorder="1" applyAlignment="1" applyProtection="1">
      <alignment horizontal="center"/>
      <protection locked="0"/>
    </xf>
    <xf numFmtId="12" fontId="2" fillId="5" borderId="6" xfId="1" applyNumberFormat="1" applyFont="1" applyFill="1" applyBorder="1" applyAlignment="1" applyProtection="1">
      <alignment horizontal="left"/>
      <protection locked="0"/>
    </xf>
    <xf numFmtId="12" fontId="2" fillId="5" borderId="7" xfId="1" applyNumberFormat="1" applyFont="1" applyFill="1" applyBorder="1" applyAlignment="1" applyProtection="1">
      <alignment horizontal="left"/>
      <protection locked="0"/>
    </xf>
    <xf numFmtId="12" fontId="2" fillId="5" borderId="5" xfId="1" applyNumberFormat="1" applyFont="1" applyFill="1" applyBorder="1" applyAlignment="1" applyProtection="1">
      <alignment horizontal="left"/>
      <protection locked="0"/>
    </xf>
    <xf numFmtId="166" fontId="2" fillId="5" borderId="6" xfId="1" applyNumberFormat="1" applyFont="1" applyFill="1" applyBorder="1" applyAlignment="1" applyProtection="1">
      <alignment horizontal="center"/>
      <protection locked="0"/>
    </xf>
    <xf numFmtId="166" fontId="2" fillId="5" borderId="7" xfId="1" applyNumberFormat="1" applyFont="1" applyFill="1" applyBorder="1" applyAlignment="1" applyProtection="1">
      <alignment horizontal="center"/>
      <protection locked="0"/>
    </xf>
    <xf numFmtId="166" fontId="2" fillId="5" borderId="5" xfId="1" applyNumberFormat="1" applyFont="1" applyFill="1" applyBorder="1" applyAlignment="1" applyProtection="1">
      <alignment horizontal="center"/>
      <protection locked="0"/>
    </xf>
    <xf numFmtId="0" fontId="9" fillId="3" borderId="1" xfId="1" applyFont="1" applyFill="1" applyBorder="1" applyAlignment="1">
      <alignment horizontal="left"/>
    </xf>
    <xf numFmtId="1" fontId="2" fillId="0" borderId="1" xfId="1" applyNumberFormat="1" applyFont="1" applyBorder="1" applyAlignment="1" applyProtection="1">
      <alignment horizontal="center"/>
      <protection locked="0"/>
    </xf>
    <xf numFmtId="0" fontId="2" fillId="3" borderId="1" xfId="1" applyFont="1" applyFill="1" applyBorder="1" applyAlignment="1">
      <alignment horizontal="left"/>
    </xf>
    <xf numFmtId="14" fontId="2" fillId="0" borderId="1" xfId="1" applyNumberFormat="1" applyFont="1" applyBorder="1" applyAlignment="1" applyProtection="1">
      <alignment horizontal="center"/>
      <protection locked="0"/>
    </xf>
    <xf numFmtId="0" fontId="9" fillId="3" borderId="6" xfId="1" applyFont="1" applyFill="1" applyBorder="1"/>
    <xf numFmtId="0" fontId="9" fillId="3" borderId="7" xfId="1" applyFont="1" applyFill="1" applyBorder="1"/>
    <xf numFmtId="0" fontId="9" fillId="3" borderId="5" xfId="1" applyFont="1" applyFill="1" applyBorder="1"/>
    <xf numFmtId="0" fontId="8" fillId="0" borderId="12" xfId="1" applyFont="1" applyBorder="1"/>
    <xf numFmtId="49" fontId="2" fillId="2" borderId="2" xfId="0" applyNumberFormat="1" applyFont="1" applyFill="1" applyBorder="1" applyAlignment="1" applyProtection="1">
      <alignment horizontal="left" vertical="center" wrapText="1"/>
      <protection locked="0"/>
    </xf>
    <xf numFmtId="49" fontId="2" fillId="2" borderId="3" xfId="0" applyNumberFormat="1" applyFont="1" applyFill="1" applyBorder="1" applyAlignment="1" applyProtection="1">
      <alignment horizontal="left" vertical="center" wrapText="1"/>
      <protection locked="0"/>
    </xf>
    <xf numFmtId="49" fontId="2" fillId="2" borderId="4" xfId="0" applyNumberFormat="1" applyFont="1" applyFill="1" applyBorder="1" applyAlignment="1" applyProtection="1">
      <alignment horizontal="left" vertical="center" wrapText="1"/>
      <protection locked="0"/>
    </xf>
    <xf numFmtId="0" fontId="2" fillId="3" borderId="6" xfId="1" applyFont="1" applyFill="1" applyBorder="1" applyAlignment="1">
      <alignment horizontal="center" vertical="center"/>
    </xf>
    <xf numFmtId="0" fontId="2" fillId="3" borderId="5" xfId="1" applyFont="1" applyFill="1" applyBorder="1" applyAlignment="1">
      <alignment horizontal="center" vertical="center"/>
    </xf>
    <xf numFmtId="49" fontId="2" fillId="2" borderId="8" xfId="0" applyNumberFormat="1" applyFont="1" applyFill="1" applyBorder="1" applyAlignment="1" applyProtection="1">
      <alignment horizontal="left" vertical="center" wrapText="1"/>
      <protection locked="0"/>
    </xf>
    <xf numFmtId="49" fontId="2" fillId="2" borderId="0" xfId="0" applyNumberFormat="1" applyFont="1" applyFill="1" applyAlignment="1" applyProtection="1">
      <alignment horizontal="left" vertical="center" wrapText="1"/>
      <protection locked="0"/>
    </xf>
    <xf numFmtId="49" fontId="2" fillId="2" borderId="9" xfId="0" applyNumberFormat="1" applyFont="1" applyFill="1" applyBorder="1" applyAlignment="1" applyProtection="1">
      <alignment horizontal="left" vertical="center" wrapText="1"/>
      <protection locked="0"/>
    </xf>
    <xf numFmtId="49" fontId="2" fillId="2" borderId="11" xfId="0" applyNumberFormat="1" applyFont="1" applyFill="1" applyBorder="1" applyAlignment="1" applyProtection="1">
      <alignment horizontal="left" vertical="center" wrapText="1"/>
      <protection locked="0"/>
    </xf>
    <xf numFmtId="49" fontId="2" fillId="2" borderId="12" xfId="0" applyNumberFormat="1" applyFont="1" applyFill="1" applyBorder="1" applyAlignment="1" applyProtection="1">
      <alignment horizontal="left" vertical="center" wrapText="1"/>
      <protection locked="0"/>
    </xf>
    <xf numFmtId="49" fontId="2" fillId="2" borderId="13" xfId="0" applyNumberFormat="1" applyFont="1" applyFill="1" applyBorder="1" applyAlignment="1" applyProtection="1">
      <alignment horizontal="left" vertical="center" wrapText="1"/>
      <protection locked="0"/>
    </xf>
    <xf numFmtId="166" fontId="2" fillId="2" borderId="6" xfId="1" applyNumberFormat="1" applyFont="1" applyFill="1" applyBorder="1" applyAlignment="1" applyProtection="1">
      <alignment horizontal="center" vertical="center"/>
      <protection locked="0"/>
    </xf>
    <xf numFmtId="166" fontId="2" fillId="2" borderId="7" xfId="1" applyNumberFormat="1" applyFont="1" applyFill="1" applyBorder="1" applyAlignment="1" applyProtection="1">
      <alignment horizontal="center" vertical="center"/>
      <protection locked="0"/>
    </xf>
    <xf numFmtId="166" fontId="2" fillId="2" borderId="5" xfId="1" applyNumberFormat="1" applyFont="1" applyFill="1" applyBorder="1" applyAlignment="1" applyProtection="1">
      <alignment horizontal="center" vertical="center"/>
      <protection locked="0"/>
    </xf>
    <xf numFmtId="166" fontId="2" fillId="0" borderId="1" xfId="1" applyNumberFormat="1" applyFont="1" applyBorder="1" applyAlignment="1">
      <alignment horizontal="center"/>
    </xf>
    <xf numFmtId="49" fontId="11" fillId="5" borderId="6" xfId="1" applyNumberFormat="1" applyFont="1" applyFill="1" applyBorder="1" applyAlignment="1" applyProtection="1">
      <alignment horizontal="center"/>
      <protection locked="0"/>
    </xf>
    <xf numFmtId="49" fontId="11" fillId="5" borderId="7" xfId="1" applyNumberFormat="1" applyFont="1" applyFill="1" applyBorder="1" applyAlignment="1" applyProtection="1">
      <alignment horizontal="center"/>
      <protection locked="0"/>
    </xf>
    <xf numFmtId="49" fontId="11" fillId="5" borderId="5" xfId="1" applyNumberFormat="1" applyFont="1" applyFill="1" applyBorder="1" applyAlignment="1" applyProtection="1">
      <alignment horizontal="center"/>
      <protection locked="0"/>
    </xf>
    <xf numFmtId="0" fontId="2" fillId="2" borderId="1" xfId="1" applyFont="1" applyFill="1" applyBorder="1" applyAlignment="1">
      <alignment horizontal="center"/>
    </xf>
    <xf numFmtId="166" fontId="11" fillId="0" borderId="6" xfId="1" applyNumberFormat="1" applyFont="1" applyBorder="1" applyAlignment="1" applyProtection="1">
      <alignment horizontal="center"/>
      <protection locked="0"/>
    </xf>
    <xf numFmtId="166" fontId="11" fillId="0" borderId="5" xfId="1" applyNumberFormat="1" applyFont="1" applyBorder="1" applyAlignment="1" applyProtection="1">
      <alignment horizontal="center"/>
      <protection locked="0"/>
    </xf>
    <xf numFmtId="167" fontId="2" fillId="0" borderId="6" xfId="1" applyNumberFormat="1" applyFont="1" applyBorder="1" applyAlignment="1" applyProtection="1">
      <alignment horizontal="center"/>
      <protection locked="0"/>
    </xf>
    <xf numFmtId="167" fontId="2" fillId="0" borderId="7" xfId="1" applyNumberFormat="1" applyFont="1" applyBorder="1" applyAlignment="1" applyProtection="1">
      <alignment horizontal="center"/>
      <protection locked="0"/>
    </xf>
    <xf numFmtId="167" fontId="2" fillId="0" borderId="5" xfId="1" applyNumberFormat="1" applyFont="1" applyBorder="1" applyAlignment="1" applyProtection="1">
      <alignment horizontal="center"/>
      <protection locked="0"/>
    </xf>
    <xf numFmtId="49" fontId="10" fillId="0" borderId="6" xfId="1" applyNumberFormat="1" applyFont="1" applyBorder="1" applyAlignment="1" applyProtection="1">
      <alignment horizontal="center"/>
      <protection locked="0"/>
    </xf>
    <xf numFmtId="49" fontId="10" fillId="0" borderId="7" xfId="1" applyNumberFormat="1" applyFont="1" applyBorder="1" applyAlignment="1" applyProtection="1">
      <alignment horizontal="center"/>
      <protection locked="0"/>
    </xf>
    <xf numFmtId="49" fontId="10" fillId="0" borderId="5" xfId="1" applyNumberFormat="1" applyFont="1" applyBorder="1" applyAlignment="1" applyProtection="1">
      <alignment horizontal="center"/>
      <protection locked="0"/>
    </xf>
    <xf numFmtId="12" fontId="2" fillId="2" borderId="6" xfId="1" applyNumberFormat="1" applyFont="1" applyFill="1" applyBorder="1" applyAlignment="1" applyProtection="1">
      <alignment horizontal="center"/>
      <protection locked="0"/>
    </xf>
    <xf numFmtId="49" fontId="9" fillId="2" borderId="6" xfId="1" applyNumberFormat="1" applyFont="1" applyFill="1" applyBorder="1" applyAlignment="1" applyProtection="1">
      <alignment horizontal="center"/>
      <protection locked="0"/>
    </xf>
    <xf numFmtId="49" fontId="9" fillId="2" borderId="7" xfId="1" applyNumberFormat="1" applyFont="1" applyFill="1" applyBorder="1" applyAlignment="1" applyProtection="1">
      <alignment horizontal="center"/>
      <protection locked="0"/>
    </xf>
    <xf numFmtId="49" fontId="9" fillId="2" borderId="5" xfId="1" applyNumberFormat="1" applyFont="1" applyFill="1" applyBorder="1" applyAlignment="1" applyProtection="1">
      <alignment horizontal="center"/>
      <protection locked="0"/>
    </xf>
    <xf numFmtId="12" fontId="2" fillId="2" borderId="6" xfId="1" applyNumberFormat="1" applyFont="1" applyFill="1" applyBorder="1" applyAlignment="1" applyProtection="1">
      <alignment horizontal="center" vertical="center"/>
      <protection locked="0"/>
    </xf>
    <xf numFmtId="0" fontId="5" fillId="2" borderId="6" xfId="1" applyFont="1" applyFill="1" applyBorder="1" applyAlignment="1" applyProtection="1">
      <alignment horizontal="center"/>
      <protection locked="0"/>
    </xf>
    <xf numFmtId="0" fontId="5" fillId="2" borderId="7" xfId="1" applyFont="1" applyFill="1" applyBorder="1" applyAlignment="1" applyProtection="1">
      <alignment horizontal="center"/>
      <protection locked="0"/>
    </xf>
    <xf numFmtId="0" fontId="5" fillId="2" borderId="5" xfId="1" applyFont="1" applyFill="1" applyBorder="1" applyAlignment="1" applyProtection="1">
      <alignment horizontal="center"/>
      <protection locked="0"/>
    </xf>
    <xf numFmtId="14" fontId="2" fillId="0" borderId="6" xfId="1" applyNumberFormat="1" applyFont="1" applyBorder="1" applyAlignment="1" applyProtection="1">
      <alignment horizontal="center"/>
      <protection locked="0"/>
    </xf>
    <xf numFmtId="14" fontId="2" fillId="0" borderId="7" xfId="1" applyNumberFormat="1" applyFont="1" applyBorder="1" applyAlignment="1" applyProtection="1">
      <alignment horizontal="center"/>
      <protection locked="0"/>
    </xf>
    <xf numFmtId="14" fontId="2" fillId="0" borderId="5" xfId="1" applyNumberFormat="1" applyFont="1" applyBorder="1" applyAlignment="1" applyProtection="1">
      <alignment horizontal="center"/>
      <protection locked="0"/>
    </xf>
    <xf numFmtId="12" fontId="2" fillId="2" borderId="7" xfId="1" applyNumberFormat="1" applyFont="1" applyFill="1" applyBorder="1" applyAlignment="1" applyProtection="1">
      <alignment horizontal="center"/>
      <protection locked="0"/>
    </xf>
    <xf numFmtId="12" fontId="2" fillId="2" borderId="5" xfId="1" applyNumberFormat="1" applyFont="1" applyFill="1" applyBorder="1" applyAlignment="1" applyProtection="1">
      <alignment horizontal="center"/>
      <protection locked="0"/>
    </xf>
    <xf numFmtId="0" fontId="8" fillId="0" borderId="7" xfId="1" applyFont="1" applyBorder="1" applyAlignment="1">
      <alignment horizontal="left"/>
    </xf>
    <xf numFmtId="2" fontId="5" fillId="2" borderId="6" xfId="1" applyNumberFormat="1" applyFont="1" applyFill="1" applyBorder="1" applyAlignment="1">
      <alignment horizontal="center"/>
    </xf>
    <xf numFmtId="2" fontId="5" fillId="2" borderId="7" xfId="1" applyNumberFormat="1" applyFont="1" applyFill="1" applyBorder="1" applyAlignment="1">
      <alignment horizontal="center"/>
    </xf>
    <xf numFmtId="2" fontId="5" fillId="2" borderId="5" xfId="1" applyNumberFormat="1" applyFont="1" applyFill="1" applyBorder="1" applyAlignment="1">
      <alignment horizontal="center"/>
    </xf>
    <xf numFmtId="1" fontId="5" fillId="2" borderId="6" xfId="1" applyNumberFormat="1" applyFont="1" applyFill="1" applyBorder="1" applyAlignment="1">
      <alignment horizontal="center"/>
    </xf>
    <xf numFmtId="1" fontId="5" fillId="2" borderId="7" xfId="1" applyNumberFormat="1" applyFont="1" applyFill="1" applyBorder="1" applyAlignment="1">
      <alignment horizontal="center"/>
    </xf>
    <xf numFmtId="1" fontId="5" fillId="2" borderId="5" xfId="1" applyNumberFormat="1" applyFont="1" applyFill="1" applyBorder="1" applyAlignment="1">
      <alignment horizontal="center"/>
    </xf>
    <xf numFmtId="1" fontId="5" fillId="2" borderId="6" xfId="1" applyNumberFormat="1" applyFont="1" applyFill="1" applyBorder="1" applyAlignment="1" applyProtection="1">
      <alignment horizontal="center"/>
      <protection locked="0"/>
    </xf>
    <xf numFmtId="1" fontId="5" fillId="2" borderId="7" xfId="1" applyNumberFormat="1" applyFont="1" applyFill="1" applyBorder="1" applyAlignment="1" applyProtection="1">
      <alignment horizontal="center"/>
      <protection locked="0"/>
    </xf>
    <xf numFmtId="1" fontId="5" fillId="2" borderId="5" xfId="1" applyNumberFormat="1" applyFont="1" applyFill="1" applyBorder="1" applyAlignment="1" applyProtection="1">
      <alignment horizontal="center"/>
      <protection locked="0"/>
    </xf>
    <xf numFmtId="166" fontId="5" fillId="2" borderId="6" xfId="1" applyNumberFormat="1" applyFont="1" applyFill="1" applyBorder="1" applyAlignment="1" applyProtection="1">
      <alignment horizontal="center"/>
      <protection locked="0"/>
    </xf>
    <xf numFmtId="166" fontId="5" fillId="2" borderId="7" xfId="1" applyNumberFormat="1" applyFont="1" applyFill="1" applyBorder="1" applyAlignment="1" applyProtection="1">
      <alignment horizontal="center"/>
      <protection locked="0"/>
    </xf>
    <xf numFmtId="166" fontId="5" fillId="2" borderId="5" xfId="1" applyNumberFormat="1" applyFont="1" applyFill="1" applyBorder="1" applyAlignment="1" applyProtection="1">
      <alignment horizontal="center"/>
      <protection locked="0"/>
    </xf>
    <xf numFmtId="2" fontId="5" fillId="2" borderId="6" xfId="1" applyNumberFormat="1" applyFont="1" applyFill="1" applyBorder="1" applyAlignment="1" applyProtection="1">
      <alignment horizontal="center"/>
      <protection locked="0"/>
    </xf>
    <xf numFmtId="2" fontId="5" fillId="2" borderId="7" xfId="1" applyNumberFormat="1" applyFont="1" applyFill="1" applyBorder="1" applyAlignment="1" applyProtection="1">
      <alignment horizontal="center"/>
      <protection locked="0"/>
    </xf>
    <xf numFmtId="2" fontId="5" fillId="2" borderId="5" xfId="1" applyNumberFormat="1" applyFont="1" applyFill="1" applyBorder="1" applyAlignment="1" applyProtection="1">
      <alignment horizontal="center"/>
      <protection locked="0"/>
    </xf>
    <xf numFmtId="49" fontId="5" fillId="2" borderId="6" xfId="1" applyNumberFormat="1" applyFont="1" applyFill="1" applyBorder="1" applyAlignment="1" applyProtection="1">
      <alignment horizontal="center"/>
      <protection locked="0"/>
    </xf>
    <xf numFmtId="49" fontId="5" fillId="2" borderId="7" xfId="1" applyNumberFormat="1" applyFont="1" applyFill="1" applyBorder="1" applyAlignment="1" applyProtection="1">
      <alignment horizontal="center"/>
      <protection locked="0"/>
    </xf>
    <xf numFmtId="49" fontId="5" fillId="2" borderId="5" xfId="1" applyNumberFormat="1" applyFont="1" applyFill="1" applyBorder="1" applyAlignment="1" applyProtection="1">
      <alignment horizontal="center"/>
      <protection locked="0"/>
    </xf>
    <xf numFmtId="0" fontId="10" fillId="2" borderId="6" xfId="1" applyFont="1" applyFill="1" applyBorder="1" applyAlignment="1" applyProtection="1">
      <alignment horizontal="center"/>
      <protection locked="0"/>
    </xf>
    <xf numFmtId="0" fontId="10" fillId="2" borderId="7" xfId="1" applyFont="1" applyFill="1" applyBorder="1" applyAlignment="1" applyProtection="1">
      <alignment horizontal="center"/>
      <protection locked="0"/>
    </xf>
    <xf numFmtId="0" fontId="10" fillId="2" borderId="5" xfId="1" applyFont="1" applyFill="1" applyBorder="1" applyAlignment="1" applyProtection="1">
      <alignment horizontal="center"/>
      <protection locked="0"/>
    </xf>
    <xf numFmtId="0" fontId="4" fillId="0" borderId="3" xfId="1" applyFont="1" applyBorder="1" applyAlignment="1">
      <alignment horizontal="center" vertical="center"/>
    </xf>
    <xf numFmtId="0" fontId="4" fillId="0" borderId="4" xfId="1" applyFont="1" applyBorder="1" applyAlignment="1">
      <alignment horizontal="center" vertical="center"/>
    </xf>
    <xf numFmtId="14" fontId="2" fillId="5" borderId="6" xfId="1" applyNumberFormat="1" applyFont="1" applyFill="1" applyBorder="1" applyAlignment="1">
      <alignment horizontal="center"/>
    </xf>
    <xf numFmtId="14" fontId="2" fillId="5" borderId="7" xfId="1" applyNumberFormat="1" applyFont="1" applyFill="1" applyBorder="1" applyAlignment="1">
      <alignment horizontal="center"/>
    </xf>
    <xf numFmtId="14" fontId="2" fillId="5" borderId="5" xfId="1" applyNumberFormat="1" applyFont="1" applyFill="1" applyBorder="1" applyAlignment="1">
      <alignment horizontal="center"/>
    </xf>
    <xf numFmtId="0" fontId="4" fillId="0" borderId="0" xfId="1" applyFont="1" applyAlignment="1">
      <alignment horizontal="center" vertical="center"/>
    </xf>
    <xf numFmtId="0" fontId="4" fillId="0" borderId="9" xfId="1" applyFont="1" applyBorder="1" applyAlignment="1">
      <alignment horizontal="center" vertical="center"/>
    </xf>
    <xf numFmtId="2" fontId="2" fillId="4" borderId="6" xfId="1" applyNumberFormat="1" applyFont="1" applyFill="1" applyBorder="1" applyAlignment="1">
      <alignment horizontal="center"/>
    </xf>
    <xf numFmtId="2" fontId="2" fillId="4" borderId="7" xfId="1" applyNumberFormat="1" applyFont="1" applyFill="1" applyBorder="1" applyAlignment="1">
      <alignment horizontal="center"/>
    </xf>
    <xf numFmtId="2" fontId="2" fillId="4" borderId="5" xfId="1" applyNumberFormat="1" applyFont="1" applyFill="1" applyBorder="1" applyAlignment="1">
      <alignment horizontal="center"/>
    </xf>
    <xf numFmtId="0" fontId="2" fillId="0" borderId="2" xfId="1" applyFont="1" applyBorder="1" applyAlignment="1">
      <alignment horizontal="center"/>
    </xf>
    <xf numFmtId="0" fontId="2" fillId="0" borderId="4" xfId="1" applyFont="1" applyBorder="1" applyAlignment="1">
      <alignment horizontal="center"/>
    </xf>
    <xf numFmtId="166" fontId="2" fillId="5" borderId="2" xfId="1" applyNumberFormat="1" applyFont="1" applyFill="1" applyBorder="1" applyAlignment="1">
      <alignment horizontal="center"/>
    </xf>
    <xf numFmtId="166" fontId="2" fillId="5" borderId="3" xfId="1" applyNumberFormat="1" applyFont="1" applyFill="1" applyBorder="1" applyAlignment="1">
      <alignment horizontal="center"/>
    </xf>
    <xf numFmtId="166" fontId="2" fillId="5" borderId="4" xfId="1" applyNumberFormat="1" applyFont="1" applyFill="1" applyBorder="1" applyAlignment="1">
      <alignment horizontal="center"/>
    </xf>
    <xf numFmtId="0" fontId="8" fillId="0" borderId="1" xfId="1" applyFont="1" applyBorder="1" applyAlignment="1">
      <alignment horizontal="left"/>
    </xf>
    <xf numFmtId="0" fontId="6" fillId="0" borderId="1" xfId="1" applyFont="1" applyBorder="1"/>
    <xf numFmtId="0" fontId="2" fillId="3" borderId="1" xfId="1" applyFont="1" applyFill="1" applyBorder="1"/>
    <xf numFmtId="2" fontId="3" fillId="0" borderId="1" xfId="1" applyNumberFormat="1" applyFont="1" applyBorder="1" applyAlignment="1">
      <alignment horizontal="center" vertical="center"/>
    </xf>
    <xf numFmtId="0" fontId="1" fillId="6" borderId="1" xfId="1" applyFill="1" applyBorder="1" applyAlignment="1" applyProtection="1">
      <alignment horizontal="center" vertical="center"/>
      <protection locked="0"/>
    </xf>
    <xf numFmtId="0" fontId="1" fillId="5" borderId="1" xfId="1" applyFill="1" applyBorder="1" applyAlignment="1" applyProtection="1">
      <alignment horizontal="center" vertical="center"/>
      <protection locked="0"/>
    </xf>
    <xf numFmtId="49" fontId="1" fillId="2" borderId="1" xfId="1" applyNumberFormat="1" applyFill="1" applyBorder="1" applyAlignment="1" applyProtection="1">
      <alignment horizontal="left" wrapText="1"/>
      <protection locked="0"/>
    </xf>
    <xf numFmtId="2" fontId="9" fillId="0" borderId="1" xfId="1" applyNumberFormat="1" applyFont="1" applyBorder="1" applyAlignment="1">
      <alignment horizontal="left" vertical="center"/>
    </xf>
    <xf numFmtId="0" fontId="2" fillId="6" borderId="1" xfId="1" applyFont="1" applyFill="1" applyBorder="1" applyAlignment="1" applyProtection="1">
      <alignment horizontal="left" vertical="center"/>
      <protection locked="0"/>
    </xf>
    <xf numFmtId="0" fontId="2" fillId="5" borderId="1" xfId="1" applyFont="1" applyFill="1" applyBorder="1" applyAlignment="1" applyProtection="1">
      <alignment horizontal="left" vertical="center"/>
      <protection locked="0"/>
    </xf>
    <xf numFmtId="49" fontId="2" fillId="2" borderId="1" xfId="1" applyNumberFormat="1" applyFont="1" applyFill="1" applyBorder="1" applyAlignment="1" applyProtection="1">
      <alignment horizontal="left" wrapText="1"/>
      <protection locked="0"/>
    </xf>
    <xf numFmtId="49" fontId="15" fillId="2" borderId="1" xfId="1" applyNumberFormat="1" applyFont="1" applyFill="1" applyBorder="1" applyAlignment="1" applyProtection="1">
      <alignment horizontal="left" wrapText="1"/>
      <protection locked="0"/>
    </xf>
    <xf numFmtId="164" fontId="23" fillId="0" borderId="1" xfId="1" quotePrefix="1" applyNumberFormat="1" applyFont="1" applyBorder="1" applyAlignment="1" applyProtection="1">
      <alignment horizontal="left" vertical="center"/>
      <protection locked="0"/>
    </xf>
    <xf numFmtId="2" fontId="23" fillId="0" borderId="1" xfId="1" applyNumberFormat="1" applyFont="1" applyBorder="1" applyAlignment="1">
      <alignment horizontal="left" vertical="center"/>
    </xf>
    <xf numFmtId="0" fontId="10" fillId="6" borderId="1" xfId="1" applyFont="1" applyFill="1" applyBorder="1" applyAlignment="1" applyProtection="1">
      <alignment horizontal="left" vertical="center"/>
      <protection locked="0"/>
    </xf>
    <xf numFmtId="0" fontId="10" fillId="5" borderId="1" xfId="1" applyFont="1" applyFill="1" applyBorder="1" applyAlignment="1" applyProtection="1">
      <alignment horizontal="left" vertical="center"/>
      <protection locked="0"/>
    </xf>
    <xf numFmtId="164" fontId="9" fillId="0" borderId="1" xfId="1" applyNumberFormat="1" applyFont="1" applyBorder="1" applyAlignment="1" applyProtection="1">
      <alignment horizontal="left" vertical="center"/>
      <protection locked="0"/>
    </xf>
    <xf numFmtId="2" fontId="9" fillId="0" borderId="1" xfId="1" applyNumberFormat="1" applyFont="1" applyBorder="1" applyAlignment="1">
      <alignment horizontal="center"/>
    </xf>
    <xf numFmtId="2" fontId="27" fillId="0" borderId="1" xfId="1" applyNumberFormat="1" applyFont="1" applyBorder="1" applyAlignment="1">
      <alignment horizontal="left"/>
    </xf>
    <xf numFmtId="2" fontId="9" fillId="0" borderId="1" xfId="1" applyNumberFormat="1" applyFont="1" applyBorder="1" applyAlignment="1">
      <alignment horizontal="left"/>
    </xf>
    <xf numFmtId="164" fontId="3" fillId="0" borderId="6" xfId="1" applyNumberFormat="1" applyFont="1" applyBorder="1" applyAlignment="1" applyProtection="1">
      <alignment horizontal="center"/>
      <protection locked="0"/>
    </xf>
    <xf numFmtId="164" fontId="3" fillId="0" borderId="5" xfId="1" applyNumberFormat="1" applyFont="1" applyBorder="1" applyAlignment="1" applyProtection="1">
      <alignment horizontal="center"/>
      <protection locked="0"/>
    </xf>
    <xf numFmtId="164" fontId="28" fillId="0" borderId="1" xfId="1" applyNumberFormat="1" applyFont="1" applyBorder="1" applyAlignment="1" applyProtection="1">
      <alignment horizontal="center"/>
      <protection locked="0"/>
    </xf>
    <xf numFmtId="0" fontId="6" fillId="0" borderId="1" xfId="1" applyFont="1" applyBorder="1" applyAlignment="1">
      <alignment horizontal="left"/>
    </xf>
    <xf numFmtId="0" fontId="6" fillId="2" borderId="1" xfId="1" applyFont="1" applyFill="1" applyBorder="1" applyAlignment="1">
      <alignment horizontal="center"/>
    </xf>
    <xf numFmtId="164" fontId="9" fillId="0" borderId="1" xfId="1" applyNumberFormat="1" applyFont="1" applyBorder="1" applyAlignment="1" applyProtection="1">
      <alignment horizontal="left"/>
      <protection locked="0"/>
    </xf>
    <xf numFmtId="2" fontId="9" fillId="0" borderId="1" xfId="1" applyNumberFormat="1" applyFont="1" applyBorder="1" applyAlignment="1" applyProtection="1">
      <alignment horizontal="left"/>
      <protection locked="0"/>
    </xf>
    <xf numFmtId="1" fontId="2" fillId="7" borderId="1" xfId="1" applyNumberFormat="1" applyFont="1" applyFill="1" applyBorder="1" applyAlignment="1">
      <alignment horizontal="left"/>
    </xf>
    <xf numFmtId="1" fontId="2" fillId="3" borderId="1" xfId="1" applyNumberFormat="1" applyFont="1" applyFill="1" applyBorder="1" applyAlignment="1">
      <alignment horizontal="center"/>
    </xf>
    <xf numFmtId="49" fontId="2" fillId="0" borderId="1" xfId="1" applyNumberFormat="1" applyFont="1" applyBorder="1" applyProtection="1">
      <protection locked="0"/>
    </xf>
    <xf numFmtId="1" fontId="2" fillId="2" borderId="1" xfId="1" applyNumberFormat="1" applyFont="1" applyFill="1" applyBorder="1" applyAlignment="1">
      <alignment horizontal="left"/>
    </xf>
    <xf numFmtId="0" fontId="2" fillId="3" borderId="1" xfId="1" applyFont="1" applyFill="1" applyBorder="1" applyProtection="1">
      <protection locked="0"/>
    </xf>
    <xf numFmtId="49" fontId="26" fillId="0" borderId="1" xfId="1" applyNumberFormat="1" applyFont="1" applyBorder="1" applyProtection="1">
      <protection locked="0"/>
    </xf>
    <xf numFmtId="49" fontId="10" fillId="0" borderId="1" xfId="1" applyNumberFormat="1" applyFont="1" applyBorder="1" applyAlignment="1" applyProtection="1">
      <alignment horizontal="left" vertical="top" wrapText="1"/>
      <protection locked="0"/>
    </xf>
    <xf numFmtId="49" fontId="2" fillId="0" borderId="1" xfId="1" applyNumberFormat="1" applyFont="1" applyBorder="1" applyAlignment="1" applyProtection="1">
      <alignment horizontal="left" vertical="top" wrapText="1"/>
      <protection locked="0"/>
    </xf>
    <xf numFmtId="49" fontId="2" fillId="3" borderId="1" xfId="1" applyNumberFormat="1" applyFont="1" applyFill="1" applyBorder="1" applyAlignment="1" applyProtection="1">
      <alignment horizontal="left"/>
      <protection locked="0"/>
    </xf>
    <xf numFmtId="49" fontId="2" fillId="3" borderId="1" xfId="1" applyNumberFormat="1" applyFont="1" applyFill="1" applyBorder="1" applyAlignment="1" applyProtection="1">
      <alignment horizontal="center"/>
      <protection locked="0"/>
    </xf>
    <xf numFmtId="49" fontId="2" fillId="3" borderId="1" xfId="1" applyNumberFormat="1" applyFont="1" applyFill="1" applyBorder="1" applyAlignment="1">
      <alignment horizontal="center"/>
    </xf>
    <xf numFmtId="2" fontId="2" fillId="2" borderId="1" xfId="1" applyNumberFormat="1" applyFont="1" applyFill="1" applyBorder="1" applyAlignment="1" applyProtection="1">
      <alignment horizontal="center"/>
      <protection locked="0"/>
    </xf>
    <xf numFmtId="1" fontId="5" fillId="0" borderId="1" xfId="1" applyNumberFormat="1" applyFont="1" applyBorder="1" applyAlignment="1" applyProtection="1">
      <alignment horizontal="center"/>
      <protection locked="0"/>
    </xf>
    <xf numFmtId="14" fontId="2" fillId="0" borderId="0" xfId="1" applyNumberFormat="1" applyFont="1" applyAlignment="1">
      <alignment horizontal="center"/>
    </xf>
    <xf numFmtId="1" fontId="2" fillId="0" borderId="0" xfId="1" applyNumberFormat="1" applyFont="1" applyAlignment="1">
      <alignment horizontal="center"/>
    </xf>
    <xf numFmtId="49" fontId="29" fillId="2" borderId="6" xfId="1" applyNumberFormat="1" applyFont="1" applyFill="1" applyBorder="1" applyAlignment="1" applyProtection="1">
      <alignment horizontal="center"/>
      <protection locked="0"/>
    </xf>
    <xf numFmtId="49" fontId="29" fillId="2" borderId="7" xfId="1" applyNumberFormat="1" applyFont="1" applyFill="1" applyBorder="1" applyAlignment="1" applyProtection="1">
      <alignment horizontal="center"/>
      <protection locked="0"/>
    </xf>
    <xf numFmtId="49" fontId="29" fillId="2" borderId="5" xfId="1" applyNumberFormat="1" applyFont="1" applyFill="1" applyBorder="1" applyAlignment="1" applyProtection="1">
      <alignment horizontal="center"/>
      <protection locked="0"/>
    </xf>
    <xf numFmtId="0" fontId="30" fillId="3" borderId="6" xfId="1" applyFont="1" applyFill="1" applyBorder="1" applyAlignment="1">
      <alignment horizontal="center"/>
    </xf>
    <xf numFmtId="0" fontId="30" fillId="3" borderId="7" xfId="1" applyFont="1" applyFill="1" applyBorder="1" applyAlignment="1">
      <alignment horizontal="center"/>
    </xf>
    <xf numFmtId="0" fontId="30" fillId="3" borderId="5" xfId="1" applyFont="1" applyFill="1" applyBorder="1" applyAlignment="1">
      <alignment horizontal="center"/>
    </xf>
    <xf numFmtId="166" fontId="5" fillId="2" borderId="1" xfId="1" applyNumberFormat="1" applyFont="1" applyFill="1" applyBorder="1" applyAlignment="1" applyProtection="1">
      <alignment horizontal="left"/>
      <protection locked="0"/>
    </xf>
    <xf numFmtId="166" fontId="23" fillId="8" borderId="1" xfId="1" applyNumberFormat="1" applyFont="1" applyFill="1" applyBorder="1" applyAlignment="1">
      <alignment horizontal="center"/>
    </xf>
    <xf numFmtId="164" fontId="31" fillId="0" borderId="6" xfId="1" applyNumberFormat="1" applyFont="1" applyBorder="1" applyAlignment="1" applyProtection="1">
      <alignment horizontal="center"/>
      <protection locked="0"/>
    </xf>
    <xf numFmtId="164" fontId="31" fillId="0" borderId="5" xfId="1" applyNumberFormat="1" applyFont="1" applyBorder="1" applyAlignment="1" applyProtection="1">
      <alignment horizontal="center"/>
      <protection locked="0"/>
    </xf>
    <xf numFmtId="2" fontId="31" fillId="0" borderId="6" xfId="1" applyNumberFormat="1" applyFont="1" applyBorder="1" applyAlignment="1">
      <alignment horizontal="center" vertical="center"/>
    </xf>
    <xf numFmtId="2" fontId="31" fillId="0" borderId="5" xfId="1" applyNumberFormat="1" applyFont="1" applyBorder="1" applyAlignment="1">
      <alignment horizontal="center" vertical="center"/>
    </xf>
    <xf numFmtId="0" fontId="10" fillId="6" borderId="1" xfId="1" applyFont="1" applyFill="1" applyBorder="1" applyAlignment="1" applyProtection="1">
      <alignment horizontal="center"/>
      <protection locked="0"/>
    </xf>
    <xf numFmtId="0" fontId="10" fillId="5" borderId="1" xfId="1" applyFont="1" applyFill="1" applyBorder="1" applyAlignment="1" applyProtection="1">
      <alignment horizontal="center"/>
      <protection locked="0"/>
    </xf>
    <xf numFmtId="0" fontId="5" fillId="0" borderId="6" xfId="1" applyFont="1" applyBorder="1" applyAlignment="1">
      <alignment horizontal="center"/>
    </xf>
    <xf numFmtId="0" fontId="5" fillId="0" borderId="7" xfId="1" applyFont="1" applyBorder="1" applyAlignment="1">
      <alignment horizontal="center"/>
    </xf>
    <xf numFmtId="0" fontId="5" fillId="0" borderId="5" xfId="1" applyFont="1" applyBorder="1" applyAlignment="1">
      <alignment horizontal="center"/>
    </xf>
    <xf numFmtId="166" fontId="32" fillId="0" borderId="6" xfId="0" applyNumberFormat="1" applyFont="1" applyBorder="1" applyAlignment="1">
      <alignment horizontal="center"/>
    </xf>
    <xf numFmtId="166" fontId="32" fillId="0" borderId="5" xfId="0" applyNumberFormat="1" applyFont="1" applyBorder="1" applyAlignment="1">
      <alignment horizontal="center"/>
    </xf>
    <xf numFmtId="49" fontId="13" fillId="2" borderId="1" xfId="1" applyNumberFormat="1" applyFont="1" applyFill="1" applyBorder="1" applyAlignment="1" applyProtection="1">
      <alignment horizontal="left" vertical="center"/>
      <protection locked="0"/>
    </xf>
    <xf numFmtId="2" fontId="14" fillId="0" borderId="0" xfId="3" applyNumberFormat="1" applyAlignment="1"/>
    <xf numFmtId="165" fontId="2" fillId="2" borderId="6" xfId="1" applyNumberFormat="1" applyFont="1" applyFill="1" applyBorder="1" applyAlignment="1" applyProtection="1">
      <alignment horizontal="center"/>
      <protection locked="0"/>
    </xf>
    <xf numFmtId="165" fontId="2" fillId="2" borderId="7" xfId="1" applyNumberFormat="1" applyFont="1" applyFill="1" applyBorder="1" applyAlignment="1" applyProtection="1">
      <alignment horizontal="center"/>
      <protection locked="0"/>
    </xf>
    <xf numFmtId="165" fontId="2" fillId="2" borderId="5" xfId="1" applyNumberFormat="1" applyFont="1" applyFill="1" applyBorder="1" applyAlignment="1" applyProtection="1">
      <alignment horizontal="center"/>
      <protection locked="0"/>
    </xf>
    <xf numFmtId="2" fontId="5" fillId="0" borderId="6" xfId="1" applyNumberFormat="1" applyFont="1" applyBorder="1" applyAlignment="1" applyProtection="1">
      <alignment horizontal="center" vertical="center"/>
      <protection locked="0"/>
    </xf>
    <xf numFmtId="2" fontId="5" fillId="0" borderId="7" xfId="1" applyNumberFormat="1" applyFont="1" applyBorder="1" applyAlignment="1" applyProtection="1">
      <alignment horizontal="center" vertical="center"/>
      <protection locked="0"/>
    </xf>
    <xf numFmtId="2" fontId="5" fillId="0" borderId="5" xfId="1" applyNumberFormat="1" applyFont="1" applyBorder="1" applyAlignment="1" applyProtection="1">
      <alignment horizontal="center" vertical="center"/>
      <protection locked="0"/>
    </xf>
    <xf numFmtId="12" fontId="10" fillId="2" borderId="6" xfId="1" applyNumberFormat="1" applyFont="1" applyFill="1" applyBorder="1" applyAlignment="1" applyProtection="1">
      <alignment horizontal="center"/>
      <protection locked="0"/>
    </xf>
    <xf numFmtId="12" fontId="10" fillId="2" borderId="7" xfId="1" applyNumberFormat="1" applyFont="1" applyFill="1" applyBorder="1" applyAlignment="1" applyProtection="1">
      <alignment horizontal="center"/>
      <protection locked="0"/>
    </xf>
    <xf numFmtId="12" fontId="10" fillId="2" borderId="5" xfId="1" applyNumberFormat="1" applyFont="1" applyFill="1" applyBorder="1" applyAlignment="1" applyProtection="1">
      <alignment horizontal="center"/>
      <protection locked="0"/>
    </xf>
    <xf numFmtId="49" fontId="1" fillId="2" borderId="6" xfId="1" applyNumberFormat="1" applyFill="1" applyBorder="1" applyAlignment="1" applyProtection="1">
      <alignment horizontal="left" vertical="center"/>
      <protection locked="0"/>
    </xf>
    <xf numFmtId="49" fontId="1" fillId="2" borderId="7" xfId="1" applyNumberFormat="1" applyFill="1" applyBorder="1" applyAlignment="1" applyProtection="1">
      <alignment horizontal="left" vertical="center"/>
      <protection locked="0"/>
    </xf>
    <xf numFmtId="49" fontId="1" fillId="2" borderId="5" xfId="1" applyNumberFormat="1" applyFill="1" applyBorder="1" applyAlignment="1" applyProtection="1">
      <alignment horizontal="left" vertical="center"/>
      <protection locked="0"/>
    </xf>
    <xf numFmtId="0" fontId="3" fillId="6" borderId="1" xfId="1" applyFont="1" applyFill="1" applyBorder="1" applyAlignment="1" applyProtection="1">
      <alignment horizontal="center"/>
      <protection locked="0"/>
    </xf>
    <xf numFmtId="0" fontId="3" fillId="5" borderId="1" xfId="1" applyFont="1" applyFill="1" applyBorder="1" applyAlignment="1" applyProtection="1">
      <alignment horizontal="center"/>
      <protection locked="0"/>
    </xf>
    <xf numFmtId="49" fontId="2" fillId="0" borderId="5" xfId="1" applyNumberFormat="1" applyFont="1" applyBorder="1" applyAlignment="1" applyProtection="1">
      <alignment horizontal="left" vertical="top" wrapText="1"/>
      <protection locked="0"/>
    </xf>
    <xf numFmtId="49" fontId="15" fillId="2" borderId="6" xfId="1" applyNumberFormat="1" applyFont="1" applyFill="1" applyBorder="1" applyAlignment="1" applyProtection="1">
      <alignment horizontal="left" vertical="center"/>
      <protection locked="0"/>
    </xf>
    <xf numFmtId="49" fontId="15" fillId="2" borderId="7" xfId="1" applyNumberFormat="1" applyFont="1" applyFill="1" applyBorder="1" applyAlignment="1" applyProtection="1">
      <alignment horizontal="left" vertical="center"/>
      <protection locked="0"/>
    </xf>
    <xf numFmtId="49" fontId="15" fillId="2" borderId="5" xfId="1" applyNumberFormat="1" applyFont="1" applyFill="1" applyBorder="1" applyAlignment="1" applyProtection="1">
      <alignment horizontal="left" vertical="center"/>
      <protection locked="0"/>
    </xf>
    <xf numFmtId="2" fontId="2" fillId="5" borderId="1" xfId="1" applyNumberFormat="1" applyFont="1" applyFill="1" applyBorder="1" applyAlignment="1" applyProtection="1">
      <alignment horizontal="center"/>
      <protection locked="0"/>
    </xf>
    <xf numFmtId="0" fontId="11" fillId="2" borderId="6" xfId="1" applyFont="1" applyFill="1" applyBorder="1" applyAlignment="1" applyProtection="1">
      <alignment horizontal="center"/>
      <protection locked="0"/>
    </xf>
    <xf numFmtId="0" fontId="11" fillId="2" borderId="7" xfId="1" applyFont="1" applyFill="1" applyBorder="1" applyAlignment="1" applyProtection="1">
      <alignment horizontal="center"/>
      <protection locked="0"/>
    </xf>
    <xf numFmtId="0" fontId="11" fillId="2" borderId="5" xfId="1" applyFont="1" applyFill="1" applyBorder="1" applyAlignment="1" applyProtection="1">
      <alignment horizontal="center"/>
      <protection locked="0"/>
    </xf>
    <xf numFmtId="0" fontId="10" fillId="2" borderId="7" xfId="1" applyFont="1" applyFill="1" applyBorder="1" applyAlignment="1" applyProtection="1">
      <alignment horizontal="center" vertical="center"/>
      <protection locked="0"/>
    </xf>
    <xf numFmtId="0" fontId="10" fillId="2" borderId="5" xfId="1" applyFont="1" applyFill="1" applyBorder="1" applyAlignment="1" applyProtection="1">
      <alignment horizontal="center" vertical="center"/>
      <protection locked="0"/>
    </xf>
    <xf numFmtId="49" fontId="23" fillId="2" borderId="6" xfId="1" applyNumberFormat="1" applyFont="1" applyFill="1" applyBorder="1" applyAlignment="1" applyProtection="1">
      <alignment horizontal="center"/>
      <protection locked="0"/>
    </xf>
    <xf numFmtId="49" fontId="23" fillId="2" borderId="7" xfId="1" applyNumberFormat="1" applyFont="1" applyFill="1" applyBorder="1" applyAlignment="1" applyProtection="1">
      <alignment horizontal="center"/>
      <protection locked="0"/>
    </xf>
    <xf numFmtId="49" fontId="23" fillId="2" borderId="5" xfId="1" applyNumberFormat="1" applyFont="1" applyFill="1" applyBorder="1" applyAlignment="1" applyProtection="1">
      <alignment horizontal="center"/>
      <protection locked="0"/>
    </xf>
    <xf numFmtId="12" fontId="10" fillId="2" borderId="6" xfId="1" applyNumberFormat="1" applyFont="1" applyFill="1" applyBorder="1" applyAlignment="1" applyProtection="1">
      <alignment horizontal="center" vertical="center"/>
      <protection locked="0"/>
    </xf>
    <xf numFmtId="1" fontId="2" fillId="2" borderId="1" xfId="1" applyNumberFormat="1" applyFont="1" applyFill="1" applyBorder="1" applyAlignment="1">
      <alignment horizontal="center"/>
    </xf>
    <xf numFmtId="49" fontId="10" fillId="2" borderId="6" xfId="1" applyNumberFormat="1" applyFont="1" applyFill="1" applyBorder="1" applyAlignment="1" applyProtection="1">
      <alignment horizontal="center"/>
      <protection locked="0"/>
    </xf>
    <xf numFmtId="49" fontId="10" fillId="2" borderId="7" xfId="1" applyNumberFormat="1" applyFont="1" applyFill="1" applyBorder="1" applyAlignment="1" applyProtection="1">
      <alignment horizontal="center"/>
      <protection locked="0"/>
    </xf>
    <xf numFmtId="49" fontId="10" fillId="2" borderId="5" xfId="1" applyNumberFormat="1" applyFont="1" applyFill="1" applyBorder="1" applyAlignment="1" applyProtection="1">
      <alignment horizontal="center"/>
      <protection locked="0"/>
    </xf>
    <xf numFmtId="0" fontId="33" fillId="2" borderId="6" xfId="1" applyFont="1" applyFill="1" applyBorder="1" applyAlignment="1" applyProtection="1">
      <alignment horizontal="center"/>
      <protection locked="0"/>
    </xf>
    <xf numFmtId="0" fontId="33" fillId="2" borderId="7" xfId="1" applyFont="1" applyFill="1" applyBorder="1" applyAlignment="1" applyProtection="1">
      <alignment horizontal="center"/>
      <protection locked="0"/>
    </xf>
    <xf numFmtId="0" fontId="33" fillId="2" borderId="5" xfId="1" applyFont="1" applyFill="1" applyBorder="1" applyAlignment="1" applyProtection="1">
      <alignment horizontal="center"/>
      <protection locked="0"/>
    </xf>
    <xf numFmtId="14" fontId="10" fillId="0" borderId="6" xfId="1" applyNumberFormat="1" applyFont="1" applyBorder="1" applyAlignment="1" applyProtection="1">
      <alignment horizontal="center"/>
      <protection locked="0"/>
    </xf>
    <xf numFmtId="14" fontId="10" fillId="0" borderId="7" xfId="1" applyNumberFormat="1" applyFont="1" applyBorder="1" applyAlignment="1" applyProtection="1">
      <alignment horizontal="center"/>
      <protection locked="0"/>
    </xf>
    <xf numFmtId="14" fontId="10" fillId="0" borderId="5" xfId="1" applyNumberFormat="1" applyFont="1" applyBorder="1" applyAlignment="1" applyProtection="1">
      <alignment horizontal="center"/>
      <protection locked="0"/>
    </xf>
    <xf numFmtId="0" fontId="1" fillId="0" borderId="0" xfId="3" applyFont="1"/>
    <xf numFmtId="2" fontId="22" fillId="0" borderId="0" xfId="0" applyNumberFormat="1" applyFont="1" applyAlignment="1">
      <alignment horizontal="right" vertical="center"/>
    </xf>
    <xf numFmtId="0" fontId="10" fillId="0" borderId="6" xfId="1" applyFont="1" applyBorder="1" applyAlignment="1">
      <alignment horizontal="center"/>
    </xf>
    <xf numFmtId="0" fontId="10" fillId="0" borderId="7" xfId="1" applyFont="1" applyBorder="1" applyAlignment="1">
      <alignment horizontal="center"/>
    </xf>
    <xf numFmtId="0" fontId="10" fillId="0" borderId="5" xfId="1" applyFont="1" applyBorder="1" applyAlignment="1">
      <alignment horizontal="center"/>
    </xf>
    <xf numFmtId="49" fontId="10" fillId="0" borderId="1" xfId="1" applyNumberFormat="1" applyFont="1" applyBorder="1" applyProtection="1">
      <protection locked="0"/>
    </xf>
    <xf numFmtId="0" fontId="3" fillId="6" borderId="6" xfId="1" applyFont="1" applyFill="1" applyBorder="1" applyAlignment="1" applyProtection="1">
      <alignment horizontal="center"/>
      <protection locked="0"/>
    </xf>
    <xf numFmtId="0" fontId="3" fillId="6" borderId="5" xfId="1" applyFont="1" applyFill="1" applyBorder="1" applyAlignment="1" applyProtection="1">
      <alignment horizontal="center"/>
      <protection locked="0"/>
    </xf>
    <xf numFmtId="0" fontId="3" fillId="5" borderId="6" xfId="1" applyFont="1" applyFill="1" applyBorder="1" applyAlignment="1" applyProtection="1">
      <alignment horizontal="center"/>
      <protection locked="0"/>
    </xf>
    <xf numFmtId="0" fontId="3" fillId="5" borderId="5" xfId="1" applyFont="1" applyFill="1" applyBorder="1" applyAlignment="1" applyProtection="1">
      <alignment horizontal="center"/>
      <protection locked="0"/>
    </xf>
    <xf numFmtId="49" fontId="21" fillId="2" borderId="7" xfId="1" applyNumberFormat="1" applyFont="1" applyFill="1" applyBorder="1" applyAlignment="1" applyProtection="1">
      <alignment horizontal="left" vertical="center"/>
      <protection locked="0"/>
    </xf>
    <xf numFmtId="49" fontId="21" fillId="2" borderId="5" xfId="1" applyNumberFormat="1" applyFont="1" applyFill="1" applyBorder="1" applyAlignment="1" applyProtection="1">
      <alignment horizontal="left" vertical="center"/>
      <protection locked="0"/>
    </xf>
    <xf numFmtId="166" fontId="20" fillId="8" borderId="1" xfId="1" applyNumberFormat="1" applyFont="1" applyFill="1" applyBorder="1" applyAlignment="1">
      <alignment horizontal="center"/>
    </xf>
    <xf numFmtId="0" fontId="20" fillId="6" borderId="6" xfId="1" applyFont="1" applyFill="1" applyBorder="1" applyAlignment="1" applyProtection="1">
      <alignment horizontal="center"/>
      <protection locked="0"/>
    </xf>
    <xf numFmtId="0" fontId="20" fillId="6" borderId="5" xfId="1" applyFont="1" applyFill="1" applyBorder="1" applyAlignment="1" applyProtection="1">
      <alignment horizontal="center"/>
      <protection locked="0"/>
    </xf>
    <xf numFmtId="49" fontId="1" fillId="2" borderId="6" xfId="1" applyNumberFormat="1" applyFill="1" applyBorder="1" applyAlignment="1" applyProtection="1">
      <alignment horizontal="left" vertical="center" wrapText="1"/>
      <protection locked="0"/>
    </xf>
    <xf numFmtId="49" fontId="1" fillId="2" borderId="7" xfId="1" applyNumberFormat="1" applyFill="1" applyBorder="1" applyAlignment="1" applyProtection="1">
      <alignment horizontal="left" vertical="center" wrapText="1"/>
      <protection locked="0"/>
    </xf>
    <xf numFmtId="49" fontId="1" fillId="2" borderId="5" xfId="1" applyNumberFormat="1" applyFill="1" applyBorder="1" applyAlignment="1" applyProtection="1">
      <alignment horizontal="left" vertical="center" wrapText="1"/>
      <protection locked="0"/>
    </xf>
    <xf numFmtId="49" fontId="21" fillId="2" borderId="6" xfId="1" applyNumberFormat="1" applyFont="1" applyFill="1" applyBorder="1" applyAlignment="1" applyProtection="1">
      <alignment horizontal="left" vertical="center"/>
      <protection locked="0"/>
    </xf>
    <xf numFmtId="49" fontId="15" fillId="2" borderId="6" xfId="1" applyNumberFormat="1" applyFont="1" applyFill="1" applyBorder="1" applyAlignment="1" applyProtection="1">
      <alignment horizontal="center" vertical="center"/>
      <protection locked="0"/>
    </xf>
    <xf numFmtId="49" fontId="15" fillId="2" borderId="7" xfId="1" applyNumberFormat="1" applyFont="1" applyFill="1" applyBorder="1" applyAlignment="1" applyProtection="1">
      <alignment horizontal="center" vertical="center"/>
      <protection locked="0"/>
    </xf>
    <xf numFmtId="49" fontId="15" fillId="2" borderId="5" xfId="1" applyNumberFormat="1" applyFont="1" applyFill="1" applyBorder="1" applyAlignment="1" applyProtection="1">
      <alignment horizontal="center" vertical="center"/>
      <protection locked="0"/>
    </xf>
    <xf numFmtId="49" fontId="21" fillId="2" borderId="6" xfId="1" applyNumberFormat="1" applyFont="1" applyFill="1" applyBorder="1" applyAlignment="1" applyProtection="1">
      <alignment horizontal="center" vertical="center"/>
      <protection locked="0"/>
    </xf>
    <xf numFmtId="49" fontId="21" fillId="2" borderId="7" xfId="1" applyNumberFormat="1" applyFont="1" applyFill="1" applyBorder="1" applyAlignment="1" applyProtection="1">
      <alignment horizontal="center" vertical="center"/>
      <protection locked="0"/>
    </xf>
    <xf numFmtId="49" fontId="21" fillId="2" borderId="5" xfId="1" applyNumberFormat="1" applyFont="1" applyFill="1" applyBorder="1" applyAlignment="1" applyProtection="1">
      <alignment horizontal="center" vertical="center"/>
      <protection locked="0"/>
    </xf>
    <xf numFmtId="2" fontId="0" fillId="0" borderId="0" xfId="0" applyNumberFormat="1" applyFont="1"/>
    <xf numFmtId="0" fontId="0" fillId="0" borderId="0" xfId="0" applyFont="1"/>
    <xf numFmtId="2" fontId="34" fillId="0" borderId="0" xfId="0" applyNumberFormat="1" applyFont="1" applyAlignment="1">
      <alignment horizontal="center" vertical="center" wrapText="1"/>
    </xf>
    <xf numFmtId="0" fontId="0" fillId="0" borderId="0" xfId="0" applyAlignment="1"/>
    <xf numFmtId="0" fontId="3" fillId="0" borderId="0" xfId="0" applyFont="1" applyAlignment="1">
      <alignment horizontal="center" vertical="center"/>
    </xf>
    <xf numFmtId="14" fontId="20" fillId="0" borderId="0" xfId="0" applyNumberFormat="1" applyFont="1" applyAlignment="1"/>
    <xf numFmtId="2" fontId="0" fillId="0" borderId="0" xfId="0" applyNumberFormat="1" applyAlignment="1"/>
    <xf numFmtId="0" fontId="0" fillId="0" borderId="0" xfId="0" applyNumberFormat="1" applyAlignment="1"/>
    <xf numFmtId="166" fontId="0" fillId="0" borderId="0" xfId="0" applyNumberFormat="1"/>
    <xf numFmtId="0" fontId="1" fillId="0" borderId="0" xfId="0" applyFont="1" applyAlignment="1">
      <alignment horizontal="center" vertical="center" wrapText="1"/>
    </xf>
    <xf numFmtId="14" fontId="0" fillId="0" borderId="0" xfId="0" applyNumberFormat="1" applyAlignment="1">
      <alignment horizontal="center"/>
    </xf>
    <xf numFmtId="49" fontId="0" fillId="0" borderId="0" xfId="0" applyNumberFormat="1" applyAlignment="1">
      <alignment horizontal="left" wrapText="1"/>
    </xf>
    <xf numFmtId="0" fontId="0" fillId="0" borderId="0" xfId="0" applyAlignment="1">
      <alignment horizontal="left" wrapText="1"/>
    </xf>
    <xf numFmtId="0" fontId="3" fillId="0" borderId="0" xfId="3" applyFont="1" applyFill="1" applyAlignment="1">
      <alignment horizontal="center" vertical="center" wrapText="1"/>
    </xf>
    <xf numFmtId="14" fontId="14" fillId="0" borderId="0" xfId="3" applyNumberFormat="1" applyFill="1" applyAlignment="1"/>
    <xf numFmtId="0" fontId="14" fillId="0" borderId="0" xfId="3" applyFill="1"/>
    <xf numFmtId="0" fontId="2" fillId="0" borderId="0" xfId="1" applyFont="1" applyAlignment="1">
      <alignment horizontal="center"/>
    </xf>
    <xf numFmtId="49" fontId="2" fillId="0" borderId="0" xfId="1" applyNumberFormat="1" applyFont="1" applyAlignment="1" applyProtection="1">
      <alignment horizontal="center"/>
      <protection locked="0"/>
    </xf>
    <xf numFmtId="166" fontId="2" fillId="0" borderId="0" xfId="1" applyNumberFormat="1" applyFont="1" applyAlignment="1">
      <alignment horizontal="center"/>
    </xf>
    <xf numFmtId="12" fontId="2" fillId="0" borderId="0" xfId="1" applyNumberFormat="1" applyFont="1" applyAlignment="1">
      <alignment horizontal="center"/>
    </xf>
    <xf numFmtId="0" fontId="1" fillId="6" borderId="1" xfId="1" applyFill="1" applyBorder="1" applyAlignment="1" applyProtection="1">
      <alignment horizontal="left" vertical="center"/>
      <protection locked="0"/>
    </xf>
    <xf numFmtId="0" fontId="1" fillId="5" borderId="1" xfId="1" applyFill="1" applyBorder="1" applyAlignment="1" applyProtection="1">
      <alignment horizontal="left" vertical="center"/>
      <protection locked="0"/>
    </xf>
    <xf numFmtId="49" fontId="13" fillId="2" borderId="1" xfId="1" applyNumberFormat="1" applyFont="1" applyFill="1" applyBorder="1" applyAlignment="1" applyProtection="1">
      <alignment horizontal="left" wrapText="1"/>
      <protection locked="0"/>
    </xf>
    <xf numFmtId="164" fontId="3" fillId="0" borderId="1" xfId="1" quotePrefix="1" applyNumberFormat="1" applyFont="1" applyBorder="1" applyAlignment="1" applyProtection="1">
      <alignment horizontal="left" vertical="center"/>
      <protection locked="0"/>
    </xf>
    <xf numFmtId="2" fontId="3" fillId="0" borderId="1" xfId="1" applyNumberFormat="1" applyFont="1" applyBorder="1" applyAlignment="1">
      <alignment horizontal="left" vertical="center"/>
    </xf>
  </cellXfs>
  <cellStyles count="32">
    <cellStyle name="Comma" xfId="4" builtinId="3"/>
    <cellStyle name="Comma 3" xfId="11" xr:uid="{ED9380A5-58BE-48E1-B27B-9800851D2364}"/>
    <cellStyle name="Normal" xfId="0" builtinId="0"/>
    <cellStyle name="Normal 10 6" xfId="16" xr:uid="{96FEC603-2325-4664-8E66-9988B201ACD5}"/>
    <cellStyle name="Normal 10 9" xfId="8" xr:uid="{966B3062-D91E-43C8-A9D6-3DA5F406E6D3}"/>
    <cellStyle name="Normal 10 9 10" xfId="27" xr:uid="{AD9063CF-DFD5-4961-8EC8-7C15434C5880}"/>
    <cellStyle name="Normal 10 9 2" xfId="17" xr:uid="{842DE00A-7438-472D-AAD1-159E88950C76}"/>
    <cellStyle name="Normal 10 9 3" xfId="20" xr:uid="{01A88775-D75D-4923-9038-63A694A287E2}"/>
    <cellStyle name="Normal 10 9 7" xfId="23" xr:uid="{2FBB0A64-E35D-496E-A1CE-CC61DA7B8879}"/>
    <cellStyle name="Normal 12" xfId="14" xr:uid="{8A8D4657-F047-400D-8587-80B2AD0BF279}"/>
    <cellStyle name="Normal 15" xfId="5" xr:uid="{8C1BAF4B-1CC9-4AB5-BA9D-508BFEA30A9C}"/>
    <cellStyle name="Normal 163" xfId="7" xr:uid="{34C0D72E-AD5F-403C-8664-64124146F6D4}"/>
    <cellStyle name="Normal 163 2" xfId="13" xr:uid="{0F070C95-887B-46E7-AC13-EA084A2EACB1}"/>
    <cellStyle name="Normal 163 4 2" xfId="12" xr:uid="{F6042669-328F-4C67-AF5E-F31E7A8E0584}"/>
    <cellStyle name="Normal 163 5" xfId="15" xr:uid="{F74467B2-9F57-4A14-8C26-3816B5C6EB27}"/>
    <cellStyle name="Normal 163 72" xfId="31" xr:uid="{6144BDED-084C-4CEC-A448-92F6F71CCE57}"/>
    <cellStyle name="Normal 163 73" xfId="30" xr:uid="{9BC702ED-08F1-4292-B108-F102609D1914}"/>
    <cellStyle name="Normal 19" xfId="26" xr:uid="{DFB707C4-D9B1-4DC6-A9D9-E7F8356EF22A}"/>
    <cellStyle name="Normal 2" xfId="1" xr:uid="{51B7896C-E36F-490D-9C04-CC7BEB0C18A4}"/>
    <cellStyle name="Normal 21" xfId="6" xr:uid="{C370909A-18B8-426D-BC3A-11EF7DC663E0}"/>
    <cellStyle name="Normal 3" xfId="2" xr:uid="{1067C585-E053-4F15-BA17-81A17A3B2110}"/>
    <cellStyle name="Normal 4" xfId="3" xr:uid="{BBC5F93F-2F7A-4721-94BB-6C8FAC14880C}"/>
    <cellStyle name="Normal 8 9" xfId="9" xr:uid="{BE9C6A71-72C9-45BF-8B1D-E48C37790FF7}"/>
    <cellStyle name="Normal 8 9 10" xfId="28" xr:uid="{5CECFD9B-E1F4-4BE3-AA26-C209D1A00E08}"/>
    <cellStyle name="Normal 8 9 2" xfId="18" xr:uid="{751F1594-E952-4F11-8D27-FD6356EB086F}"/>
    <cellStyle name="Normal 8 9 3" xfId="21" xr:uid="{DCEE80F4-BAF1-4915-B2ED-9741BFFF4B00}"/>
    <cellStyle name="Normal 8 9 7" xfId="24" xr:uid="{BBF01126-8BE7-418E-A62C-4C977ECE4A7F}"/>
    <cellStyle name="Normal 9 9" xfId="10" xr:uid="{9FC0AD99-6FE4-439A-A492-097228E60E70}"/>
    <cellStyle name="Normal 9 9 10" xfId="29" xr:uid="{709F67EE-4B5D-4258-A1FE-A4D903518E07}"/>
    <cellStyle name="Normal 9 9 2" xfId="19" xr:uid="{340B04D2-E9D8-4A27-810B-0EA35FB03D12}"/>
    <cellStyle name="Normal 9 9 3" xfId="22" xr:uid="{1E47C35F-0C76-4C95-A19E-861D73550F8A}"/>
    <cellStyle name="Normal 9 9 7" xfId="25" xr:uid="{8E7A0384-6EB6-40FA-8EC3-2319FC545C3D}"/>
  </cellStyles>
  <dxfs count="1">
    <dxf>
      <font>
        <b/>
        <i val="0"/>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image" Target="../media/image10.emf"/><Relationship Id="rId7" Type="http://schemas.openxmlformats.org/officeDocument/2006/relationships/image" Target="../media/image6.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7.emf"/><Relationship Id="rId5" Type="http://schemas.openxmlformats.org/officeDocument/2006/relationships/image" Target="../media/image8.emf"/><Relationship Id="rId10" Type="http://schemas.openxmlformats.org/officeDocument/2006/relationships/image" Target="../media/image3.emf"/><Relationship Id="rId4" Type="http://schemas.openxmlformats.org/officeDocument/2006/relationships/image" Target="../media/image9.emf"/><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215900</xdr:colOff>
          <xdr:row>0</xdr:row>
          <xdr:rowOff>19050</xdr:rowOff>
        </xdr:from>
        <xdr:to>
          <xdr:col>7</xdr:col>
          <xdr:colOff>88900</xdr:colOff>
          <xdr:row>4</xdr:row>
          <xdr:rowOff>12700</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0</xdr:row>
      <xdr:rowOff>66675</xdr:rowOff>
    </xdr:from>
    <xdr:to>
      <xdr:col>3</xdr:col>
      <xdr:colOff>161925</xdr:colOff>
      <xdr:row>3</xdr:row>
      <xdr:rowOff>85725</xdr:rowOff>
    </xdr:to>
    <xdr:pic>
      <xdr:nvPicPr>
        <xdr:cNvPr id="24" name="Picture 3">
          <a:extLst>
            <a:ext uri="{FF2B5EF4-FFF2-40B4-BE49-F238E27FC236}">
              <a16:creationId xmlns:a16="http://schemas.microsoft.com/office/drawing/2014/main" id="{00000000-0008-0000-0000-00001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66675"/>
          <a:ext cx="6699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0</xdr:col>
      <xdr:colOff>0</xdr:colOff>
      <xdr:row>84</xdr:row>
      <xdr:rowOff>28575</xdr:rowOff>
    </xdr:from>
    <xdr:to>
      <xdr:col>3</xdr:col>
      <xdr:colOff>101600</xdr:colOff>
      <xdr:row>87</xdr:row>
      <xdr:rowOff>142875</xdr:rowOff>
    </xdr:to>
    <xdr:pic>
      <xdr:nvPicPr>
        <xdr:cNvPr id="46" name="Picture 4">
          <a:extLst>
            <a:ext uri="{FF2B5EF4-FFF2-40B4-BE49-F238E27FC236}">
              <a16:creationId xmlns:a16="http://schemas.microsoft.com/office/drawing/2014/main" id="{00000000-0008-0000-0000-00002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4131925"/>
          <a:ext cx="628650"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1</xdr:row>
          <xdr:rowOff>88900</xdr:rowOff>
        </xdr:from>
        <xdr:to>
          <xdr:col>15</xdr:col>
          <xdr:colOff>69850</xdr:colOff>
          <xdr:row>3</xdr:row>
          <xdr:rowOff>127000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5</xdr:row>
          <xdr:rowOff>31750</xdr:rowOff>
        </xdr:from>
        <xdr:to>
          <xdr:col>8</xdr:col>
          <xdr:colOff>133350</xdr:colOff>
          <xdr:row>7</xdr:row>
          <xdr:rowOff>69850</xdr:rowOff>
        </xdr:to>
        <xdr:sp macro="" textlink="">
          <xdr:nvSpPr>
            <xdr:cNvPr id="18434" name="CommandButton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171450</xdr:colOff>
          <xdr:row>5</xdr:row>
          <xdr:rowOff>63500</xdr:rowOff>
        </xdr:from>
        <xdr:to>
          <xdr:col>15</xdr:col>
          <xdr:colOff>63500</xdr:colOff>
          <xdr:row>7</xdr:row>
          <xdr:rowOff>101600</xdr:rowOff>
        </xdr:to>
        <xdr:sp macro="" textlink="">
          <xdr:nvSpPr>
            <xdr:cNvPr id="18435" name="CommandButton3"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374650</xdr:colOff>
          <xdr:row>9</xdr:row>
          <xdr:rowOff>19050</xdr:rowOff>
        </xdr:from>
        <xdr:to>
          <xdr:col>8</xdr:col>
          <xdr:colOff>139700</xdr:colOff>
          <xdr:row>11</xdr:row>
          <xdr:rowOff>57150</xdr:rowOff>
        </xdr:to>
        <xdr:sp macro="" textlink="">
          <xdr:nvSpPr>
            <xdr:cNvPr id="18436" name="CommandButton4"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406400</xdr:colOff>
          <xdr:row>13</xdr:row>
          <xdr:rowOff>12700</xdr:rowOff>
        </xdr:from>
        <xdr:to>
          <xdr:col>8</xdr:col>
          <xdr:colOff>133350</xdr:colOff>
          <xdr:row>15</xdr:row>
          <xdr:rowOff>50800</xdr:rowOff>
        </xdr:to>
        <xdr:sp macro="" textlink="">
          <xdr:nvSpPr>
            <xdr:cNvPr id="18437" name="CommandButton5" hidden="1">
              <a:extLst>
                <a:ext uri="{63B3BB69-23CF-44E3-9099-C40C66FF867C}">
                  <a14:compatExt spid="_x0000_s18437"/>
                </a:ext>
                <a:ext uri="{FF2B5EF4-FFF2-40B4-BE49-F238E27FC236}">
                  <a16:creationId xmlns:a16="http://schemas.microsoft.com/office/drawing/2014/main" id="{00000000-0008-0000-01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406400</xdr:colOff>
          <xdr:row>17</xdr:row>
          <xdr:rowOff>0</xdr:rowOff>
        </xdr:from>
        <xdr:to>
          <xdr:col>8</xdr:col>
          <xdr:colOff>152400</xdr:colOff>
          <xdr:row>19</xdr:row>
          <xdr:rowOff>38100</xdr:rowOff>
        </xdr:to>
        <xdr:sp macro="" textlink="">
          <xdr:nvSpPr>
            <xdr:cNvPr id="18438" name="CommandButton6" hidden="1">
              <a:extLst>
                <a:ext uri="{63B3BB69-23CF-44E3-9099-C40C66FF867C}">
                  <a14:compatExt spid="_x0000_s18438"/>
                </a:ext>
                <a:ext uri="{FF2B5EF4-FFF2-40B4-BE49-F238E27FC236}">
                  <a16:creationId xmlns:a16="http://schemas.microsoft.com/office/drawing/2014/main" id="{00000000-0008-0000-01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9</xdr:row>
          <xdr:rowOff>76200</xdr:rowOff>
        </xdr:from>
        <xdr:to>
          <xdr:col>15</xdr:col>
          <xdr:colOff>57150</xdr:colOff>
          <xdr:row>11</xdr:row>
          <xdr:rowOff>114300</xdr:rowOff>
        </xdr:to>
        <xdr:sp macro="" textlink="">
          <xdr:nvSpPr>
            <xdr:cNvPr id="18448" name="CommandButton16" hidden="1">
              <a:extLst>
                <a:ext uri="{63B3BB69-23CF-44E3-9099-C40C66FF867C}">
                  <a14:compatExt spid="_x0000_s18448"/>
                </a:ext>
                <a:ext uri="{FF2B5EF4-FFF2-40B4-BE49-F238E27FC236}">
                  <a16:creationId xmlns:a16="http://schemas.microsoft.com/office/drawing/2014/main" id="{00000000-0008-0000-0100-000010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13</xdr:row>
          <xdr:rowOff>31750</xdr:rowOff>
        </xdr:from>
        <xdr:to>
          <xdr:col>15</xdr:col>
          <xdr:colOff>57150</xdr:colOff>
          <xdr:row>15</xdr:row>
          <xdr:rowOff>69850</xdr:rowOff>
        </xdr:to>
        <xdr:sp macro="" textlink="">
          <xdr:nvSpPr>
            <xdr:cNvPr id="18449" name="CommandButton17" hidden="1">
              <a:extLst>
                <a:ext uri="{63B3BB69-23CF-44E3-9099-C40C66FF867C}">
                  <a14:compatExt spid="_x0000_s18449"/>
                </a:ext>
                <a:ext uri="{FF2B5EF4-FFF2-40B4-BE49-F238E27FC236}">
                  <a16:creationId xmlns:a16="http://schemas.microsoft.com/office/drawing/2014/main" id="{00000000-0008-0000-0100-00001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184150</xdr:colOff>
          <xdr:row>16</xdr:row>
          <xdr:rowOff>171450</xdr:rowOff>
        </xdr:from>
        <xdr:to>
          <xdr:col>15</xdr:col>
          <xdr:colOff>57150</xdr:colOff>
          <xdr:row>19</xdr:row>
          <xdr:rowOff>50800</xdr:rowOff>
        </xdr:to>
        <xdr:sp macro="" textlink="">
          <xdr:nvSpPr>
            <xdr:cNvPr id="18450" name="CommandButton18" hidden="1">
              <a:extLst>
                <a:ext uri="{63B3BB69-23CF-44E3-9099-C40C66FF867C}">
                  <a14:compatExt spid="_x0000_s18450"/>
                </a:ext>
                <a:ext uri="{FF2B5EF4-FFF2-40B4-BE49-F238E27FC236}">
                  <a16:creationId xmlns:a16="http://schemas.microsoft.com/office/drawing/2014/main" id="{00000000-0008-0000-0100-00001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57150</xdr:rowOff>
        </xdr:from>
        <xdr:to>
          <xdr:col>8</xdr:col>
          <xdr:colOff>146050</xdr:colOff>
          <xdr:row>3</xdr:row>
          <xdr:rowOff>95250</xdr:rowOff>
        </xdr:to>
        <xdr:sp macro="" textlink="">
          <xdr:nvSpPr>
            <xdr:cNvPr id="18452" name="CommandButton19" hidden="1">
              <a:extLst>
                <a:ext uri="{63B3BB69-23CF-44E3-9099-C40C66FF867C}">
                  <a14:compatExt spid="_x0000_s18452"/>
                </a:ext>
                <a:ext uri="{FF2B5EF4-FFF2-40B4-BE49-F238E27FC236}">
                  <a16:creationId xmlns:a16="http://schemas.microsoft.com/office/drawing/2014/main" id="{00000000-0008-0000-0100-00001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IFEDat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_sajjad/Desktop/Drilling%20data%20Analytics/Processed%20Data%20for%20Database/DDR%20data%20Well%20Adhi%20South-3_new%20&amp;%20modified.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_sajjad/Desktop/Drilling%20data%20Analytics/Processed%20Data%20for%20Database/DDR%20data%20Well%20Adhi%20South-3_new.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Dokumente%20und%20Einstellungen\Stefan%20Knehs\Eigene%20Dateien\Projects\Mehr%20Project\Vorlagen\BKH-2_Daily%20Wellsite%20Report_final%20vers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FE"/>
      <sheetName val="BenchMark"/>
      <sheetName val="CFData"/>
      <sheetName val="IFE1"/>
      <sheetName val="SQM"/>
      <sheetName val="Equipment Performance"/>
      <sheetName val="RDF"/>
      <sheetName val="Consumption Unit Conversion"/>
      <sheetName val="Sheet1"/>
      <sheetName val="Cost Control Worksheet"/>
      <sheetName val="Drop down lists"/>
      <sheetName val="Company Equipment"/>
    </sheetNames>
    <sheetDataSet>
      <sheetData sheetId="0" refreshError="1">
        <row r="1">
          <cell r="Z1" t="str">
            <v>Sawan-4</v>
          </cell>
          <cell r="AB1" t="str">
            <v>HoleSize1</v>
          </cell>
        </row>
        <row r="2">
          <cell r="AB2" t="str">
            <v>PipeOD1</v>
          </cell>
        </row>
        <row r="3">
          <cell r="B3" t="str">
            <v>Sawan-4</v>
          </cell>
          <cell r="C3" t="str">
            <v>LogoLine1</v>
          </cell>
          <cell r="D3">
            <v>0</v>
          </cell>
          <cell r="E3">
            <v>0</v>
          </cell>
          <cell r="X3" t="str">
            <v>OPERATOR</v>
          </cell>
          <cell r="Y3" t="str">
            <v>B6</v>
          </cell>
          <cell r="Z3" t="str">
            <v>OMV Pakistan</v>
          </cell>
          <cell r="AB3" t="str">
            <v>CritVel1</v>
          </cell>
          <cell r="AC3">
            <v>106</v>
          </cell>
          <cell r="AK3" t="str">
            <v>ProdStart3</v>
          </cell>
        </row>
        <row r="4">
          <cell r="Z4" t="str">
            <v>Sawan-4</v>
          </cell>
          <cell r="AB4" t="str">
            <v>AnnuVel1</v>
          </cell>
        </row>
        <row r="5">
          <cell r="Z5" t="str">
            <v>Sawan D&amp;P</v>
          </cell>
          <cell r="AB5" t="str">
            <v>Viscosity1</v>
          </cell>
        </row>
        <row r="6">
          <cell r="Z6" t="str">
            <v>Development</v>
          </cell>
          <cell r="AB6" t="str">
            <v>AnnuPress1</v>
          </cell>
        </row>
        <row r="7">
          <cell r="Z7" t="str">
            <v>Khairpur</v>
          </cell>
          <cell r="AB7" t="str">
            <v>HoleSize2</v>
          </cell>
        </row>
        <row r="8">
          <cell r="Z8" t="str">
            <v>Karachi</v>
          </cell>
          <cell r="AB8" t="str">
            <v>PipeOD2</v>
          </cell>
        </row>
        <row r="9">
          <cell r="Z9" t="str">
            <v>Schlumberger Seaco</v>
          </cell>
          <cell r="AB9" t="str">
            <v>CritVel2</v>
          </cell>
        </row>
        <row r="10">
          <cell r="Z10">
            <v>2038</v>
          </cell>
          <cell r="AB10" t="str">
            <v>AnnuVel2</v>
          </cell>
        </row>
        <row r="11">
          <cell r="Z11">
            <v>2</v>
          </cell>
          <cell r="AB11" t="str">
            <v>Viscosity2</v>
          </cell>
        </row>
        <row r="12">
          <cell r="Z12">
            <v>2</v>
          </cell>
          <cell r="AB12" t="str">
            <v>AnnuPress2</v>
          </cell>
        </row>
        <row r="13">
          <cell r="Z13" t="str">
            <v>Sunday, May 26, 2002</v>
          </cell>
          <cell r="AB13" t="str">
            <v>HoleSize3</v>
          </cell>
        </row>
        <row r="14">
          <cell r="Z14">
            <v>40941</v>
          </cell>
          <cell r="AB14" t="str">
            <v>PipeOD3</v>
          </cell>
        </row>
        <row r="15">
          <cell r="Z15">
            <v>41552</v>
          </cell>
          <cell r="AB15" t="str">
            <v>CritVel3</v>
          </cell>
        </row>
        <row r="16">
          <cell r="Z16">
            <v>589454.97</v>
          </cell>
          <cell r="AB16" t="str">
            <v>AnnuVel3</v>
          </cell>
        </row>
        <row r="17">
          <cell r="Z17">
            <v>3455</v>
          </cell>
          <cell r="AB17" t="str">
            <v>Viscosity3</v>
          </cell>
        </row>
        <row r="18">
          <cell r="Z18">
            <v>3455</v>
          </cell>
          <cell r="AB18" t="str">
            <v>AnnuPress3</v>
          </cell>
        </row>
        <row r="19">
          <cell r="Z19">
            <v>220</v>
          </cell>
          <cell r="AB19" t="str">
            <v>HoleSize4</v>
          </cell>
        </row>
        <row r="20">
          <cell r="Z20">
            <v>37</v>
          </cell>
          <cell r="AB20" t="str">
            <v>PipeOD4</v>
          </cell>
        </row>
        <row r="328">
          <cell r="A328" t="str">
            <v>19.VOLUME BALANCE</v>
          </cell>
        </row>
        <row r="344">
          <cell r="A344" t="str">
            <v>20.ADDITIONAL DAILY MUD PROPERTIES</v>
          </cell>
        </row>
        <row r="388">
          <cell r="A388" t="str">
            <v>10.SOLIDS ANALYSIS DATA 2</v>
          </cell>
        </row>
        <row r="433">
          <cell r="A433" t="str">
            <v>34.Wmgt HO DAILY INFO</v>
          </cell>
        </row>
        <row r="499">
          <cell r="A499" t="str">
            <v>35.WASTE MANAGEMENT HAULOFF DETAIL</v>
          </cell>
        </row>
        <row r="523">
          <cell r="A523" t="str">
            <v>36. Disposal Transaction Extra Properties</v>
          </cell>
        </row>
        <row r="547">
          <cell r="A547" t="str">
            <v>14.SHAKER SCREEN ACCOUNTING</v>
          </cell>
        </row>
        <row r="580">
          <cell r="A580" t="str">
            <v>33.Wmgt DAILY INFORMATION</v>
          </cell>
        </row>
        <row r="823">
          <cell r="A823" t="str">
            <v>37.Wmgt Cutting Injection Daily Info</v>
          </cell>
        </row>
        <row r="854">
          <cell r="A854" t="str">
            <v>38.Wmgt Cuttings Injection Detail</v>
          </cell>
        </row>
        <row r="886">
          <cell r="A886" t="str">
            <v>39.Wmgt Product List</v>
          </cell>
        </row>
        <row r="918">
          <cell r="A918" t="str">
            <v>47.Wmgt Water Treatment</v>
          </cell>
        </row>
      </sheetData>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DR"/>
      <sheetName val="Processed data_1"/>
      <sheetName val="TBD"/>
      <sheetName val="Survey"/>
      <sheetName val="Sheet1"/>
      <sheetName val="NPT"/>
      <sheetName val="Drilling"/>
      <sheetName val="Tripping"/>
      <sheetName val="Casing"/>
      <sheetName val="BOP"/>
      <sheetName val="Wireline"/>
    </sheetNames>
    <sheetDataSet>
      <sheetData sheetId="0"/>
      <sheetData sheetId="1">
        <row r="1">
          <cell r="A1" t="str">
            <v>Date</v>
          </cell>
          <cell r="B1" t="str">
            <v>Days from spud</v>
          </cell>
          <cell r="C1" t="str">
            <v>Depth</v>
          </cell>
          <cell r="D1" t="str">
            <v>BHA</v>
          </cell>
          <cell r="E1" t="str">
            <v>24hrs Summary</v>
          </cell>
          <cell r="F1" t="str">
            <v>Next 24hrs Planned</v>
          </cell>
          <cell r="G1" t="str">
            <v>Meterage 24hrs</v>
          </cell>
          <cell r="H1" t="str">
            <v>Current Mud wt</v>
          </cell>
          <cell r="I1" t="str">
            <v>Last BOP P/T</v>
          </cell>
          <cell r="J1" t="str">
            <v>Well Cost (MMUD)</v>
          </cell>
          <cell r="K1" t="str">
            <v>Formation</v>
          </cell>
          <cell r="L1" t="str">
            <v>POB</v>
          </cell>
          <cell r="M1" t="str">
            <v>Surface casing (20")</v>
          </cell>
          <cell r="N1" t="str">
            <v>Inter Casing (13 3/8")</v>
          </cell>
          <cell r="O1" t="str">
            <v>Prod Casing (9 5/8")</v>
          </cell>
          <cell r="P1" t="str">
            <v>Prod Liner (7")</v>
          </cell>
          <cell r="Q1" t="str">
            <v>LTI free days</v>
          </cell>
          <cell r="R1" t="str">
            <v>Kick drill</v>
          </cell>
          <cell r="S1" t="str">
            <v>Fire Drill</v>
          </cell>
          <cell r="T1" t="str">
            <v>Medevac Drill</v>
          </cell>
          <cell r="U1" t="str">
            <v>Barite Stock (MT)</v>
          </cell>
          <cell r="V1" t="str">
            <v>Cement (MT)</v>
          </cell>
          <cell r="W1" t="str">
            <v>Water (bbl)</v>
          </cell>
          <cell r="X1" t="str">
            <v>Diesel Stock (Ltrs)</v>
          </cell>
          <cell r="Y1" t="str">
            <v>FV</v>
          </cell>
          <cell r="Z1" t="str">
            <v>PV</v>
          </cell>
          <cell r="AA1" t="str">
            <v>YP</v>
          </cell>
          <cell r="AB1" t="str">
            <v>6 RPM</v>
          </cell>
          <cell r="AC1" t="str">
            <v>3 RPM</v>
          </cell>
          <cell r="AD1" t="str">
            <v>Gel (10s)</v>
          </cell>
          <cell r="AE1" t="str">
            <v>Gel (10m)</v>
          </cell>
          <cell r="AF1" t="str">
            <v>API FL</v>
          </cell>
          <cell r="AG1" t="str">
            <v>MBT</v>
          </cell>
          <cell r="AH1" t="str">
            <v>LGS</v>
          </cell>
          <cell r="AI1" t="str">
            <v>Comments</v>
          </cell>
        </row>
        <row r="2">
          <cell r="A2"/>
          <cell r="I2"/>
          <cell r="R2"/>
          <cell r="S2"/>
          <cell r="T2"/>
        </row>
        <row r="3">
          <cell r="A3"/>
          <cell r="I3"/>
          <cell r="R3"/>
          <cell r="S3"/>
          <cell r="T3"/>
        </row>
        <row r="4">
          <cell r="A4"/>
          <cell r="I4"/>
          <cell r="R4"/>
          <cell r="S4"/>
          <cell r="T4"/>
        </row>
        <row r="5">
          <cell r="A5"/>
          <cell r="I5"/>
          <cell r="R5"/>
          <cell r="S5"/>
          <cell r="T5"/>
        </row>
        <row r="6">
          <cell r="A6"/>
          <cell r="I6"/>
          <cell r="R6"/>
          <cell r="S6"/>
          <cell r="T6"/>
        </row>
        <row r="7">
          <cell r="A7"/>
          <cell r="I7"/>
          <cell r="R7"/>
          <cell r="S7"/>
          <cell r="T7"/>
        </row>
        <row r="8">
          <cell r="A8"/>
          <cell r="I8"/>
          <cell r="R8"/>
          <cell r="S8"/>
          <cell r="T8"/>
        </row>
        <row r="9">
          <cell r="A9"/>
          <cell r="I9"/>
          <cell r="R9"/>
          <cell r="S9"/>
          <cell r="T9"/>
        </row>
        <row r="10">
          <cell r="A10"/>
          <cell r="I10"/>
          <cell r="R10"/>
          <cell r="S10"/>
          <cell r="T10"/>
        </row>
        <row r="11">
          <cell r="A11"/>
          <cell r="I11"/>
          <cell r="R11"/>
          <cell r="S11"/>
          <cell r="T11"/>
        </row>
        <row r="12">
          <cell r="A12"/>
          <cell r="I12"/>
          <cell r="R12"/>
          <cell r="S12"/>
          <cell r="T12"/>
        </row>
        <row r="13">
          <cell r="A13"/>
          <cell r="I13"/>
          <cell r="R13"/>
          <cell r="S13"/>
          <cell r="T13"/>
        </row>
        <row r="14">
          <cell r="A14"/>
          <cell r="I14"/>
          <cell r="R14"/>
          <cell r="S14"/>
          <cell r="T14"/>
        </row>
        <row r="15">
          <cell r="A15"/>
          <cell r="I15"/>
          <cell r="R15"/>
          <cell r="S15"/>
          <cell r="T15"/>
          <cell r="AI15"/>
        </row>
        <row r="16">
          <cell r="A16"/>
          <cell r="I16"/>
          <cell r="R16"/>
          <cell r="S16"/>
          <cell r="T16"/>
          <cell r="AI16"/>
        </row>
        <row r="17">
          <cell r="A17"/>
          <cell r="I17"/>
          <cell r="R17"/>
          <cell r="S17"/>
          <cell r="T17"/>
        </row>
        <row r="18">
          <cell r="A18"/>
          <cell r="I18"/>
          <cell r="R18"/>
          <cell r="S18"/>
          <cell r="T18"/>
        </row>
        <row r="19">
          <cell r="A19"/>
          <cell r="I19"/>
          <cell r="R19"/>
          <cell r="S19"/>
          <cell r="T19"/>
        </row>
        <row r="20">
          <cell r="A20"/>
          <cell r="I20"/>
          <cell r="R20"/>
          <cell r="S20"/>
          <cell r="T20"/>
        </row>
        <row r="21">
          <cell r="A21"/>
          <cell r="I21"/>
          <cell r="R21"/>
          <cell r="S21"/>
          <cell r="T21"/>
        </row>
        <row r="22">
          <cell r="A22"/>
          <cell r="I22"/>
          <cell r="R22"/>
          <cell r="S22"/>
          <cell r="T22"/>
        </row>
        <row r="23">
          <cell r="A23"/>
          <cell r="I23"/>
          <cell r="R23"/>
          <cell r="S23"/>
          <cell r="T23"/>
        </row>
        <row r="24">
          <cell r="A24"/>
          <cell r="I24"/>
          <cell r="R24"/>
          <cell r="S24"/>
          <cell r="T24"/>
        </row>
        <row r="25">
          <cell r="A25"/>
          <cell r="I25"/>
          <cell r="R25"/>
          <cell r="S25"/>
          <cell r="T25"/>
        </row>
        <row r="26">
          <cell r="A26"/>
          <cell r="I26"/>
          <cell r="R26"/>
          <cell r="S26"/>
          <cell r="T26"/>
        </row>
        <row r="27">
          <cell r="A27"/>
          <cell r="I27"/>
          <cell r="R27"/>
          <cell r="S27"/>
          <cell r="T27"/>
        </row>
        <row r="28">
          <cell r="A28"/>
          <cell r="I28"/>
          <cell r="R28"/>
          <cell r="S28"/>
          <cell r="T28"/>
        </row>
        <row r="29">
          <cell r="A29"/>
          <cell r="I29"/>
          <cell r="R29"/>
          <cell r="S29"/>
          <cell r="T29"/>
        </row>
        <row r="30">
          <cell r="A30"/>
          <cell r="I30"/>
          <cell r="R30"/>
          <cell r="S30"/>
          <cell r="T30"/>
        </row>
        <row r="31">
          <cell r="A31"/>
          <cell r="I31"/>
          <cell r="R31"/>
          <cell r="S31"/>
          <cell r="T31"/>
        </row>
        <row r="32">
          <cell r="A32"/>
          <cell r="I32"/>
          <cell r="R32"/>
          <cell r="S32"/>
          <cell r="T32"/>
        </row>
        <row r="33">
          <cell r="A33"/>
          <cell r="I33"/>
          <cell r="R33"/>
          <cell r="S33"/>
          <cell r="T33"/>
        </row>
        <row r="34">
          <cell r="A34"/>
          <cell r="I34"/>
          <cell r="R34"/>
          <cell r="S34"/>
          <cell r="T34"/>
        </row>
        <row r="35">
          <cell r="A35"/>
          <cell r="I35"/>
          <cell r="R35"/>
          <cell r="S35"/>
          <cell r="T35"/>
        </row>
        <row r="36">
          <cell r="A36"/>
          <cell r="I36"/>
          <cell r="R36"/>
          <cell r="S36"/>
          <cell r="T36"/>
        </row>
        <row r="37">
          <cell r="A37"/>
          <cell r="I37"/>
          <cell r="R37"/>
          <cell r="S37"/>
          <cell r="T37"/>
        </row>
        <row r="38">
          <cell r="A38"/>
          <cell r="I38"/>
          <cell r="R38"/>
          <cell r="S38"/>
          <cell r="T38"/>
        </row>
        <row r="39">
          <cell r="A39"/>
          <cell r="I39"/>
          <cell r="R39"/>
          <cell r="S39"/>
          <cell r="T39"/>
        </row>
        <row r="40">
          <cell r="A40"/>
          <cell r="I40"/>
          <cell r="R40"/>
          <cell r="S40"/>
          <cell r="T40"/>
        </row>
        <row r="41">
          <cell r="A41"/>
          <cell r="I41"/>
          <cell r="S41"/>
          <cell r="T41"/>
        </row>
        <row r="42">
          <cell r="A42"/>
          <cell r="I42"/>
          <cell r="S42"/>
          <cell r="T42"/>
        </row>
        <row r="43">
          <cell r="A43"/>
          <cell r="I43"/>
          <cell r="S43"/>
          <cell r="T43"/>
        </row>
        <row r="44">
          <cell r="A44"/>
          <cell r="I44"/>
          <cell r="S44"/>
          <cell r="T44"/>
        </row>
        <row r="45">
          <cell r="A45"/>
          <cell r="I45"/>
          <cell r="S45"/>
          <cell r="T45"/>
        </row>
        <row r="46">
          <cell r="A46"/>
          <cell r="S46"/>
          <cell r="T46"/>
        </row>
        <row r="47">
          <cell r="A47"/>
          <cell r="S47"/>
          <cell r="T47"/>
        </row>
        <row r="48">
          <cell r="A48"/>
          <cell r="S48"/>
          <cell r="T48"/>
        </row>
        <row r="49">
          <cell r="A49"/>
          <cell r="S49"/>
          <cell r="T49"/>
        </row>
        <row r="50">
          <cell r="A50"/>
          <cell r="S50"/>
          <cell r="T50"/>
        </row>
        <row r="51">
          <cell r="A51"/>
          <cell r="S51"/>
          <cell r="T51"/>
        </row>
        <row r="52">
          <cell r="A52"/>
          <cell r="S52"/>
          <cell r="T52"/>
        </row>
        <row r="53">
          <cell r="A53"/>
          <cell r="S53"/>
          <cell r="T53"/>
        </row>
        <row r="54">
          <cell r="A54"/>
          <cell r="S54"/>
          <cell r="T54"/>
        </row>
      </sheetData>
      <sheetData sheetId="2">
        <row r="1">
          <cell r="A1" t="str">
            <v>Date</v>
          </cell>
          <cell r="B1" t="str">
            <v>Hole Section (in)</v>
          </cell>
          <cell r="C1" t="str">
            <v>Productive Time</v>
          </cell>
          <cell r="D1" t="str">
            <v>Non-Productive Time</v>
          </cell>
          <cell r="E1" t="str">
            <v>BOP/WH/HP system</v>
          </cell>
          <cell r="F1" t="str">
            <v>Casing Run</v>
          </cell>
          <cell r="G1" t="str">
            <v>Condition Run</v>
          </cell>
          <cell r="H1" t="str">
            <v>Completion</v>
          </cell>
          <cell r="I1" t="str">
            <v>Coring Run</v>
          </cell>
          <cell r="J1" t="str">
            <v>Drilling Run</v>
          </cell>
          <cell r="K1" t="str">
            <v xml:space="preserve">Equipment Run </v>
          </cell>
          <cell r="L1" t="str">
            <v>Evaluation Run</v>
          </cell>
          <cell r="M1" t="str">
            <v>Fishing Run</v>
          </cell>
          <cell r="N1" t="str">
            <v>Formation Treatment Run</v>
          </cell>
          <cell r="O1" t="str">
            <v>HSE</v>
          </cell>
          <cell r="P1" t="str">
            <v>Logging Run</v>
          </cell>
          <cell r="Q1" t="str">
            <v>Milling Run</v>
          </cell>
          <cell r="R1" t="str">
            <v>Other</v>
          </cell>
          <cell r="S1" t="str">
            <v>Well Control</v>
          </cell>
          <cell r="T1" t="str">
            <v>Perforation Run</v>
          </cell>
          <cell r="U1" t="str">
            <v>Rig Repair</v>
          </cell>
          <cell r="V1" t="str">
            <v>Supsension</v>
          </cell>
          <cell r="W1" t="str">
            <v>Cementing Run</v>
          </cell>
          <cell r="X1" t="str">
            <v>Survey</v>
          </cell>
          <cell r="Y1" t="str">
            <v>Testing</v>
          </cell>
          <cell r="Z1" t="str">
            <v>Wait on Cement</v>
          </cell>
          <cell r="AA1" t="str">
            <v>Wait on Equipment</v>
          </cell>
          <cell r="AB1" t="str">
            <v>Wait on Order</v>
          </cell>
          <cell r="AC1" t="str">
            <v>Wait on Weather</v>
          </cell>
          <cell r="AD1" t="str">
            <v>Work Surface</v>
          </cell>
        </row>
        <row r="2">
          <cell r="A2"/>
        </row>
        <row r="3">
          <cell r="A3"/>
        </row>
        <row r="4">
          <cell r="A4"/>
        </row>
        <row r="5">
          <cell r="A5"/>
        </row>
        <row r="6">
          <cell r="A6"/>
        </row>
        <row r="7">
          <cell r="A7"/>
        </row>
        <row r="8">
          <cell r="A8"/>
        </row>
        <row r="9">
          <cell r="A9"/>
        </row>
        <row r="10">
          <cell r="A10"/>
        </row>
        <row r="11">
          <cell r="A11"/>
        </row>
        <row r="12">
          <cell r="A12"/>
        </row>
        <row r="13">
          <cell r="A13"/>
        </row>
        <row r="14">
          <cell r="A14"/>
        </row>
        <row r="15">
          <cell r="A15"/>
        </row>
        <row r="16">
          <cell r="A16"/>
        </row>
        <row r="17">
          <cell r="A17"/>
        </row>
        <row r="18">
          <cell r="A18"/>
        </row>
        <row r="19">
          <cell r="A19"/>
        </row>
        <row r="20">
          <cell r="A20"/>
        </row>
        <row r="21">
          <cell r="A21"/>
        </row>
        <row r="22">
          <cell r="A22"/>
        </row>
        <row r="23">
          <cell r="A23"/>
        </row>
        <row r="24">
          <cell r="A24"/>
        </row>
        <row r="25">
          <cell r="A25"/>
        </row>
        <row r="26">
          <cell r="A26"/>
        </row>
        <row r="27">
          <cell r="A27"/>
        </row>
        <row r="28">
          <cell r="A28"/>
        </row>
        <row r="29">
          <cell r="A29"/>
        </row>
        <row r="30">
          <cell r="A30"/>
        </row>
        <row r="31">
          <cell r="A31"/>
        </row>
        <row r="32">
          <cell r="A32"/>
        </row>
        <row r="33">
          <cell r="A33"/>
        </row>
        <row r="34">
          <cell r="A34"/>
        </row>
        <row r="35">
          <cell r="A35"/>
        </row>
        <row r="36">
          <cell r="A36"/>
        </row>
        <row r="37">
          <cell r="A37"/>
        </row>
        <row r="38">
          <cell r="A38"/>
        </row>
        <row r="39">
          <cell r="A39"/>
        </row>
        <row r="40">
          <cell r="A40"/>
        </row>
        <row r="41">
          <cell r="A41"/>
        </row>
        <row r="42">
          <cell r="A42"/>
        </row>
        <row r="43">
          <cell r="A43"/>
        </row>
        <row r="44">
          <cell r="A44"/>
        </row>
        <row r="45">
          <cell r="A45"/>
        </row>
        <row r="46">
          <cell r="A46"/>
        </row>
        <row r="47">
          <cell r="A47"/>
        </row>
        <row r="48">
          <cell r="A48"/>
        </row>
        <row r="49">
          <cell r="A49"/>
        </row>
        <row r="50">
          <cell r="A50"/>
        </row>
        <row r="51">
          <cell r="A51"/>
        </row>
        <row r="52">
          <cell r="A52"/>
        </row>
        <row r="53">
          <cell r="A53"/>
        </row>
        <row r="54">
          <cell r="A54"/>
        </row>
      </sheetData>
      <sheetData sheetId="3"/>
      <sheetData sheetId="4"/>
      <sheetData sheetId="5"/>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DR"/>
      <sheetName val="Processed data_1"/>
      <sheetName val="TBD"/>
      <sheetName val="Survey"/>
      <sheetName val="NPT"/>
      <sheetName val="Tripping"/>
      <sheetName val="Casing"/>
      <sheetName val="BOP"/>
      <sheetName val="Wireline"/>
      <sheetName val="Fishing"/>
    </sheetNames>
    <sheetDataSet>
      <sheetData sheetId="0"/>
      <sheetData sheetId="1"/>
      <sheetData sheetId="2">
        <row r="1">
          <cell r="A1" t="str">
            <v>Date</v>
          </cell>
          <cell r="B1" t="str">
            <v>Hole Section (in)</v>
          </cell>
          <cell r="C1" t="str">
            <v>Productive Time</v>
          </cell>
          <cell r="D1" t="str">
            <v>Non-Productive Time</v>
          </cell>
          <cell r="E1" t="str">
            <v>BOP/WH/HP system</v>
          </cell>
          <cell r="F1" t="str">
            <v>Casing Run</v>
          </cell>
          <cell r="G1" t="str">
            <v>Condition Run</v>
          </cell>
          <cell r="H1" t="str">
            <v>Completion</v>
          </cell>
          <cell r="I1" t="str">
            <v>Coring Run</v>
          </cell>
          <cell r="J1" t="str">
            <v>Drilling Run</v>
          </cell>
          <cell r="K1" t="str">
            <v xml:space="preserve">Equipment Run </v>
          </cell>
          <cell r="L1" t="str">
            <v>Evaluation Run</v>
          </cell>
          <cell r="M1" t="str">
            <v>Fishing Run</v>
          </cell>
          <cell r="N1" t="str">
            <v>Formation Treatment Run</v>
          </cell>
          <cell r="O1" t="str">
            <v>HSE</v>
          </cell>
          <cell r="P1" t="str">
            <v>Logging Run</v>
          </cell>
          <cell r="Q1" t="str">
            <v>Milling Run</v>
          </cell>
          <cell r="R1" t="str">
            <v>Other</v>
          </cell>
          <cell r="S1" t="str">
            <v>Well Control</v>
          </cell>
          <cell r="T1" t="str">
            <v>Perforation Run</v>
          </cell>
          <cell r="U1" t="str">
            <v>Rig Repair</v>
          </cell>
          <cell r="V1" t="str">
            <v>Supsension</v>
          </cell>
          <cell r="W1" t="str">
            <v>Cementing Run</v>
          </cell>
          <cell r="X1" t="str">
            <v>Survey</v>
          </cell>
          <cell r="Y1" t="str">
            <v>Testing</v>
          </cell>
          <cell r="Z1" t="str">
            <v>Wait on Cement</v>
          </cell>
          <cell r="AA1" t="str">
            <v>Wait on Equipment</v>
          </cell>
          <cell r="AB1" t="str">
            <v>Wait on Order</v>
          </cell>
          <cell r="AC1" t="str">
            <v>Wait on Weather</v>
          </cell>
          <cell r="AD1" t="str">
            <v>Work Surface</v>
          </cell>
        </row>
        <row r="2">
          <cell r="A2"/>
        </row>
        <row r="3">
          <cell r="A3"/>
        </row>
        <row r="4">
          <cell r="A4"/>
        </row>
        <row r="5">
          <cell r="A5"/>
        </row>
        <row r="6">
          <cell r="A6"/>
        </row>
        <row r="7">
          <cell r="A7"/>
        </row>
        <row r="8">
          <cell r="A8"/>
        </row>
        <row r="9">
          <cell r="A9"/>
        </row>
        <row r="10">
          <cell r="A10"/>
        </row>
        <row r="11">
          <cell r="A11"/>
        </row>
        <row r="12">
          <cell r="A12"/>
        </row>
        <row r="13">
          <cell r="A13"/>
        </row>
        <row r="14">
          <cell r="A14"/>
        </row>
        <row r="15">
          <cell r="A15"/>
        </row>
        <row r="16">
          <cell r="A16"/>
        </row>
        <row r="17">
          <cell r="A17"/>
        </row>
        <row r="18">
          <cell r="A18"/>
        </row>
        <row r="19">
          <cell r="A19"/>
        </row>
        <row r="20">
          <cell r="A20"/>
        </row>
        <row r="21">
          <cell r="A21"/>
        </row>
        <row r="22">
          <cell r="A22"/>
        </row>
        <row r="23">
          <cell r="A23"/>
        </row>
        <row r="24">
          <cell r="A24"/>
        </row>
        <row r="25">
          <cell r="A25"/>
        </row>
        <row r="26">
          <cell r="A26"/>
        </row>
        <row r="27">
          <cell r="A27"/>
        </row>
        <row r="28">
          <cell r="A28"/>
        </row>
        <row r="29">
          <cell r="A29"/>
        </row>
        <row r="30">
          <cell r="A30"/>
        </row>
        <row r="31">
          <cell r="A31"/>
        </row>
        <row r="32">
          <cell r="A32"/>
        </row>
        <row r="33">
          <cell r="A33"/>
        </row>
        <row r="34">
          <cell r="A34"/>
        </row>
        <row r="35">
          <cell r="A35"/>
        </row>
        <row r="36">
          <cell r="A36"/>
        </row>
        <row r="37">
          <cell r="A37"/>
        </row>
        <row r="38">
          <cell r="A38"/>
        </row>
        <row r="39">
          <cell r="A39"/>
        </row>
        <row r="40">
          <cell r="A40"/>
        </row>
        <row r="41">
          <cell r="A41"/>
        </row>
        <row r="42">
          <cell r="A42"/>
        </row>
        <row r="43">
          <cell r="A43"/>
        </row>
        <row r="44">
          <cell r="A44"/>
        </row>
        <row r="45">
          <cell r="A45"/>
        </row>
        <row r="46">
          <cell r="A46"/>
        </row>
        <row r="47">
          <cell r="A47"/>
        </row>
        <row r="48">
          <cell r="A48"/>
        </row>
        <row r="49">
          <cell r="A49"/>
        </row>
        <row r="50">
          <cell r="A50"/>
        </row>
        <row r="51">
          <cell r="A51"/>
        </row>
        <row r="52">
          <cell r="A52"/>
        </row>
        <row r="53">
          <cell r="A53"/>
        </row>
        <row r="54">
          <cell r="A54"/>
        </row>
      </sheetData>
      <sheetData sheetId="3">
        <row r="1">
          <cell r="A1" t="str">
            <v>Survey MD</v>
          </cell>
          <cell r="B1" t="str">
            <v xml:space="preserve"> Survey TVD</v>
          </cell>
          <cell r="C1" t="str">
            <v>Survey Incl</v>
          </cell>
          <cell r="D1" t="str">
            <v>Survey Azi</v>
          </cell>
          <cell r="E1" t="str">
            <v>Survey type</v>
          </cell>
        </row>
      </sheetData>
      <sheetData sheetId="4">
        <row r="1">
          <cell r="A1" t="str">
            <v>Date</v>
          </cell>
          <cell r="B1" t="str">
            <v>Hole Section (in)</v>
          </cell>
          <cell r="C1" t="str">
            <v>Non-Productive Time Duration (hrs)</v>
          </cell>
          <cell r="D1" t="str">
            <v>Depth (m)</v>
          </cell>
          <cell r="E1" t="str">
            <v>Services/ Ops NPT</v>
          </cell>
          <cell r="F1" t="str">
            <v>Code Details</v>
          </cell>
          <cell r="G1" t="str">
            <v>NPT Details</v>
          </cell>
        </row>
        <row r="2">
          <cell r="A2"/>
        </row>
        <row r="3">
          <cell r="A3"/>
        </row>
        <row r="4">
          <cell r="A4"/>
        </row>
        <row r="5">
          <cell r="A5"/>
        </row>
        <row r="6">
          <cell r="A6"/>
        </row>
        <row r="7">
          <cell r="A7"/>
        </row>
        <row r="8">
          <cell r="A8"/>
        </row>
        <row r="9">
          <cell r="A9"/>
        </row>
        <row r="10">
          <cell r="A10"/>
        </row>
        <row r="11">
          <cell r="A11"/>
        </row>
        <row r="12">
          <cell r="A12"/>
        </row>
        <row r="13">
          <cell r="A13"/>
        </row>
        <row r="14">
          <cell r="A14"/>
        </row>
        <row r="15">
          <cell r="A15"/>
        </row>
        <row r="16">
          <cell r="A16"/>
        </row>
        <row r="17">
          <cell r="A17"/>
        </row>
        <row r="18">
          <cell r="A18"/>
        </row>
        <row r="19">
          <cell r="A19"/>
        </row>
        <row r="20">
          <cell r="A20"/>
        </row>
        <row r="21">
          <cell r="A21"/>
        </row>
        <row r="22">
          <cell r="A22"/>
        </row>
        <row r="23">
          <cell r="A23"/>
        </row>
        <row r="24">
          <cell r="A24"/>
        </row>
        <row r="25">
          <cell r="A25"/>
        </row>
        <row r="26">
          <cell r="A26"/>
        </row>
        <row r="27">
          <cell r="A27"/>
        </row>
        <row r="28">
          <cell r="A28"/>
        </row>
        <row r="29">
          <cell r="A29"/>
        </row>
        <row r="30">
          <cell r="A30"/>
        </row>
        <row r="31">
          <cell r="A31"/>
        </row>
        <row r="32">
          <cell r="A32"/>
        </row>
        <row r="33">
          <cell r="A33"/>
        </row>
        <row r="34">
          <cell r="A34"/>
        </row>
        <row r="35">
          <cell r="A35"/>
        </row>
        <row r="36">
          <cell r="A36"/>
        </row>
        <row r="37">
          <cell r="A37"/>
        </row>
        <row r="38">
          <cell r="A38"/>
        </row>
        <row r="39">
          <cell r="A39"/>
        </row>
        <row r="40">
          <cell r="A40"/>
        </row>
        <row r="41">
          <cell r="A41"/>
        </row>
        <row r="42">
          <cell r="A42"/>
        </row>
        <row r="43">
          <cell r="A43"/>
        </row>
        <row r="44">
          <cell r="A44"/>
        </row>
        <row r="45">
          <cell r="A45"/>
        </row>
        <row r="46">
          <cell r="A46"/>
        </row>
        <row r="47">
          <cell r="A47"/>
        </row>
        <row r="48">
          <cell r="A48"/>
        </row>
        <row r="49">
          <cell r="A49"/>
        </row>
        <row r="50">
          <cell r="A50"/>
        </row>
        <row r="51">
          <cell r="A51"/>
        </row>
        <row r="52">
          <cell r="A52"/>
        </row>
        <row r="53">
          <cell r="A53"/>
        </row>
        <row r="54">
          <cell r="A54"/>
        </row>
      </sheetData>
      <sheetData sheetId="5"/>
      <sheetData sheetId="6"/>
      <sheetData sheetId="7"/>
      <sheetData sheetId="8"/>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ily_REP"/>
      <sheetName val="Cost Summary"/>
      <sheetName val="Cost Control Worksheet"/>
      <sheetName val="Matrl_REP"/>
      <sheetName val="Tabelle2"/>
      <sheetName val="Tabelle3"/>
      <sheetName val="Tabelle4"/>
    </sheetNames>
    <sheetDataSet>
      <sheetData sheetId="0" refreshError="1"/>
      <sheetData sheetId="1" refreshError="1"/>
      <sheetData sheetId="2">
        <row r="6">
          <cell r="DE6">
            <v>0</v>
          </cell>
        </row>
        <row r="10">
          <cell r="DE10">
            <v>0</v>
          </cell>
        </row>
      </sheetData>
      <sheetData sheetId="3"/>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3" Type="http://schemas.openxmlformats.org/officeDocument/2006/relationships/control" Target="../activeX/activeX2.xml"/><Relationship Id="rId21" Type="http://schemas.openxmlformats.org/officeDocument/2006/relationships/control" Target="../activeX/activeX11.xml"/><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 Type="http://schemas.openxmlformats.org/officeDocument/2006/relationships/vmlDrawing" Target="../drawings/vmlDrawing2.vml"/><Relationship Id="rId16" Type="http://schemas.openxmlformats.org/officeDocument/2006/relationships/image" Target="../media/image9.emf"/><Relationship Id="rId20" Type="http://schemas.openxmlformats.org/officeDocument/2006/relationships/image" Target="../media/image11.emf"/><Relationship Id="rId1" Type="http://schemas.openxmlformats.org/officeDocument/2006/relationships/drawing" Target="../drawings/drawing2.xml"/><Relationship Id="rId6" Type="http://schemas.openxmlformats.org/officeDocument/2006/relationships/image" Target="../media/image4.emf"/><Relationship Id="rId11" Type="http://schemas.openxmlformats.org/officeDocument/2006/relationships/control" Target="../activeX/activeX6.xml"/><Relationship Id="rId5" Type="http://schemas.openxmlformats.org/officeDocument/2006/relationships/control" Target="../activeX/activeX3.xml"/><Relationship Id="rId15" Type="http://schemas.openxmlformats.org/officeDocument/2006/relationships/control" Target="../activeX/activeX8.xml"/><Relationship Id="rId10" Type="http://schemas.openxmlformats.org/officeDocument/2006/relationships/image" Target="../media/image6.emf"/><Relationship Id="rId19" Type="http://schemas.openxmlformats.org/officeDocument/2006/relationships/control" Target="../activeX/activeX10.xml"/><Relationship Id="rId4" Type="http://schemas.openxmlformats.org/officeDocument/2006/relationships/image" Target="../media/image3.emf"/><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D1C79-D6A3-4A3F-8E51-33455F6559A3}">
  <sheetPr codeName="Sheet1">
    <tabColor theme="9" tint="0.39997558519241921"/>
  </sheetPr>
  <dimension ref="A1:XFD218"/>
  <sheetViews>
    <sheetView workbookViewId="0">
      <selection activeCell="E9" sqref="E9"/>
    </sheetView>
  </sheetViews>
  <sheetFormatPr defaultColWidth="11.453125" defaultRowHeight="13" x14ac:dyDescent="0.3"/>
  <cols>
    <col min="1" max="1" width="2.26953125" style="159" customWidth="1"/>
    <col min="2" max="2" width="3" style="159" customWidth="1"/>
    <col min="3" max="3" width="2.26953125" style="159" customWidth="1"/>
    <col min="4" max="4" width="6.26953125" style="159" customWidth="1"/>
    <col min="5" max="5" width="6.36328125" style="159" customWidth="1"/>
    <col min="6" max="6" width="3.81640625" style="159" customWidth="1"/>
    <col min="7" max="7" width="5.1796875" style="159" customWidth="1"/>
    <col min="8" max="10" width="2.26953125" style="159" customWidth="1"/>
    <col min="11" max="11" width="2.453125" style="159" customWidth="1"/>
    <col min="12" max="12" width="2.26953125" style="159" customWidth="1"/>
    <col min="13" max="13" width="7.1796875" style="159" customWidth="1"/>
    <col min="14" max="14" width="1.54296875" style="159" customWidth="1"/>
    <col min="15" max="15" width="3" style="159" customWidth="1"/>
    <col min="16" max="16" width="2.7265625" style="159" customWidth="1"/>
    <col min="17" max="17" width="5" style="159" customWidth="1"/>
    <col min="18" max="19" width="3.453125" style="159" customWidth="1"/>
    <col min="20" max="20" width="4.81640625" style="159" customWidth="1"/>
    <col min="21" max="21" width="11.54296875" style="159" customWidth="1"/>
    <col min="22" max="22" width="2.26953125" style="159" customWidth="1"/>
    <col min="23" max="23" width="6" style="159" customWidth="1"/>
    <col min="24" max="28" width="2.26953125" style="159" customWidth="1"/>
    <col min="29" max="29" width="6.1796875" style="159" customWidth="1"/>
    <col min="30" max="30" width="2.26953125" style="159" customWidth="1"/>
    <col min="31" max="31" width="5.54296875" style="159" customWidth="1"/>
    <col min="32" max="33" width="2.26953125" style="159" customWidth="1"/>
    <col min="34" max="34" width="7.26953125" style="159" customWidth="1"/>
    <col min="35" max="35" width="3.1796875" style="159" customWidth="1"/>
    <col min="36" max="36" width="8.453125" style="159" customWidth="1"/>
    <col min="37" max="38" width="2.26953125" style="159" customWidth="1"/>
    <col min="39" max="39" width="2.54296875" style="159" customWidth="1"/>
    <col min="40" max="40" width="2.26953125" style="159" customWidth="1"/>
    <col min="41" max="41" width="2.81640625" style="159" customWidth="1"/>
    <col min="42" max="42" width="2.26953125" style="159" customWidth="1"/>
    <col min="43" max="43" width="3.1796875" style="159" customWidth="1"/>
    <col min="44" max="44" width="2.26953125" style="159" customWidth="1"/>
    <col min="45" max="45" width="15.1796875" style="159" customWidth="1"/>
    <col min="46" max="46" width="7.54296875" style="159" customWidth="1"/>
    <col min="47" max="47" width="20.54296875" style="159" customWidth="1"/>
    <col min="48" max="48" width="8" style="159" customWidth="1"/>
    <col min="49" max="49" width="26.81640625" style="159" customWidth="1"/>
    <col min="50" max="50" width="0" style="159" hidden="1" customWidth="1"/>
    <col min="51" max="51" width="6.453125" style="159" bestFit="1" customWidth="1"/>
    <col min="52" max="52" width="31.7265625" style="159" bestFit="1" customWidth="1"/>
    <col min="53" max="53" width="11.453125" style="159"/>
    <col min="54" max="54" width="16.26953125" style="159" bestFit="1" customWidth="1"/>
    <col min="55" max="16384" width="11.453125" style="159"/>
  </cols>
  <sheetData>
    <row r="1" spans="1:52" ht="12.75" customHeight="1" x14ac:dyDescent="0.3">
      <c r="A1" s="102"/>
      <c r="B1" s="102"/>
      <c r="C1" s="102"/>
      <c r="D1" s="102"/>
      <c r="E1" s="102"/>
      <c r="F1" s="102"/>
      <c r="G1" s="102"/>
      <c r="H1" s="102"/>
      <c r="I1" s="102"/>
      <c r="J1" s="102"/>
      <c r="K1" s="102"/>
      <c r="L1" s="15" t="s">
        <v>538</v>
      </c>
      <c r="M1" s="16"/>
      <c r="N1" s="16"/>
      <c r="O1" s="16"/>
      <c r="P1" s="16"/>
      <c r="Q1" s="16"/>
      <c r="R1" s="16"/>
      <c r="S1" s="16"/>
      <c r="T1" s="16"/>
      <c r="U1" s="16"/>
      <c r="V1" s="16"/>
      <c r="W1" s="16"/>
      <c r="X1" s="16"/>
      <c r="Y1" s="16"/>
      <c r="Z1" s="16"/>
      <c r="AA1" s="16"/>
      <c r="AB1" s="16"/>
      <c r="AC1" s="16"/>
      <c r="AD1" s="16"/>
      <c r="AE1" s="16"/>
      <c r="AF1" s="16"/>
      <c r="AG1" s="16"/>
      <c r="AH1" s="16"/>
      <c r="AI1" s="17"/>
      <c r="AJ1" s="103" t="s">
        <v>8</v>
      </c>
      <c r="AK1" s="102"/>
      <c r="AL1" s="102"/>
      <c r="AM1" s="102"/>
      <c r="AN1" s="102"/>
      <c r="AO1" s="102"/>
      <c r="AP1" s="207">
        <v>43989</v>
      </c>
      <c r="AQ1" s="208"/>
      <c r="AR1" s="208"/>
      <c r="AS1" s="209"/>
      <c r="AT1" s="159" t="s">
        <v>539</v>
      </c>
    </row>
    <row r="2" spans="1:52" ht="12.75" customHeight="1" x14ac:dyDescent="0.3">
      <c r="A2" s="102"/>
      <c r="B2" s="102"/>
      <c r="C2" s="102"/>
      <c r="D2" s="102"/>
      <c r="E2" s="102"/>
      <c r="F2" s="102"/>
      <c r="G2" s="102"/>
      <c r="H2" s="102"/>
      <c r="I2" s="102"/>
      <c r="J2" s="102"/>
      <c r="K2" s="102"/>
      <c r="L2" s="18"/>
      <c r="M2" s="104"/>
      <c r="N2" s="104"/>
      <c r="O2" s="104"/>
      <c r="P2" s="104"/>
      <c r="Q2" s="104"/>
      <c r="R2" s="104"/>
      <c r="S2" s="104"/>
      <c r="T2" s="104"/>
      <c r="U2" s="104"/>
      <c r="V2" s="104"/>
      <c r="W2" s="104"/>
      <c r="X2" s="104"/>
      <c r="Y2" s="104"/>
      <c r="Z2" s="104"/>
      <c r="AA2" s="104"/>
      <c r="AB2" s="104"/>
      <c r="AC2" s="104"/>
      <c r="AD2" s="104"/>
      <c r="AE2" s="104"/>
      <c r="AF2" s="104"/>
      <c r="AG2" s="104"/>
      <c r="AH2" s="104"/>
      <c r="AI2" s="19"/>
      <c r="AJ2" s="103" t="s">
        <v>13</v>
      </c>
      <c r="AK2" s="102"/>
      <c r="AL2" s="102"/>
      <c r="AM2" s="102"/>
      <c r="AN2" s="102"/>
      <c r="AO2" s="102"/>
      <c r="AP2" s="210">
        <f>AP1-AN7</f>
        <v>53</v>
      </c>
      <c r="AQ2" s="210"/>
      <c r="AR2" s="210"/>
      <c r="AS2" s="210"/>
      <c r="AT2" s="67" t="s">
        <v>14</v>
      </c>
      <c r="AX2" s="67" t="s">
        <v>15</v>
      </c>
    </row>
    <row r="3" spans="1:52" ht="12.75" customHeight="1" x14ac:dyDescent="0.3">
      <c r="A3" s="102"/>
      <c r="B3" s="102"/>
      <c r="C3" s="102"/>
      <c r="D3" s="102"/>
      <c r="E3" s="102"/>
      <c r="F3" s="102"/>
      <c r="G3" s="102"/>
      <c r="H3" s="102"/>
      <c r="I3" s="102"/>
      <c r="J3" s="102"/>
      <c r="K3" s="102"/>
      <c r="L3" s="211"/>
      <c r="M3" s="95"/>
      <c r="N3" s="95"/>
      <c r="O3" s="95"/>
      <c r="P3" s="105" t="s">
        <v>16</v>
      </c>
      <c r="Q3" s="105"/>
      <c r="R3" s="105"/>
      <c r="S3" s="105"/>
      <c r="T3" s="105"/>
      <c r="U3" s="105"/>
      <c r="V3" s="105"/>
      <c r="W3" s="105"/>
      <c r="X3" s="105"/>
      <c r="Y3" s="105"/>
      <c r="Z3" s="105"/>
      <c r="AA3" s="105"/>
      <c r="AB3" s="105"/>
      <c r="AC3" s="105"/>
      <c r="AD3" s="105"/>
      <c r="AE3" s="105"/>
      <c r="AF3" s="95" t="s">
        <v>17</v>
      </c>
      <c r="AG3" s="95"/>
      <c r="AH3" s="212">
        <f>AP2</f>
        <v>53</v>
      </c>
      <c r="AI3" s="213"/>
      <c r="AJ3" s="106" t="s">
        <v>18</v>
      </c>
      <c r="AK3" s="107"/>
      <c r="AL3" s="107"/>
      <c r="AM3" s="103"/>
      <c r="AN3" s="94" t="str">
        <f>AY3</f>
        <v>in</v>
      </c>
      <c r="AO3" s="108"/>
      <c r="AP3" s="214">
        <v>6</v>
      </c>
      <c r="AQ3" s="214"/>
      <c r="AR3" s="214"/>
      <c r="AS3" s="214"/>
      <c r="AT3" s="68" t="s">
        <v>16</v>
      </c>
      <c r="AU3" s="69"/>
      <c r="AX3" s="70" t="s">
        <v>19</v>
      </c>
      <c r="AY3" s="3" t="s">
        <v>20</v>
      </c>
    </row>
    <row r="4" spans="1:52" ht="12.75" customHeight="1" x14ac:dyDescent="0.3">
      <c r="A4" s="102"/>
      <c r="B4" s="102"/>
      <c r="C4" s="102"/>
      <c r="D4" s="102"/>
      <c r="E4" s="102"/>
      <c r="F4" s="102"/>
      <c r="G4" s="102"/>
      <c r="H4" s="102"/>
      <c r="I4" s="102"/>
      <c r="J4" s="102"/>
      <c r="K4" s="102"/>
      <c r="L4" s="96"/>
      <c r="M4" s="97"/>
      <c r="N4" s="97"/>
      <c r="O4" s="97"/>
      <c r="P4" s="20"/>
      <c r="Q4" s="20"/>
      <c r="R4" s="20"/>
      <c r="S4" s="20"/>
      <c r="T4" s="20"/>
      <c r="U4" s="20"/>
      <c r="V4" s="20"/>
      <c r="W4" s="20"/>
      <c r="X4" s="20"/>
      <c r="Y4" s="20"/>
      <c r="Z4" s="20"/>
      <c r="AA4" s="20"/>
      <c r="AB4" s="20"/>
      <c r="AC4" s="20"/>
      <c r="AD4" s="20"/>
      <c r="AE4" s="20"/>
      <c r="AF4" s="97"/>
      <c r="AG4" s="97"/>
      <c r="AH4" s="97"/>
      <c r="AI4" s="215"/>
      <c r="AJ4" s="106" t="s">
        <v>21</v>
      </c>
      <c r="AK4" s="107"/>
      <c r="AL4" s="107"/>
      <c r="AM4" s="103"/>
      <c r="AN4" s="109" t="str">
        <f>AY6</f>
        <v>m</v>
      </c>
      <c r="AO4" s="108"/>
      <c r="AP4" s="424">
        <v>3460</v>
      </c>
      <c r="AQ4" s="424"/>
      <c r="AR4" s="424"/>
      <c r="AS4" s="424"/>
      <c r="AT4" s="71" t="s">
        <v>22</v>
      </c>
      <c r="AU4" s="72"/>
      <c r="AX4" s="70"/>
      <c r="AY4" s="73" t="s">
        <v>20</v>
      </c>
    </row>
    <row r="5" spans="1:52" ht="12.75" customHeight="1" x14ac:dyDescent="0.3">
      <c r="A5" s="74" t="s">
        <v>23</v>
      </c>
      <c r="B5" s="74"/>
      <c r="C5" s="74"/>
      <c r="D5" s="74"/>
      <c r="E5" s="74"/>
      <c r="F5" s="74"/>
      <c r="G5" s="74"/>
      <c r="H5" s="74"/>
      <c r="I5" s="74"/>
      <c r="J5" s="74"/>
      <c r="K5" s="74"/>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5" t="s">
        <v>24</v>
      </c>
      <c r="AU5" s="76"/>
      <c r="AX5" s="70"/>
      <c r="AY5" s="77" t="s">
        <v>25</v>
      </c>
    </row>
    <row r="6" spans="1:52" ht="12.75" customHeight="1" x14ac:dyDescent="0.3">
      <c r="A6" s="79" t="s">
        <v>26</v>
      </c>
      <c r="B6" s="79"/>
      <c r="C6" s="79"/>
      <c r="D6" s="79"/>
      <c r="E6" s="79" t="s">
        <v>27</v>
      </c>
      <c r="F6" s="79"/>
      <c r="G6" s="79"/>
      <c r="H6" s="79"/>
      <c r="I6" s="79"/>
      <c r="J6" s="79" t="s">
        <v>28</v>
      </c>
      <c r="K6" s="79"/>
      <c r="L6" s="79"/>
      <c r="M6" s="79"/>
      <c r="N6" s="79"/>
      <c r="O6" s="79" t="s">
        <v>29</v>
      </c>
      <c r="P6" s="79"/>
      <c r="Q6" s="79"/>
      <c r="R6" s="79"/>
      <c r="S6" s="79"/>
      <c r="T6" s="79" t="s">
        <v>30</v>
      </c>
      <c r="U6" s="79"/>
      <c r="V6" s="79"/>
      <c r="W6" s="79"/>
      <c r="X6" s="79"/>
      <c r="Y6" s="79" t="s">
        <v>31</v>
      </c>
      <c r="Z6" s="79"/>
      <c r="AA6" s="79"/>
      <c r="AB6" s="79"/>
      <c r="AC6" s="79"/>
      <c r="AD6" s="79" t="s">
        <v>32</v>
      </c>
      <c r="AE6" s="79"/>
      <c r="AF6" s="79"/>
      <c r="AG6" s="79"/>
      <c r="AH6" s="79"/>
      <c r="AI6" s="79"/>
      <c r="AJ6" s="110" t="s">
        <v>33</v>
      </c>
      <c r="AK6" s="111"/>
      <c r="AL6" s="111"/>
      <c r="AM6" s="92"/>
      <c r="AN6" s="110" t="s">
        <v>34</v>
      </c>
      <c r="AO6" s="111"/>
      <c r="AP6" s="111"/>
      <c r="AQ6" s="92"/>
      <c r="AR6" s="110" t="s">
        <v>35</v>
      </c>
      <c r="AS6" s="92"/>
      <c r="AT6" s="67" t="s">
        <v>27</v>
      </c>
      <c r="AU6" s="74"/>
      <c r="AV6" s="74"/>
      <c r="AW6" s="74"/>
      <c r="AX6" s="70" t="s">
        <v>36</v>
      </c>
      <c r="AY6" s="3" t="s">
        <v>37</v>
      </c>
    </row>
    <row r="7" spans="1:52" ht="12.75" customHeight="1" x14ac:dyDescent="0.3">
      <c r="A7" s="216" t="s">
        <v>538</v>
      </c>
      <c r="B7" s="216"/>
      <c r="C7" s="216"/>
      <c r="D7" s="216"/>
      <c r="E7" s="217" t="s">
        <v>38</v>
      </c>
      <c r="F7" s="217"/>
      <c r="G7" s="217"/>
      <c r="H7" s="217"/>
      <c r="I7" s="217"/>
      <c r="J7" s="216" t="s">
        <v>540</v>
      </c>
      <c r="K7" s="216"/>
      <c r="L7" s="216"/>
      <c r="M7" s="216"/>
      <c r="N7" s="216"/>
      <c r="O7" s="216" t="s">
        <v>541</v>
      </c>
      <c r="P7" s="216"/>
      <c r="Q7" s="216"/>
      <c r="R7" s="216"/>
      <c r="S7" s="216"/>
      <c r="T7" s="216" t="s">
        <v>542</v>
      </c>
      <c r="U7" s="216"/>
      <c r="V7" s="216"/>
      <c r="W7" s="216"/>
      <c r="X7" s="216"/>
      <c r="Y7" s="216"/>
      <c r="Z7" s="216"/>
      <c r="AA7" s="216"/>
      <c r="AB7" s="216"/>
      <c r="AC7" s="216"/>
      <c r="AD7" s="216" t="s">
        <v>543</v>
      </c>
      <c r="AE7" s="216"/>
      <c r="AF7" s="216"/>
      <c r="AG7" s="216"/>
      <c r="AH7" s="216"/>
      <c r="AI7" s="216"/>
      <c r="AJ7" s="30" t="s">
        <v>544</v>
      </c>
      <c r="AK7" s="31"/>
      <c r="AL7" s="31"/>
      <c r="AM7" s="32"/>
      <c r="AN7" s="218">
        <v>43936</v>
      </c>
      <c r="AO7" s="219"/>
      <c r="AP7" s="219"/>
      <c r="AQ7" s="220"/>
      <c r="AR7" s="221">
        <v>0.66666666666666663</v>
      </c>
      <c r="AS7" s="222"/>
      <c r="AT7" s="78" t="s">
        <v>39</v>
      </c>
      <c r="AU7" s="69" t="s">
        <v>40</v>
      </c>
      <c r="AX7" s="70"/>
      <c r="AY7" s="73" t="s">
        <v>37</v>
      </c>
    </row>
    <row r="8" spans="1:52" ht="12.75" customHeight="1" x14ac:dyDescent="0.3">
      <c r="A8" s="110" t="s">
        <v>545</v>
      </c>
      <c r="B8" s="111"/>
      <c r="C8" s="111"/>
      <c r="D8" s="92"/>
      <c r="E8" s="112" t="s">
        <v>546</v>
      </c>
      <c r="F8" s="223"/>
      <c r="G8" s="223"/>
      <c r="H8" s="223"/>
      <c r="I8" s="223"/>
      <c r="J8" s="223"/>
      <c r="K8" s="110" t="s">
        <v>547</v>
      </c>
      <c r="L8" s="92"/>
      <c r="M8" s="110" t="s">
        <v>548</v>
      </c>
      <c r="N8" s="111"/>
      <c r="O8" s="111"/>
      <c r="P8" s="111"/>
      <c r="Q8" s="110" t="s">
        <v>547</v>
      </c>
      <c r="R8" s="92"/>
      <c r="S8" s="112" t="s">
        <v>549</v>
      </c>
      <c r="T8" s="223"/>
      <c r="U8" s="223"/>
      <c r="V8" s="113"/>
      <c r="W8" s="110" t="s">
        <v>547</v>
      </c>
      <c r="X8" s="92"/>
      <c r="Y8" s="110" t="s">
        <v>41</v>
      </c>
      <c r="Z8" s="111"/>
      <c r="AA8" s="111"/>
      <c r="AB8" s="111"/>
      <c r="AC8" s="92"/>
      <c r="AD8" s="110" t="s">
        <v>42</v>
      </c>
      <c r="AE8" s="111"/>
      <c r="AF8" s="110" t="str">
        <f>AY6</f>
        <v>m</v>
      </c>
      <c r="AG8" s="92"/>
      <c r="AH8" s="110" t="s">
        <v>43</v>
      </c>
      <c r="AI8" s="111"/>
      <c r="AJ8" s="110" t="str">
        <f>AY6</f>
        <v>m</v>
      </c>
      <c r="AK8" s="92"/>
      <c r="AL8" s="110" t="s">
        <v>44</v>
      </c>
      <c r="AM8" s="111"/>
      <c r="AN8" s="92"/>
      <c r="AO8" s="79" t="str">
        <f>AY6</f>
        <v>m</v>
      </c>
      <c r="AP8" s="110" t="s">
        <v>45</v>
      </c>
      <c r="AQ8" s="111"/>
      <c r="AR8" s="92"/>
      <c r="AS8" s="79" t="str">
        <f>AY6</f>
        <v>m</v>
      </c>
      <c r="AT8" s="159" t="s">
        <v>46</v>
      </c>
      <c r="AU8" s="72" t="s">
        <v>47</v>
      </c>
      <c r="AX8" s="70"/>
      <c r="AY8" s="80" t="s">
        <v>48</v>
      </c>
    </row>
    <row r="9" spans="1:52" ht="12.75" customHeight="1" x14ac:dyDescent="0.3">
      <c r="A9" s="224" t="s">
        <v>550</v>
      </c>
      <c r="B9" s="224"/>
      <c r="C9" s="224"/>
      <c r="D9" s="224"/>
      <c r="E9" s="114">
        <v>2692</v>
      </c>
      <c r="F9" s="115"/>
      <c r="G9" s="115"/>
      <c r="H9" s="115"/>
      <c r="I9" s="115"/>
      <c r="J9" s="115"/>
      <c r="K9" s="115"/>
      <c r="L9" s="116"/>
      <c r="M9" s="406">
        <v>2.258</v>
      </c>
      <c r="N9" s="407"/>
      <c r="O9" s="407"/>
      <c r="P9" s="407"/>
      <c r="Q9" s="407"/>
      <c r="R9" s="408"/>
      <c r="S9" s="407">
        <f>844.71+M9</f>
        <v>846.96800000000007</v>
      </c>
      <c r="T9" s="407"/>
      <c r="U9" s="407"/>
      <c r="V9" s="407"/>
      <c r="W9" s="407"/>
      <c r="X9" s="408"/>
      <c r="Y9" s="117" t="s">
        <v>49</v>
      </c>
      <c r="Z9" s="118"/>
      <c r="AA9" s="118"/>
      <c r="AB9" s="118"/>
      <c r="AC9" s="119"/>
      <c r="AD9" s="117">
        <v>10.5</v>
      </c>
      <c r="AE9" s="118"/>
      <c r="AF9" s="118"/>
      <c r="AG9" s="119"/>
      <c r="AH9" s="21">
        <v>504</v>
      </c>
      <c r="AI9" s="22"/>
      <c r="AJ9" s="22"/>
      <c r="AK9" s="23"/>
      <c r="AL9" s="21">
        <v>3584</v>
      </c>
      <c r="AM9" s="22"/>
      <c r="AN9" s="22"/>
      <c r="AO9" s="23"/>
      <c r="AP9" s="21">
        <v>3495</v>
      </c>
      <c r="AQ9" s="22"/>
      <c r="AR9" s="22"/>
      <c r="AS9" s="23"/>
      <c r="AT9" s="81" t="s">
        <v>38</v>
      </c>
      <c r="AU9" s="82" t="s">
        <v>50</v>
      </c>
      <c r="AV9" s="160"/>
      <c r="AW9" s="160"/>
      <c r="AX9" s="70" t="s">
        <v>51</v>
      </c>
      <c r="AY9" s="4" t="s">
        <v>551</v>
      </c>
    </row>
    <row r="10" spans="1:52" ht="12.75" customHeight="1" x14ac:dyDescent="0.3">
      <c r="A10" s="74" t="s">
        <v>52</v>
      </c>
      <c r="T10" s="74" t="s">
        <v>53</v>
      </c>
      <c r="AT10" s="71" t="s">
        <v>54</v>
      </c>
      <c r="AU10" s="72" t="s">
        <v>55</v>
      </c>
      <c r="AX10" s="70"/>
      <c r="AY10" s="83" t="s">
        <v>551</v>
      </c>
    </row>
    <row r="11" spans="1:52" ht="12.75" customHeight="1" x14ac:dyDescent="0.3">
      <c r="A11" s="120" t="s">
        <v>56</v>
      </c>
      <c r="B11" s="121"/>
      <c r="C11" s="121"/>
      <c r="D11" s="121"/>
      <c r="E11" s="121"/>
      <c r="F11" s="121"/>
      <c r="G11" s="121"/>
      <c r="H11" s="121"/>
      <c r="I11" s="121"/>
      <c r="J11" s="121"/>
      <c r="K11" s="121"/>
      <c r="L11" s="121"/>
      <c r="M11" s="121"/>
      <c r="N11" s="121"/>
      <c r="O11" s="121"/>
      <c r="P11" s="121"/>
      <c r="Q11" s="121"/>
      <c r="R11" s="121"/>
      <c r="S11" s="122"/>
      <c r="T11" s="87" t="s">
        <v>57</v>
      </c>
      <c r="U11" s="88"/>
      <c r="V11" s="88"/>
      <c r="W11" s="88"/>
      <c r="X11" s="88"/>
      <c r="Y11" s="88"/>
      <c r="Z11" s="88"/>
      <c r="AA11" s="89"/>
      <c r="AB11" s="87" t="s">
        <v>58</v>
      </c>
      <c r="AC11" s="88"/>
      <c r="AD11" s="88"/>
      <c r="AE11" s="88"/>
      <c r="AF11" s="88"/>
      <c r="AG11" s="88"/>
      <c r="AH11" s="88"/>
      <c r="AI11" s="88"/>
      <c r="AJ11" s="88"/>
      <c r="AK11" s="88"/>
      <c r="AL11" s="88"/>
      <c r="AM11" s="88"/>
      <c r="AN11" s="88"/>
      <c r="AO11" s="88"/>
      <c r="AP11" s="88"/>
      <c r="AQ11" s="88"/>
      <c r="AR11" s="88"/>
      <c r="AS11" s="89"/>
      <c r="AT11" s="159" t="s">
        <v>59</v>
      </c>
      <c r="AU11" s="72" t="s">
        <v>552</v>
      </c>
      <c r="AX11" s="70"/>
      <c r="AY11" s="84" t="s">
        <v>60</v>
      </c>
    </row>
    <row r="12" spans="1:52" ht="12.75" customHeight="1" x14ac:dyDescent="0.3">
      <c r="A12" s="110" t="str">
        <f>AY13</f>
        <v>m/d</v>
      </c>
      <c r="B12" s="111"/>
      <c r="C12" s="92"/>
      <c r="D12" s="110" t="s">
        <v>61</v>
      </c>
      <c r="E12" s="111"/>
      <c r="F12" s="92"/>
      <c r="G12" s="110" t="str">
        <f>AY16</f>
        <v>m/hr</v>
      </c>
      <c r="H12" s="111"/>
      <c r="I12" s="111"/>
      <c r="J12" s="92"/>
      <c r="K12" s="110" t="s">
        <v>62</v>
      </c>
      <c r="L12" s="92"/>
      <c r="M12" s="110" t="s">
        <v>35</v>
      </c>
      <c r="N12" s="92"/>
      <c r="O12" s="110" t="s">
        <v>63</v>
      </c>
      <c r="P12" s="111"/>
      <c r="Q12" s="92"/>
      <c r="R12" s="110" t="s">
        <v>35</v>
      </c>
      <c r="S12" s="92"/>
      <c r="T12" s="110" t="s">
        <v>64</v>
      </c>
      <c r="U12" s="111"/>
      <c r="V12" s="111"/>
      <c r="W12" s="92"/>
      <c r="X12" s="110" t="s">
        <v>65</v>
      </c>
      <c r="Y12" s="111"/>
      <c r="Z12" s="111"/>
      <c r="AA12" s="79" t="s">
        <v>66</v>
      </c>
      <c r="AB12" s="110" t="s">
        <v>553</v>
      </c>
      <c r="AC12" s="111"/>
      <c r="AD12" s="111"/>
      <c r="AE12" s="92"/>
      <c r="AF12" s="110" t="s">
        <v>67</v>
      </c>
      <c r="AG12" s="111"/>
      <c r="AH12" s="111"/>
      <c r="AI12" s="111"/>
      <c r="AJ12" s="110" t="s">
        <v>68</v>
      </c>
      <c r="AK12" s="111"/>
      <c r="AL12" s="111"/>
      <c r="AM12" s="111"/>
      <c r="AN12" s="92"/>
      <c r="AO12" s="111" t="s">
        <v>69</v>
      </c>
      <c r="AP12" s="111"/>
      <c r="AQ12" s="111"/>
      <c r="AR12" s="111"/>
      <c r="AS12" s="92"/>
      <c r="AT12" s="85" t="s">
        <v>70</v>
      </c>
      <c r="AU12" s="76" t="s">
        <v>71</v>
      </c>
      <c r="AX12" s="70"/>
      <c r="AY12" s="5"/>
      <c r="AZ12" s="159" t="s">
        <v>72</v>
      </c>
    </row>
    <row r="13" spans="1:52" ht="12.75" customHeight="1" x14ac:dyDescent="0.3">
      <c r="A13" s="134"/>
      <c r="B13" s="135"/>
      <c r="C13" s="136"/>
      <c r="D13" s="131"/>
      <c r="E13" s="132"/>
      <c r="F13" s="133"/>
      <c r="G13" s="225"/>
      <c r="H13" s="226"/>
      <c r="I13" s="226"/>
      <c r="J13" s="227"/>
      <c r="K13" s="228"/>
      <c r="L13" s="229"/>
      <c r="M13" s="229"/>
      <c r="N13" s="229"/>
      <c r="O13" s="228">
        <v>14.5</v>
      </c>
      <c r="P13" s="229"/>
      <c r="Q13" s="229"/>
      <c r="R13" s="229"/>
      <c r="S13" s="230"/>
      <c r="T13" s="231">
        <v>43936</v>
      </c>
      <c r="U13" s="232"/>
      <c r="V13" s="232"/>
      <c r="W13" s="233"/>
      <c r="X13" s="234">
        <f>AP2</f>
        <v>53</v>
      </c>
      <c r="Y13" s="235"/>
      <c r="Z13" s="235"/>
      <c r="AA13" s="236"/>
      <c r="AB13" s="237">
        <v>43966</v>
      </c>
      <c r="AC13" s="238"/>
      <c r="AD13" s="238"/>
      <c r="AE13" s="239"/>
      <c r="AF13" s="237">
        <v>43965</v>
      </c>
      <c r="AG13" s="238"/>
      <c r="AH13" s="238"/>
      <c r="AI13" s="239"/>
      <c r="AJ13" s="237">
        <v>43965</v>
      </c>
      <c r="AK13" s="238"/>
      <c r="AL13" s="238"/>
      <c r="AM13" s="238"/>
      <c r="AN13" s="239"/>
      <c r="AO13" s="240">
        <f>AP1</f>
        <v>43989</v>
      </c>
      <c r="AP13" s="241"/>
      <c r="AQ13" s="241"/>
      <c r="AR13" s="241"/>
      <c r="AS13" s="242"/>
      <c r="AT13" s="67" t="s">
        <v>73</v>
      </c>
      <c r="AV13" s="186"/>
      <c r="AX13" s="70" t="s">
        <v>74</v>
      </c>
      <c r="AY13" s="4" t="s">
        <v>75</v>
      </c>
    </row>
    <row r="14" spans="1:52" ht="12.75" customHeight="1" x14ac:dyDescent="0.3">
      <c r="A14" s="88"/>
      <c r="B14" s="88"/>
      <c r="C14" s="88"/>
      <c r="D14" s="88"/>
      <c r="E14" s="88"/>
      <c r="F14" s="88"/>
      <c r="G14" s="88"/>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88"/>
      <c r="AO14" s="88"/>
      <c r="AP14" s="88"/>
      <c r="AQ14" s="88"/>
      <c r="AR14" s="88"/>
      <c r="AS14" s="89"/>
      <c r="AT14" s="68" t="s">
        <v>49</v>
      </c>
      <c r="AU14" s="69" t="s">
        <v>76</v>
      </c>
      <c r="AX14" s="70"/>
      <c r="AY14" s="73" t="s">
        <v>75</v>
      </c>
      <c r="AZ14" s="159" t="s">
        <v>77</v>
      </c>
    </row>
    <row r="15" spans="1:52" ht="37.5" customHeight="1" x14ac:dyDescent="0.3">
      <c r="A15" s="123" t="s">
        <v>78</v>
      </c>
      <c r="B15" s="124"/>
      <c r="C15" s="124"/>
      <c r="D15" s="124"/>
      <c r="E15" s="124"/>
      <c r="F15" s="125"/>
      <c r="G15" s="243" t="s">
        <v>961</v>
      </c>
      <c r="H15" s="244"/>
      <c r="I15" s="244"/>
      <c r="J15" s="244"/>
      <c r="K15" s="244"/>
      <c r="L15" s="244"/>
      <c r="M15" s="244"/>
      <c r="N15" s="244"/>
      <c r="O15" s="244"/>
      <c r="P15" s="244"/>
      <c r="Q15" s="244"/>
      <c r="R15" s="244"/>
      <c r="S15" s="244"/>
      <c r="T15" s="244"/>
      <c r="U15" s="244"/>
      <c r="V15" s="244"/>
      <c r="W15" s="244"/>
      <c r="X15" s="244"/>
      <c r="Y15" s="244"/>
      <c r="Z15" s="244"/>
      <c r="AA15" s="244"/>
      <c r="AB15" s="244"/>
      <c r="AC15" s="244"/>
      <c r="AD15" s="244"/>
      <c r="AE15" s="244"/>
      <c r="AF15" s="244"/>
      <c r="AG15" s="244"/>
      <c r="AH15" s="244"/>
      <c r="AI15" s="244"/>
      <c r="AJ15" s="244"/>
      <c r="AK15" s="244"/>
      <c r="AL15" s="244"/>
      <c r="AM15" s="244"/>
      <c r="AN15" s="244"/>
      <c r="AO15" s="244"/>
      <c r="AP15" s="244"/>
      <c r="AQ15" s="244"/>
      <c r="AR15" s="244"/>
      <c r="AS15" s="245"/>
      <c r="AT15" s="71" t="s">
        <v>43</v>
      </c>
      <c r="AU15" s="72" t="s">
        <v>79</v>
      </c>
      <c r="AX15" s="70"/>
      <c r="AY15" s="80" t="s">
        <v>80</v>
      </c>
      <c r="AZ15" s="159" t="s">
        <v>81</v>
      </c>
    </row>
    <row r="16" spans="1:52" ht="38.25" customHeight="1" x14ac:dyDescent="0.3">
      <c r="A16" s="123" t="s">
        <v>82</v>
      </c>
      <c r="B16" s="124"/>
      <c r="C16" s="124"/>
      <c r="D16" s="124"/>
      <c r="E16" s="124"/>
      <c r="F16" s="125"/>
      <c r="G16" s="243"/>
      <c r="H16" s="244"/>
      <c r="I16" s="244"/>
      <c r="J16" s="244"/>
      <c r="K16" s="244"/>
      <c r="L16" s="244"/>
      <c r="M16" s="244"/>
      <c r="N16" s="244"/>
      <c r="O16" s="244"/>
      <c r="P16" s="244"/>
      <c r="Q16" s="244"/>
      <c r="R16" s="244"/>
      <c r="S16" s="244"/>
      <c r="T16" s="244"/>
      <c r="U16" s="244"/>
      <c r="V16" s="244"/>
      <c r="W16" s="244"/>
      <c r="X16" s="244"/>
      <c r="Y16" s="244"/>
      <c r="Z16" s="244"/>
      <c r="AA16" s="244"/>
      <c r="AB16" s="244"/>
      <c r="AC16" s="244"/>
      <c r="AD16" s="244"/>
      <c r="AE16" s="244"/>
      <c r="AF16" s="244"/>
      <c r="AG16" s="244"/>
      <c r="AH16" s="244"/>
      <c r="AI16" s="244"/>
      <c r="AJ16" s="244"/>
      <c r="AK16" s="244"/>
      <c r="AL16" s="244"/>
      <c r="AM16" s="244"/>
      <c r="AN16" s="244"/>
      <c r="AO16" s="244"/>
      <c r="AP16" s="244"/>
      <c r="AQ16" s="244"/>
      <c r="AR16" s="244"/>
      <c r="AS16" s="245"/>
      <c r="AT16" s="75" t="s">
        <v>83</v>
      </c>
      <c r="AU16" s="76" t="s">
        <v>84</v>
      </c>
      <c r="AX16" s="70" t="s">
        <v>85</v>
      </c>
      <c r="AY16" s="4" t="s">
        <v>86</v>
      </c>
    </row>
    <row r="17" spans="1:52" ht="12.75" customHeight="1" x14ac:dyDescent="0.3">
      <c r="A17" s="126" t="s">
        <v>470</v>
      </c>
      <c r="B17" s="126"/>
      <c r="C17" s="126"/>
      <c r="D17" s="126"/>
      <c r="E17" s="126"/>
      <c r="F17" s="126"/>
      <c r="G17" s="126"/>
      <c r="H17" s="126"/>
      <c r="I17" s="126"/>
      <c r="J17" s="126"/>
      <c r="K17" s="126"/>
      <c r="L17" s="126"/>
      <c r="M17" s="126"/>
      <c r="N17" s="126"/>
      <c r="O17" s="126"/>
      <c r="P17" s="126"/>
      <c r="Q17" s="126"/>
      <c r="R17" s="126"/>
      <c r="S17" s="126"/>
      <c r="T17" s="126"/>
      <c r="U17" s="126"/>
      <c r="V17" s="126"/>
      <c r="W17" s="126"/>
      <c r="X17" s="126"/>
      <c r="Y17" s="126"/>
      <c r="Z17" s="126"/>
      <c r="AA17" s="126"/>
      <c r="AB17" s="126"/>
      <c r="AC17" s="126" t="s">
        <v>87</v>
      </c>
      <c r="AD17" s="126"/>
      <c r="AE17" s="126"/>
      <c r="AF17" s="126"/>
      <c r="AG17" s="126"/>
      <c r="AH17" s="126"/>
      <c r="AI17" s="126"/>
      <c r="AJ17" s="126"/>
      <c r="AK17" s="126"/>
      <c r="AL17" s="126"/>
      <c r="AM17" s="126"/>
      <c r="AN17" s="126"/>
      <c r="AO17" s="126"/>
      <c r="AP17" s="126"/>
      <c r="AQ17" s="126"/>
      <c r="AR17" s="126"/>
      <c r="AS17" s="126"/>
      <c r="AT17" s="67" t="s">
        <v>57</v>
      </c>
      <c r="AX17" s="70"/>
      <c r="AY17" s="73" t="s">
        <v>86</v>
      </c>
      <c r="AZ17" s="159" t="s">
        <v>88</v>
      </c>
    </row>
    <row r="18" spans="1:52" ht="12.75" customHeight="1" x14ac:dyDescent="0.3">
      <c r="A18" s="110" t="s">
        <v>89</v>
      </c>
      <c r="B18" s="111"/>
      <c r="C18" s="92"/>
      <c r="D18" s="110" t="s">
        <v>90</v>
      </c>
      <c r="E18" s="92"/>
      <c r="F18" s="110" t="str">
        <f>AY3</f>
        <v>in</v>
      </c>
      <c r="G18" s="111"/>
      <c r="H18" s="92"/>
      <c r="I18" s="127" t="s">
        <v>91</v>
      </c>
      <c r="J18" s="128"/>
      <c r="K18" s="129"/>
      <c r="L18" s="86" t="str">
        <f>AY6</f>
        <v>m</v>
      </c>
      <c r="M18" s="110" t="str">
        <f>AY19</f>
        <v>ppf</v>
      </c>
      <c r="N18" s="111"/>
      <c r="O18" s="92"/>
      <c r="P18" s="110" t="s">
        <v>92</v>
      </c>
      <c r="Q18" s="111"/>
      <c r="R18" s="92"/>
      <c r="S18" s="110" t="s">
        <v>93</v>
      </c>
      <c r="T18" s="111"/>
      <c r="U18" s="92"/>
      <c r="V18" s="110" t="s">
        <v>94</v>
      </c>
      <c r="W18" s="92"/>
      <c r="X18" s="79" t="str">
        <f>AY6</f>
        <v>m</v>
      </c>
      <c r="Y18" s="110" t="s">
        <v>95</v>
      </c>
      <c r="Z18" s="111"/>
      <c r="AA18" s="92"/>
      <c r="AB18" s="79" t="str">
        <f>AY6</f>
        <v>m</v>
      </c>
      <c r="AC18" s="110" t="s">
        <v>91</v>
      </c>
      <c r="AD18" s="92"/>
      <c r="AE18" s="79" t="str">
        <f>AY6</f>
        <v>m</v>
      </c>
      <c r="AF18" s="110" t="s">
        <v>96</v>
      </c>
      <c r="AG18" s="111"/>
      <c r="AH18" s="79" t="str">
        <f>AY6</f>
        <v>m</v>
      </c>
      <c r="AI18" s="110" t="s">
        <v>97</v>
      </c>
      <c r="AJ18" s="111"/>
      <c r="AK18" s="79" t="s">
        <v>98</v>
      </c>
      <c r="AL18" s="110" t="s">
        <v>99</v>
      </c>
      <c r="AM18" s="92"/>
      <c r="AN18" s="79" t="s">
        <v>98</v>
      </c>
      <c r="AO18" s="110" t="s">
        <v>89</v>
      </c>
      <c r="AP18" s="111"/>
      <c r="AQ18" s="111"/>
      <c r="AR18" s="111"/>
      <c r="AS18" s="92"/>
      <c r="AT18" s="68" t="s">
        <v>100</v>
      </c>
      <c r="AU18" s="69" t="s">
        <v>101</v>
      </c>
      <c r="AX18" s="70"/>
      <c r="AY18" s="80" t="s">
        <v>102</v>
      </c>
      <c r="AZ18" s="159" t="s">
        <v>103</v>
      </c>
    </row>
    <row r="19" spans="1:52" ht="12.75" customHeight="1" x14ac:dyDescent="0.3">
      <c r="A19" s="246" t="s">
        <v>104</v>
      </c>
      <c r="B19" s="247"/>
      <c r="C19" s="248"/>
      <c r="D19" s="130">
        <v>30</v>
      </c>
      <c r="E19" s="249"/>
      <c r="F19" s="249"/>
      <c r="G19" s="249"/>
      <c r="H19" s="250"/>
      <c r="I19" s="251">
        <v>17</v>
      </c>
      <c r="J19" s="251"/>
      <c r="K19" s="251"/>
      <c r="L19" s="251"/>
      <c r="M19" s="24">
        <v>196</v>
      </c>
      <c r="N19" s="25"/>
      <c r="O19" s="26"/>
      <c r="P19" s="27" t="s">
        <v>556</v>
      </c>
      <c r="Q19" s="28"/>
      <c r="R19" s="29"/>
      <c r="S19" s="27" t="s">
        <v>557</v>
      </c>
      <c r="T19" s="28"/>
      <c r="U19" s="29"/>
      <c r="V19" s="134">
        <v>0</v>
      </c>
      <c r="W19" s="135"/>
      <c r="X19" s="136"/>
      <c r="Y19" s="134">
        <v>0</v>
      </c>
      <c r="Z19" s="135"/>
      <c r="AA19" s="135"/>
      <c r="AB19" s="136"/>
      <c r="AC19" s="255">
        <v>3011</v>
      </c>
      <c r="AD19" s="256">
        <v>3040</v>
      </c>
      <c r="AE19" s="257">
        <v>3040</v>
      </c>
      <c r="AF19" s="134">
        <v>2988.76</v>
      </c>
      <c r="AG19" s="135">
        <v>3017.4007325522998</v>
      </c>
      <c r="AH19" s="136">
        <v>3017.4007325522998</v>
      </c>
      <c r="AI19" s="131">
        <v>9.1</v>
      </c>
      <c r="AJ19" s="132">
        <v>8.9916364990000002</v>
      </c>
      <c r="AK19" s="133">
        <v>8.9916364990000002</v>
      </c>
      <c r="AL19" s="131">
        <v>328.07</v>
      </c>
      <c r="AM19" s="132">
        <v>324.59339569999997</v>
      </c>
      <c r="AN19" s="133">
        <v>324.59339569999997</v>
      </c>
      <c r="AO19" s="217" t="s">
        <v>110</v>
      </c>
      <c r="AP19" s="217"/>
      <c r="AQ19" s="217"/>
      <c r="AR19" s="217"/>
      <c r="AS19" s="217"/>
      <c r="AT19" s="75" t="s">
        <v>64</v>
      </c>
      <c r="AU19" s="76" t="s">
        <v>105</v>
      </c>
      <c r="AX19" s="70" t="s">
        <v>106</v>
      </c>
      <c r="AY19" s="4" t="s">
        <v>107</v>
      </c>
    </row>
    <row r="20" spans="1:52" ht="12.75" customHeight="1" x14ac:dyDescent="0.3">
      <c r="A20" s="252" t="s">
        <v>137</v>
      </c>
      <c r="B20" s="253"/>
      <c r="C20" s="254"/>
      <c r="D20" s="130">
        <v>20</v>
      </c>
      <c r="E20" s="249"/>
      <c r="F20" s="249"/>
      <c r="G20" s="249"/>
      <c r="H20" s="250"/>
      <c r="I20" s="131">
        <v>256</v>
      </c>
      <c r="J20" s="132"/>
      <c r="K20" s="132"/>
      <c r="L20" s="133"/>
      <c r="M20" s="134">
        <v>106.5</v>
      </c>
      <c r="N20" s="135"/>
      <c r="O20" s="136"/>
      <c r="P20" s="30" t="s">
        <v>558</v>
      </c>
      <c r="Q20" s="31"/>
      <c r="R20" s="32"/>
      <c r="S20" s="30" t="s">
        <v>559</v>
      </c>
      <c r="T20" s="31"/>
      <c r="U20" s="32"/>
      <c r="V20" s="134">
        <v>0</v>
      </c>
      <c r="W20" s="135"/>
      <c r="X20" s="136"/>
      <c r="Y20" s="134">
        <v>0</v>
      </c>
      <c r="Z20" s="135"/>
      <c r="AA20" s="135"/>
      <c r="AB20" s="136"/>
      <c r="AC20" s="255">
        <v>3040</v>
      </c>
      <c r="AD20" s="256">
        <v>3040</v>
      </c>
      <c r="AE20" s="257">
        <v>3040</v>
      </c>
      <c r="AF20" s="134">
        <v>3017.4007325522998</v>
      </c>
      <c r="AG20" s="135">
        <v>3017.4007325522998</v>
      </c>
      <c r="AH20" s="136">
        <v>3017.4007325522998</v>
      </c>
      <c r="AI20" s="131">
        <v>8.9916364990000002</v>
      </c>
      <c r="AJ20" s="132">
        <v>8.9916364990000002</v>
      </c>
      <c r="AK20" s="133">
        <v>8.9916364990000002</v>
      </c>
      <c r="AL20" s="131">
        <v>324.59339569999997</v>
      </c>
      <c r="AM20" s="132">
        <v>324.59339569999997</v>
      </c>
      <c r="AN20" s="133">
        <v>324.59339569999997</v>
      </c>
      <c r="AO20" s="217" t="s">
        <v>110</v>
      </c>
      <c r="AP20" s="217"/>
      <c r="AQ20" s="217"/>
      <c r="AR20" s="217"/>
      <c r="AS20" s="217"/>
      <c r="AT20" s="67" t="s">
        <v>109</v>
      </c>
      <c r="AX20" s="70"/>
      <c r="AY20" s="73" t="s">
        <v>107</v>
      </c>
    </row>
    <row r="21" spans="1:52" ht="12.75" customHeight="1" x14ac:dyDescent="0.3">
      <c r="A21" s="252" t="s">
        <v>140</v>
      </c>
      <c r="B21" s="253"/>
      <c r="C21" s="254"/>
      <c r="D21" s="130" t="s">
        <v>756</v>
      </c>
      <c r="E21" s="249"/>
      <c r="F21" s="249"/>
      <c r="G21" s="249"/>
      <c r="H21" s="250"/>
      <c r="I21" s="131">
        <v>1052</v>
      </c>
      <c r="J21" s="132"/>
      <c r="K21" s="132"/>
      <c r="L21" s="133"/>
      <c r="M21" s="134" t="s">
        <v>693</v>
      </c>
      <c r="N21" s="135"/>
      <c r="O21" s="136"/>
      <c r="P21" s="30" t="s">
        <v>669</v>
      </c>
      <c r="Q21" s="31"/>
      <c r="R21" s="32"/>
      <c r="S21" s="30" t="s">
        <v>559</v>
      </c>
      <c r="T21" s="31"/>
      <c r="U21" s="32"/>
      <c r="V21" s="134">
        <v>0</v>
      </c>
      <c r="W21" s="135"/>
      <c r="X21" s="136"/>
      <c r="Y21" s="134">
        <v>0</v>
      </c>
      <c r="Z21" s="135"/>
      <c r="AA21" s="135"/>
      <c r="AB21" s="136"/>
      <c r="AC21" s="255">
        <v>3069</v>
      </c>
      <c r="AD21" s="256">
        <v>3069</v>
      </c>
      <c r="AE21" s="257">
        <v>3069</v>
      </c>
      <c r="AF21" s="134">
        <v>3046.0379875724602</v>
      </c>
      <c r="AG21" s="135">
        <v>3046.0379875724602</v>
      </c>
      <c r="AH21" s="136">
        <v>3046.0379875724602</v>
      </c>
      <c r="AI21" s="131">
        <v>9.1555346320000002</v>
      </c>
      <c r="AJ21" s="132">
        <v>9.1555346320000002</v>
      </c>
      <c r="AK21" s="133">
        <v>9.1555346320000002</v>
      </c>
      <c r="AL21" s="131">
        <v>327.50221349999998</v>
      </c>
      <c r="AM21" s="132">
        <v>327.50221349999998</v>
      </c>
      <c r="AN21" s="133">
        <v>327.50221349999998</v>
      </c>
      <c r="AO21" s="217" t="s">
        <v>110</v>
      </c>
      <c r="AP21" s="217"/>
      <c r="AQ21" s="217"/>
      <c r="AR21" s="217"/>
      <c r="AS21" s="217"/>
      <c r="AT21" s="68" t="s">
        <v>110</v>
      </c>
      <c r="AU21" s="69" t="s">
        <v>111</v>
      </c>
      <c r="AX21" s="70"/>
      <c r="AY21" s="80" t="s">
        <v>112</v>
      </c>
      <c r="AZ21" s="159" t="s">
        <v>560</v>
      </c>
    </row>
    <row r="22" spans="1:52" ht="12.75" customHeight="1" x14ac:dyDescent="0.3">
      <c r="A22" s="252" t="s">
        <v>143</v>
      </c>
      <c r="B22" s="253"/>
      <c r="C22" s="254"/>
      <c r="D22" s="117" t="s">
        <v>711</v>
      </c>
      <c r="E22" s="118"/>
      <c r="F22" s="118"/>
      <c r="G22" s="118"/>
      <c r="H22" s="119"/>
      <c r="I22" s="251">
        <v>2885</v>
      </c>
      <c r="J22" s="251"/>
      <c r="K22" s="251"/>
      <c r="L22" s="251"/>
      <c r="M22" s="134" t="s">
        <v>712</v>
      </c>
      <c r="N22" s="135"/>
      <c r="O22" s="136"/>
      <c r="P22" s="30" t="s">
        <v>741</v>
      </c>
      <c r="Q22" s="31"/>
      <c r="R22" s="32"/>
      <c r="S22" s="30" t="s">
        <v>713</v>
      </c>
      <c r="T22" s="31"/>
      <c r="U22" s="32"/>
      <c r="V22" s="134">
        <v>0</v>
      </c>
      <c r="W22" s="135"/>
      <c r="X22" s="136"/>
      <c r="Y22" s="134">
        <v>0</v>
      </c>
      <c r="Z22" s="135"/>
      <c r="AA22" s="135"/>
      <c r="AB22" s="136"/>
      <c r="AC22" s="255">
        <v>3098</v>
      </c>
      <c r="AD22" s="256">
        <v>3098</v>
      </c>
      <c r="AE22" s="257">
        <v>3098</v>
      </c>
      <c r="AF22" s="134">
        <v>3074.6740205534102</v>
      </c>
      <c r="AG22" s="135">
        <v>3074.6740205534102</v>
      </c>
      <c r="AH22" s="136">
        <v>3074.6740205534102</v>
      </c>
      <c r="AI22" s="131">
        <v>9.018478386</v>
      </c>
      <c r="AJ22" s="132">
        <v>9.018478386</v>
      </c>
      <c r="AK22" s="133">
        <v>9.018478386</v>
      </c>
      <c r="AL22" s="131">
        <v>327.48247980000002</v>
      </c>
      <c r="AM22" s="132">
        <v>327.48247980000002</v>
      </c>
      <c r="AN22" s="133">
        <v>327.48247980000002</v>
      </c>
      <c r="AO22" s="217" t="s">
        <v>110</v>
      </c>
      <c r="AP22" s="217"/>
      <c r="AQ22" s="217"/>
      <c r="AR22" s="217"/>
      <c r="AS22" s="217"/>
      <c r="AT22" s="71" t="s">
        <v>113</v>
      </c>
      <c r="AU22" s="72" t="s">
        <v>114</v>
      </c>
      <c r="AX22" s="70" t="s">
        <v>115</v>
      </c>
      <c r="AY22" s="4" t="s">
        <v>116</v>
      </c>
    </row>
    <row r="23" spans="1:52" ht="12.75" customHeight="1" x14ac:dyDescent="0.3">
      <c r="A23" s="252" t="s">
        <v>566</v>
      </c>
      <c r="B23" s="253"/>
      <c r="C23" s="254"/>
      <c r="D23" s="130">
        <v>7</v>
      </c>
      <c r="E23" s="249"/>
      <c r="F23" s="249"/>
      <c r="G23" s="249"/>
      <c r="H23" s="250"/>
      <c r="I23" s="131">
        <v>3188</v>
      </c>
      <c r="J23" s="132"/>
      <c r="K23" s="132"/>
      <c r="L23" s="133"/>
      <c r="M23" s="134">
        <v>32</v>
      </c>
      <c r="N23" s="135"/>
      <c r="O23" s="136"/>
      <c r="P23" s="30" t="s">
        <v>669</v>
      </c>
      <c r="Q23" s="31"/>
      <c r="R23" s="32"/>
      <c r="S23" s="30" t="s">
        <v>797</v>
      </c>
      <c r="T23" s="31"/>
      <c r="U23" s="32"/>
      <c r="V23" s="134">
        <v>2657</v>
      </c>
      <c r="W23" s="135"/>
      <c r="X23" s="136"/>
      <c r="Y23" s="141">
        <v>2661</v>
      </c>
      <c r="Z23" s="142"/>
      <c r="AA23" s="142"/>
      <c r="AB23" s="143"/>
      <c r="AC23" s="255">
        <v>3127</v>
      </c>
      <c r="AD23" s="256">
        <v>3127</v>
      </c>
      <c r="AE23" s="257">
        <v>3127</v>
      </c>
      <c r="AF23" s="134">
        <v>3103.3028902115898</v>
      </c>
      <c r="AG23" s="135">
        <v>3103.3028902115898</v>
      </c>
      <c r="AH23" s="136">
        <v>3103.3028902115898</v>
      </c>
      <c r="AI23" s="131">
        <v>9.3339008710000009</v>
      </c>
      <c r="AJ23" s="132">
        <v>9.3339008710000009</v>
      </c>
      <c r="AK23" s="133">
        <v>9.3339008710000009</v>
      </c>
      <c r="AL23" s="131">
        <v>328.75217650000002</v>
      </c>
      <c r="AM23" s="132">
        <v>328.75217650000002</v>
      </c>
      <c r="AN23" s="133">
        <v>328.75217650000002</v>
      </c>
      <c r="AO23" s="217" t="s">
        <v>110</v>
      </c>
      <c r="AP23" s="217"/>
      <c r="AQ23" s="217"/>
      <c r="AR23" s="217"/>
      <c r="AS23" s="217"/>
      <c r="AT23" s="71" t="s">
        <v>117</v>
      </c>
      <c r="AU23" s="72" t="s">
        <v>118</v>
      </c>
      <c r="AX23" s="70"/>
      <c r="AY23" s="83" t="s">
        <v>119</v>
      </c>
    </row>
    <row r="24" spans="1:52" ht="12.75" customHeight="1" x14ac:dyDescent="0.3">
      <c r="A24" s="252"/>
      <c r="B24" s="253"/>
      <c r="C24" s="254"/>
      <c r="D24" s="130"/>
      <c r="E24" s="249"/>
      <c r="F24" s="249"/>
      <c r="G24" s="249"/>
      <c r="H24" s="250"/>
      <c r="I24" s="251"/>
      <c r="J24" s="251"/>
      <c r="K24" s="251"/>
      <c r="L24" s="251"/>
      <c r="M24" s="134"/>
      <c r="N24" s="135"/>
      <c r="O24" s="136"/>
      <c r="P24" s="30"/>
      <c r="Q24" s="31"/>
      <c r="R24" s="32"/>
      <c r="S24" s="30"/>
      <c r="T24" s="31"/>
      <c r="U24" s="32"/>
      <c r="V24" s="131"/>
      <c r="W24" s="132"/>
      <c r="X24" s="133"/>
      <c r="Y24" s="131"/>
      <c r="Z24" s="132"/>
      <c r="AA24" s="132"/>
      <c r="AB24" s="133"/>
      <c r="AC24" s="255">
        <v>3156</v>
      </c>
      <c r="AD24" s="256">
        <v>3156</v>
      </c>
      <c r="AE24" s="257">
        <v>3156</v>
      </c>
      <c r="AF24" s="134">
        <v>3131.9140230293301</v>
      </c>
      <c r="AG24" s="135">
        <v>3131.9140230293301</v>
      </c>
      <c r="AH24" s="136">
        <v>3131.9140230293301</v>
      </c>
      <c r="AI24" s="131">
        <v>9.4529245189999997</v>
      </c>
      <c r="AJ24" s="132">
        <v>9.4529245189999997</v>
      </c>
      <c r="AK24" s="133">
        <v>9.4529245189999997</v>
      </c>
      <c r="AL24" s="131">
        <v>328.53481879999998</v>
      </c>
      <c r="AM24" s="132">
        <v>328.53481879999998</v>
      </c>
      <c r="AN24" s="133">
        <v>328.53481879999998</v>
      </c>
      <c r="AO24" s="217" t="s">
        <v>110</v>
      </c>
      <c r="AP24" s="217"/>
      <c r="AQ24" s="217"/>
      <c r="AR24" s="217"/>
      <c r="AS24" s="217"/>
      <c r="AT24" s="71" t="s">
        <v>120</v>
      </c>
      <c r="AU24" s="72"/>
      <c r="AX24" s="70"/>
      <c r="AY24" s="84" t="s">
        <v>121</v>
      </c>
    </row>
    <row r="25" spans="1:52" ht="12.75" customHeight="1" x14ac:dyDescent="0.3">
      <c r="A25" s="74" t="s">
        <v>122</v>
      </c>
      <c r="Z25" s="187" t="str">
        <f>IF((AND(AC29&lt;&gt;"",AC28&lt;&gt;""))=TRUE, "TWO VALUES FOR MAASP CALCULATION GIVEN","")</f>
        <v/>
      </c>
      <c r="AC25" s="255">
        <v>3169</v>
      </c>
      <c r="AD25" s="256">
        <v>3169</v>
      </c>
      <c r="AE25" s="257">
        <v>3169</v>
      </c>
      <c r="AF25" s="134">
        <v>3144.7373630300799</v>
      </c>
      <c r="AG25" s="135">
        <v>3144.7373630300799</v>
      </c>
      <c r="AH25" s="136">
        <v>3144.7373630300799</v>
      </c>
      <c r="AI25" s="131">
        <v>9.4600000000000009</v>
      </c>
      <c r="AJ25" s="132">
        <v>9.4600000000000009</v>
      </c>
      <c r="AK25" s="133">
        <v>9.4600000000000009</v>
      </c>
      <c r="AL25" s="131">
        <v>328.3</v>
      </c>
      <c r="AM25" s="132">
        <v>328.3</v>
      </c>
      <c r="AN25" s="133">
        <v>328.3</v>
      </c>
      <c r="AO25" s="217" t="s">
        <v>110</v>
      </c>
      <c r="AP25" s="217"/>
      <c r="AQ25" s="217"/>
      <c r="AR25" s="217"/>
      <c r="AS25" s="217"/>
      <c r="AT25" s="75" t="s">
        <v>123</v>
      </c>
      <c r="AU25" s="76"/>
      <c r="AX25" s="70"/>
      <c r="AY25" s="80" t="s">
        <v>116</v>
      </c>
    </row>
    <row r="26" spans="1:52" ht="12.75" customHeight="1" x14ac:dyDescent="0.3">
      <c r="A26" s="87" t="s">
        <v>124</v>
      </c>
      <c r="B26" s="88"/>
      <c r="C26" s="88"/>
      <c r="D26" s="88"/>
      <c r="E26" s="88"/>
      <c r="F26" s="88"/>
      <c r="G26" s="88"/>
      <c r="H26" s="88"/>
      <c r="I26" s="88"/>
      <c r="J26" s="110" t="s">
        <v>125</v>
      </c>
      <c r="K26" s="92"/>
      <c r="L26" s="110" t="s">
        <v>561</v>
      </c>
      <c r="M26" s="92"/>
      <c r="N26" s="131"/>
      <c r="O26" s="132"/>
      <c r="P26" s="132"/>
      <c r="Q26" s="133"/>
      <c r="R26" s="110" t="s">
        <v>126</v>
      </c>
      <c r="S26" s="111"/>
      <c r="T26" s="92"/>
      <c r="U26" s="79" t="s">
        <v>37</v>
      </c>
      <c r="V26" s="134"/>
      <c r="W26" s="135"/>
      <c r="X26" s="135"/>
      <c r="Y26" s="135"/>
      <c r="Z26" s="87" t="s">
        <v>127</v>
      </c>
      <c r="AA26" s="88"/>
      <c r="AB26" s="88"/>
      <c r="AC26" s="88"/>
      <c r="AD26" s="88"/>
      <c r="AE26" s="88"/>
      <c r="AF26" s="88"/>
      <c r="AG26" s="88"/>
      <c r="AH26" s="87" t="s">
        <v>562</v>
      </c>
      <c r="AI26" s="88"/>
      <c r="AJ26" s="88"/>
      <c r="AK26" s="88"/>
      <c r="AL26" s="88"/>
      <c r="AM26" s="88"/>
      <c r="AN26" s="88"/>
      <c r="AO26" s="89"/>
      <c r="AP26" s="140" t="s">
        <v>128</v>
      </c>
      <c r="AQ26" s="140"/>
      <c r="AR26" s="140"/>
      <c r="AS26" s="140"/>
      <c r="AT26" s="67" t="s">
        <v>129</v>
      </c>
      <c r="AX26" s="70" t="s">
        <v>130</v>
      </c>
      <c r="AY26" s="4" t="s">
        <v>131</v>
      </c>
    </row>
    <row r="27" spans="1:52" ht="12.75" customHeight="1" x14ac:dyDescent="0.3">
      <c r="A27" s="102" t="s">
        <v>563</v>
      </c>
      <c r="B27" s="102"/>
      <c r="C27" s="102"/>
      <c r="D27" s="102"/>
      <c r="E27" s="102"/>
      <c r="F27" s="102"/>
      <c r="G27" s="102"/>
      <c r="H27" s="102"/>
      <c r="I27" s="102"/>
      <c r="J27" s="102" t="s">
        <v>564</v>
      </c>
      <c r="K27" s="102"/>
      <c r="L27" s="102"/>
      <c r="M27" s="102"/>
      <c r="N27" s="102"/>
      <c r="O27" s="102"/>
      <c r="P27" s="102"/>
      <c r="Q27" s="102"/>
      <c r="R27" s="102" t="s">
        <v>565</v>
      </c>
      <c r="S27" s="102"/>
      <c r="T27" s="102"/>
      <c r="U27" s="102"/>
      <c r="V27" s="102"/>
      <c r="W27" s="102"/>
      <c r="X27" s="102"/>
      <c r="Y27" s="106"/>
      <c r="Z27" s="258" t="s">
        <v>132</v>
      </c>
      <c r="AA27" s="258"/>
      <c r="AB27" s="258"/>
      <c r="AC27" s="259">
        <f>(AC29-H79)*1.42*AC30</f>
        <v>5846.2819999999992</v>
      </c>
      <c r="AD27" s="259"/>
      <c r="AE27" s="259"/>
      <c r="AF27" s="260" t="s">
        <v>131</v>
      </c>
      <c r="AG27" s="260"/>
      <c r="AH27" s="27" t="s">
        <v>718</v>
      </c>
      <c r="AI27" s="28"/>
      <c r="AJ27" s="29"/>
      <c r="AK27" s="27" t="s">
        <v>719</v>
      </c>
      <c r="AL27" s="29"/>
      <c r="AM27" s="30" t="s">
        <v>720</v>
      </c>
      <c r="AN27" s="31"/>
      <c r="AO27" s="32"/>
      <c r="AP27" s="261">
        <v>43959</v>
      </c>
      <c r="AQ27" s="261"/>
      <c r="AR27" s="261"/>
      <c r="AS27" s="261"/>
      <c r="AT27" s="68" t="s">
        <v>104</v>
      </c>
      <c r="AU27" s="69" t="s">
        <v>133</v>
      </c>
      <c r="AX27" s="70"/>
      <c r="AY27" s="83" t="s">
        <v>134</v>
      </c>
    </row>
    <row r="28" spans="1:52" ht="12.75" customHeight="1" x14ac:dyDescent="0.3">
      <c r="A28" s="259"/>
      <c r="B28" s="259"/>
      <c r="C28" s="79" t="s">
        <v>135</v>
      </c>
      <c r="D28" s="79"/>
      <c r="E28" s="33"/>
      <c r="F28" s="38"/>
      <c r="G28" s="34"/>
      <c r="H28" s="110" t="s">
        <v>131</v>
      </c>
      <c r="I28" s="92"/>
      <c r="J28" s="259"/>
      <c r="K28" s="259"/>
      <c r="L28" s="79" t="s">
        <v>135</v>
      </c>
      <c r="M28" s="79"/>
      <c r="N28" s="259"/>
      <c r="O28" s="259"/>
      <c r="P28" s="110" t="s">
        <v>131</v>
      </c>
      <c r="Q28" s="92"/>
      <c r="R28" s="259"/>
      <c r="S28" s="259"/>
      <c r="T28" s="79" t="s">
        <v>135</v>
      </c>
      <c r="U28" s="79"/>
      <c r="V28" s="259"/>
      <c r="W28" s="259"/>
      <c r="X28" s="110" t="s">
        <v>131</v>
      </c>
      <c r="Y28" s="111"/>
      <c r="Z28" s="258" t="s">
        <v>136</v>
      </c>
      <c r="AA28" s="258"/>
      <c r="AB28" s="258"/>
      <c r="AC28" s="251"/>
      <c r="AD28" s="251"/>
      <c r="AE28" s="251"/>
      <c r="AF28" s="260" t="s">
        <v>561</v>
      </c>
      <c r="AG28" s="260"/>
      <c r="AH28" s="27" t="s">
        <v>718</v>
      </c>
      <c r="AI28" s="28"/>
      <c r="AJ28" s="29"/>
      <c r="AK28" s="27" t="s">
        <v>721</v>
      </c>
      <c r="AL28" s="29"/>
      <c r="AM28" s="30" t="s">
        <v>722</v>
      </c>
      <c r="AN28" s="31"/>
      <c r="AO28" s="32"/>
      <c r="AP28" s="261">
        <v>43959</v>
      </c>
      <c r="AQ28" s="261"/>
      <c r="AR28" s="261"/>
      <c r="AS28" s="261"/>
      <c r="AT28" s="71" t="s">
        <v>137</v>
      </c>
      <c r="AU28" s="72" t="s">
        <v>138</v>
      </c>
      <c r="AX28" s="70"/>
      <c r="AY28" s="84" t="s">
        <v>131</v>
      </c>
    </row>
    <row r="29" spans="1:52" ht="12.75" customHeight="1" x14ac:dyDescent="0.3">
      <c r="A29" s="259"/>
      <c r="B29" s="259"/>
      <c r="C29" s="79" t="s">
        <v>135</v>
      </c>
      <c r="D29" s="79"/>
      <c r="E29" s="33"/>
      <c r="F29" s="38"/>
      <c r="G29" s="34"/>
      <c r="H29" s="110" t="s">
        <v>131</v>
      </c>
      <c r="I29" s="92"/>
      <c r="J29" s="259"/>
      <c r="K29" s="259"/>
      <c r="L29" s="79" t="s">
        <v>135</v>
      </c>
      <c r="M29" s="79"/>
      <c r="N29" s="259"/>
      <c r="O29" s="259"/>
      <c r="P29" s="110" t="s">
        <v>131</v>
      </c>
      <c r="Q29" s="92"/>
      <c r="R29" s="259"/>
      <c r="S29" s="259"/>
      <c r="T29" s="79" t="s">
        <v>135</v>
      </c>
      <c r="U29" s="79"/>
      <c r="V29" s="259"/>
      <c r="W29" s="259"/>
      <c r="X29" s="110" t="s">
        <v>131</v>
      </c>
      <c r="Y29" s="111"/>
      <c r="Z29" s="258" t="s">
        <v>139</v>
      </c>
      <c r="AA29" s="258"/>
      <c r="AB29" s="258"/>
      <c r="AC29" s="251">
        <v>1.3</v>
      </c>
      <c r="AD29" s="251"/>
      <c r="AE29" s="251"/>
      <c r="AF29" s="260" t="s">
        <v>561</v>
      </c>
      <c r="AG29" s="260"/>
      <c r="AH29" s="27" t="s">
        <v>718</v>
      </c>
      <c r="AI29" s="28"/>
      <c r="AJ29" s="29"/>
      <c r="AK29" s="27" t="s">
        <v>721</v>
      </c>
      <c r="AL29" s="29"/>
      <c r="AM29" s="30" t="s">
        <v>723</v>
      </c>
      <c r="AN29" s="31"/>
      <c r="AO29" s="32"/>
      <c r="AP29" s="261">
        <v>43959</v>
      </c>
      <c r="AQ29" s="261"/>
      <c r="AR29" s="261"/>
      <c r="AS29" s="261"/>
      <c r="AT29" s="71" t="s">
        <v>140</v>
      </c>
      <c r="AU29" s="72" t="s">
        <v>141</v>
      </c>
      <c r="AY29" s="5"/>
      <c r="AZ29" s="159" t="s">
        <v>72</v>
      </c>
    </row>
    <row r="30" spans="1:52" ht="12.75" customHeight="1" x14ac:dyDescent="0.3">
      <c r="A30" s="259"/>
      <c r="B30" s="259"/>
      <c r="C30" s="79" t="s">
        <v>135</v>
      </c>
      <c r="D30" s="79"/>
      <c r="E30" s="33"/>
      <c r="F30" s="38"/>
      <c r="G30" s="34"/>
      <c r="H30" s="110" t="s">
        <v>131</v>
      </c>
      <c r="I30" s="92"/>
      <c r="J30" s="259"/>
      <c r="K30" s="259"/>
      <c r="L30" s="79" t="s">
        <v>135</v>
      </c>
      <c r="M30" s="79"/>
      <c r="N30" s="259"/>
      <c r="O30" s="259"/>
      <c r="P30" s="110" t="s">
        <v>131</v>
      </c>
      <c r="Q30" s="92"/>
      <c r="R30" s="259"/>
      <c r="S30" s="259"/>
      <c r="T30" s="79" t="s">
        <v>135</v>
      </c>
      <c r="U30" s="79"/>
      <c r="V30" s="259"/>
      <c r="W30" s="259"/>
      <c r="X30" s="110" t="s">
        <v>131</v>
      </c>
      <c r="Y30" s="111"/>
      <c r="Z30" s="262" t="s">
        <v>142</v>
      </c>
      <c r="AA30" s="263"/>
      <c r="AB30" s="264"/>
      <c r="AC30" s="134">
        <v>3167</v>
      </c>
      <c r="AD30" s="135"/>
      <c r="AE30" s="136"/>
      <c r="AF30" s="112" t="s">
        <v>37</v>
      </c>
      <c r="AG30" s="113"/>
      <c r="AH30" s="27" t="s">
        <v>718</v>
      </c>
      <c r="AI30" s="28"/>
      <c r="AJ30" s="29"/>
      <c r="AK30" s="27" t="s">
        <v>721</v>
      </c>
      <c r="AL30" s="29"/>
      <c r="AM30" s="30" t="s">
        <v>943</v>
      </c>
      <c r="AN30" s="31"/>
      <c r="AO30" s="32"/>
      <c r="AP30" s="261">
        <v>43959</v>
      </c>
      <c r="AQ30" s="261"/>
      <c r="AR30" s="261"/>
      <c r="AS30" s="261"/>
      <c r="AT30" s="71" t="s">
        <v>143</v>
      </c>
      <c r="AU30" s="72" t="s">
        <v>144</v>
      </c>
      <c r="AX30" s="70" t="s">
        <v>145</v>
      </c>
      <c r="AY30" s="4" t="s">
        <v>146</v>
      </c>
    </row>
    <row r="31" spans="1:52" ht="12.75" customHeight="1" x14ac:dyDescent="0.3">
      <c r="A31" s="265" t="s">
        <v>471</v>
      </c>
      <c r="B31" s="265"/>
      <c r="C31" s="265"/>
      <c r="D31" s="265"/>
      <c r="E31" s="265"/>
      <c r="F31" s="265"/>
      <c r="G31" s="265"/>
      <c r="H31" s="265"/>
      <c r="I31" s="265"/>
      <c r="J31" s="265"/>
      <c r="K31" s="265"/>
      <c r="L31" s="265"/>
      <c r="M31" s="265"/>
      <c r="N31" s="265"/>
      <c r="O31" s="265"/>
      <c r="P31" s="265"/>
      <c r="Q31" s="265"/>
      <c r="R31" s="265"/>
      <c r="S31" s="265"/>
      <c r="T31" s="265"/>
      <c r="U31" s="265"/>
      <c r="V31" s="265"/>
      <c r="W31" s="265"/>
      <c r="X31" s="265"/>
      <c r="Y31" s="265"/>
      <c r="Z31" s="126"/>
      <c r="AA31" s="126"/>
      <c r="AB31" s="126"/>
      <c r="AC31" s="126"/>
      <c r="AD31" s="126"/>
      <c r="AE31" s="126"/>
      <c r="AF31" s="126"/>
      <c r="AG31" s="126"/>
      <c r="AH31" s="126"/>
      <c r="AI31" s="126"/>
      <c r="AJ31" s="126"/>
      <c r="AK31" s="126"/>
      <c r="AL31" s="126"/>
      <c r="AM31" s="126"/>
      <c r="AN31" s="126"/>
      <c r="AO31" s="126"/>
      <c r="AP31" s="126"/>
      <c r="AQ31" s="126"/>
      <c r="AR31" s="126"/>
      <c r="AS31" s="126"/>
      <c r="AT31" s="159" t="s">
        <v>566</v>
      </c>
      <c r="AU31" s="72" t="s">
        <v>147</v>
      </c>
      <c r="AX31" s="70"/>
      <c r="AY31" s="73" t="s">
        <v>146</v>
      </c>
    </row>
    <row r="32" spans="1:52" ht="12.75" customHeight="1" x14ac:dyDescent="0.3">
      <c r="A32" s="120" t="s">
        <v>472</v>
      </c>
      <c r="B32" s="121"/>
      <c r="C32" s="16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5"/>
      <c r="AM32" s="165"/>
      <c r="AN32" s="165"/>
      <c r="AO32" s="165"/>
      <c r="AP32" s="165"/>
      <c r="AQ32" s="165"/>
      <c r="AR32" s="165"/>
      <c r="AS32" s="166"/>
      <c r="AT32" s="85" t="s">
        <v>108</v>
      </c>
      <c r="AU32" s="76" t="s">
        <v>148</v>
      </c>
      <c r="AX32" s="70"/>
      <c r="AY32" s="77" t="s">
        <v>149</v>
      </c>
    </row>
    <row r="33" spans="1:66" ht="12.75" customHeight="1" x14ac:dyDescent="0.3">
      <c r="A33" s="167"/>
      <c r="B33" s="168"/>
      <c r="C33" s="266"/>
      <c r="D33" s="267"/>
      <c r="E33" s="267"/>
      <c r="F33" s="267"/>
      <c r="G33" s="267"/>
      <c r="H33" s="267"/>
      <c r="I33" s="267"/>
      <c r="J33" s="267"/>
      <c r="K33" s="267"/>
      <c r="L33" s="267"/>
      <c r="M33" s="267"/>
      <c r="N33" s="267"/>
      <c r="O33" s="267"/>
      <c r="P33" s="267"/>
      <c r="Q33" s="267"/>
      <c r="R33" s="267"/>
      <c r="S33" s="267"/>
      <c r="T33" s="267"/>
      <c r="U33" s="267"/>
      <c r="V33" s="267"/>
      <c r="W33" s="267"/>
      <c r="X33" s="267"/>
      <c r="Y33" s="267"/>
      <c r="Z33" s="267"/>
      <c r="AA33" s="267"/>
      <c r="AB33" s="267"/>
      <c r="AC33" s="267"/>
      <c r="AD33" s="267"/>
      <c r="AE33" s="267"/>
      <c r="AF33" s="267"/>
      <c r="AG33" s="267"/>
      <c r="AH33" s="267"/>
      <c r="AI33" s="267"/>
      <c r="AJ33" s="268"/>
      <c r="AK33" s="144" t="s">
        <v>150</v>
      </c>
      <c r="AL33" s="145"/>
      <c r="AM33" s="145"/>
      <c r="AN33" s="146"/>
      <c r="AO33" s="269" t="str">
        <f>AY6</f>
        <v>m</v>
      </c>
      <c r="AP33" s="270"/>
      <c r="AQ33" s="409"/>
      <c r="AR33" s="410"/>
      <c r="AS33" s="411"/>
      <c r="AX33" s="70"/>
      <c r="AY33" s="77" t="s">
        <v>151</v>
      </c>
    </row>
    <row r="34" spans="1:66" ht="12.75" customHeight="1" x14ac:dyDescent="0.3">
      <c r="A34" s="169"/>
      <c r="B34" s="170"/>
      <c r="C34" s="271"/>
      <c r="D34" s="272"/>
      <c r="E34" s="272"/>
      <c r="F34" s="272"/>
      <c r="G34" s="272"/>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2"/>
      <c r="AI34" s="272"/>
      <c r="AJ34" s="273"/>
      <c r="AK34" s="144" t="s">
        <v>152</v>
      </c>
      <c r="AL34" s="145"/>
      <c r="AM34" s="145"/>
      <c r="AN34" s="146"/>
      <c r="AO34" s="269" t="str">
        <f>AY30</f>
        <v>t</v>
      </c>
      <c r="AP34" s="270"/>
      <c r="AQ34" s="137"/>
      <c r="AR34" s="138"/>
      <c r="AS34" s="139"/>
      <c r="AX34" s="70"/>
      <c r="AY34" s="80" t="s">
        <v>153</v>
      </c>
    </row>
    <row r="35" spans="1:66" ht="12.75" customHeight="1" x14ac:dyDescent="0.3">
      <c r="A35" s="171"/>
      <c r="B35" s="172"/>
      <c r="C35" s="274"/>
      <c r="D35" s="275"/>
      <c r="E35" s="275"/>
      <c r="F35" s="275"/>
      <c r="G35" s="275"/>
      <c r="H35" s="275"/>
      <c r="I35" s="275"/>
      <c r="J35" s="275"/>
      <c r="K35" s="275"/>
      <c r="L35" s="275"/>
      <c r="M35" s="275"/>
      <c r="N35" s="275"/>
      <c r="O35" s="275"/>
      <c r="P35" s="275"/>
      <c r="Q35" s="275"/>
      <c r="R35" s="275"/>
      <c r="S35" s="275"/>
      <c r="T35" s="275"/>
      <c r="U35" s="275"/>
      <c r="V35" s="275"/>
      <c r="W35" s="275"/>
      <c r="X35" s="275"/>
      <c r="Y35" s="275"/>
      <c r="Z35" s="275"/>
      <c r="AA35" s="275"/>
      <c r="AB35" s="275"/>
      <c r="AC35" s="275"/>
      <c r="AD35" s="275"/>
      <c r="AE35" s="275"/>
      <c r="AF35" s="275"/>
      <c r="AG35" s="275"/>
      <c r="AH35" s="275"/>
      <c r="AI35" s="275"/>
      <c r="AJ35" s="276"/>
      <c r="AK35" s="144" t="s">
        <v>154</v>
      </c>
      <c r="AL35" s="145"/>
      <c r="AM35" s="145"/>
      <c r="AN35" s="146"/>
      <c r="AO35" s="269" t="str">
        <f>AY30</f>
        <v>t</v>
      </c>
      <c r="AP35" s="270"/>
      <c r="AQ35" s="277"/>
      <c r="AR35" s="278"/>
      <c r="AS35" s="279"/>
      <c r="AX35" s="70" t="s">
        <v>567</v>
      </c>
      <c r="AY35" s="4" t="s">
        <v>155</v>
      </c>
    </row>
    <row r="36" spans="1:66" ht="12.75" customHeight="1" x14ac:dyDescent="0.3">
      <c r="A36" s="87" t="s">
        <v>156</v>
      </c>
      <c r="B36" s="88"/>
      <c r="C36" s="88"/>
      <c r="D36" s="88"/>
      <c r="E36" s="88"/>
      <c r="F36" s="88"/>
      <c r="G36" s="88"/>
      <c r="H36" s="88"/>
      <c r="I36" s="88"/>
      <c r="J36" s="88"/>
      <c r="K36" s="88"/>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8"/>
      <c r="AM36" s="88"/>
      <c r="AN36" s="88"/>
      <c r="AO36" s="88"/>
      <c r="AP36" s="88"/>
      <c r="AQ36" s="88"/>
      <c r="AR36" s="88"/>
      <c r="AS36" s="89"/>
      <c r="AX36" s="70"/>
      <c r="AY36" s="73" t="s">
        <v>146</v>
      </c>
    </row>
    <row r="37" spans="1:66" ht="12.75" customHeight="1" x14ac:dyDescent="0.3">
      <c r="A37" s="110" t="s">
        <v>17</v>
      </c>
      <c r="B37" s="92"/>
      <c r="C37" s="110" t="s">
        <v>157</v>
      </c>
      <c r="D37" s="111"/>
      <c r="E37" s="92"/>
      <c r="F37" s="110" t="s">
        <v>90</v>
      </c>
      <c r="G37" s="111"/>
      <c r="H37" s="92"/>
      <c r="I37" s="110" t="str">
        <f>AY3</f>
        <v>in</v>
      </c>
      <c r="J37" s="92"/>
      <c r="K37" s="110" t="s">
        <v>158</v>
      </c>
      <c r="L37" s="111"/>
      <c r="M37" s="92"/>
      <c r="N37" s="110" t="s">
        <v>89</v>
      </c>
      <c r="O37" s="111"/>
      <c r="P37" s="111"/>
      <c r="Q37" s="111"/>
      <c r="R37" s="92"/>
      <c r="S37" s="110" t="s">
        <v>159</v>
      </c>
      <c r="T37" s="111"/>
      <c r="U37" s="92"/>
      <c r="V37" s="110" t="s">
        <v>160</v>
      </c>
      <c r="W37" s="111"/>
      <c r="X37" s="111"/>
      <c r="Y37" s="92"/>
      <c r="Z37" s="110" t="s">
        <v>161</v>
      </c>
      <c r="AA37" s="111"/>
      <c r="AB37" s="111"/>
      <c r="AC37" s="92"/>
      <c r="AD37" s="110" t="s">
        <v>162</v>
      </c>
      <c r="AE37" s="111"/>
      <c r="AF37" s="92"/>
      <c r="AG37" s="112" t="s">
        <v>163</v>
      </c>
      <c r="AH37" s="113"/>
      <c r="AI37" s="110" t="str">
        <f>AY35</f>
        <v>in²</v>
      </c>
      <c r="AJ37" s="92"/>
      <c r="AK37" s="110" t="s">
        <v>164</v>
      </c>
      <c r="AL37" s="111"/>
      <c r="AM37" s="111"/>
      <c r="AN37" s="111"/>
      <c r="AO37" s="111"/>
      <c r="AP37" s="111"/>
      <c r="AQ37" s="111"/>
      <c r="AR37" s="111"/>
      <c r="AS37" s="92"/>
      <c r="AX37" s="70"/>
      <c r="AY37" s="77" t="s">
        <v>149</v>
      </c>
    </row>
    <row r="38" spans="1:66" ht="12.75" customHeight="1" x14ac:dyDescent="0.3">
      <c r="A38" s="33"/>
      <c r="B38" s="34"/>
      <c r="C38" s="27"/>
      <c r="D38" s="28"/>
      <c r="E38" s="29"/>
      <c r="F38" s="130"/>
      <c r="G38" s="249"/>
      <c r="H38" s="249"/>
      <c r="I38" s="249"/>
      <c r="J38" s="250"/>
      <c r="K38" s="30"/>
      <c r="L38" s="31"/>
      <c r="M38" s="32"/>
      <c r="N38" s="30"/>
      <c r="O38" s="31"/>
      <c r="P38" s="31"/>
      <c r="Q38" s="31"/>
      <c r="R38" s="32"/>
      <c r="S38" s="30"/>
      <c r="T38" s="31"/>
      <c r="U38" s="32"/>
      <c r="V38" s="27"/>
      <c r="W38" s="28"/>
      <c r="X38" s="28"/>
      <c r="Y38" s="29"/>
      <c r="Z38" s="27"/>
      <c r="AA38" s="28"/>
      <c r="AB38" s="28"/>
      <c r="AC38" s="28"/>
      <c r="AD38" s="28"/>
      <c r="AE38" s="28"/>
      <c r="AF38" s="29"/>
      <c r="AG38" s="117"/>
      <c r="AH38" s="118"/>
      <c r="AI38" s="118"/>
      <c r="AJ38" s="119"/>
      <c r="AK38" s="27"/>
      <c r="AL38" s="28"/>
      <c r="AM38" s="28"/>
      <c r="AN38" s="28"/>
      <c r="AO38" s="28"/>
      <c r="AP38" s="28"/>
      <c r="AQ38" s="28"/>
      <c r="AR38" s="28"/>
      <c r="AS38" s="29"/>
      <c r="AY38" s="77" t="s">
        <v>151</v>
      </c>
    </row>
    <row r="39" spans="1:66" ht="12.75" customHeight="1" x14ac:dyDescent="0.3">
      <c r="A39" s="33"/>
      <c r="B39" s="34"/>
      <c r="C39" s="27"/>
      <c r="D39" s="28"/>
      <c r="E39" s="29"/>
      <c r="F39" s="130"/>
      <c r="G39" s="249"/>
      <c r="H39" s="249"/>
      <c r="I39" s="249"/>
      <c r="J39" s="250"/>
      <c r="K39" s="30"/>
      <c r="L39" s="31"/>
      <c r="M39" s="32"/>
      <c r="N39" s="30"/>
      <c r="O39" s="31"/>
      <c r="P39" s="31"/>
      <c r="Q39" s="31"/>
      <c r="R39" s="32"/>
      <c r="S39" s="30"/>
      <c r="T39" s="31"/>
      <c r="U39" s="32"/>
      <c r="V39" s="27"/>
      <c r="W39" s="28"/>
      <c r="X39" s="28"/>
      <c r="Y39" s="29"/>
      <c r="Z39" s="27"/>
      <c r="AA39" s="28"/>
      <c r="AB39" s="28"/>
      <c r="AC39" s="28"/>
      <c r="AD39" s="28"/>
      <c r="AE39" s="28"/>
      <c r="AF39" s="29"/>
      <c r="AG39" s="117"/>
      <c r="AH39" s="118"/>
      <c r="AI39" s="118"/>
      <c r="AJ39" s="119"/>
      <c r="AK39" s="27"/>
      <c r="AL39" s="28"/>
      <c r="AM39" s="28"/>
      <c r="AN39" s="28"/>
      <c r="AO39" s="28"/>
      <c r="AP39" s="28"/>
      <c r="AQ39" s="28"/>
      <c r="AR39" s="28"/>
      <c r="AS39" s="29"/>
      <c r="AY39" s="80" t="s">
        <v>153</v>
      </c>
    </row>
    <row r="40" spans="1:66" ht="12.75" customHeight="1" x14ac:dyDescent="0.3">
      <c r="A40" s="110" t="s">
        <v>17</v>
      </c>
      <c r="B40" s="92"/>
      <c r="C40" s="110" t="s">
        <v>157</v>
      </c>
      <c r="D40" s="111"/>
      <c r="E40" s="92"/>
      <c r="F40" s="110" t="s">
        <v>458</v>
      </c>
      <c r="G40" s="111"/>
      <c r="H40" s="92"/>
      <c r="I40" s="110" t="str">
        <f>AY6</f>
        <v>m</v>
      </c>
      <c r="J40" s="92"/>
      <c r="K40" s="110" t="s">
        <v>459</v>
      </c>
      <c r="L40" s="92"/>
      <c r="M40" s="110" t="str">
        <f>AY6</f>
        <v>m</v>
      </c>
      <c r="N40" s="92"/>
      <c r="O40" s="110" t="s">
        <v>460</v>
      </c>
      <c r="P40" s="92"/>
      <c r="Q40" s="110" t="str">
        <f>AY6</f>
        <v>m</v>
      </c>
      <c r="R40" s="92"/>
      <c r="S40" s="110" t="s">
        <v>460</v>
      </c>
      <c r="T40" s="92"/>
      <c r="U40" s="110" t="s">
        <v>461</v>
      </c>
      <c r="V40" s="92"/>
      <c r="W40" s="110" t="s">
        <v>462</v>
      </c>
      <c r="X40" s="111"/>
      <c r="Y40" s="92"/>
      <c r="Z40" s="110" t="str">
        <f>AY16</f>
        <v>m/hr</v>
      </c>
      <c r="AA40" s="92"/>
      <c r="AB40" s="110" t="s">
        <v>463</v>
      </c>
      <c r="AC40" s="111"/>
      <c r="AD40" s="111"/>
      <c r="AE40" s="92"/>
      <c r="AF40" s="110" t="s">
        <v>464</v>
      </c>
      <c r="AG40" s="111"/>
      <c r="AH40" s="92"/>
      <c r="AI40" s="110" t="s">
        <v>146</v>
      </c>
      <c r="AJ40" s="92"/>
      <c r="AK40" s="110" t="s">
        <v>465</v>
      </c>
      <c r="AL40" s="111"/>
      <c r="AM40" s="111"/>
      <c r="AN40" s="92"/>
      <c r="AO40" s="110" t="s">
        <v>466</v>
      </c>
      <c r="AP40" s="111"/>
      <c r="AQ40" s="111"/>
      <c r="AR40" s="111"/>
      <c r="AS40" s="92"/>
      <c r="AX40" s="159" t="s">
        <v>165</v>
      </c>
      <c r="AY40" s="4" t="s">
        <v>146</v>
      </c>
    </row>
    <row r="41" spans="1:66" ht="12.75" customHeight="1" x14ac:dyDescent="0.3">
      <c r="A41" s="141"/>
      <c r="B41" s="143"/>
      <c r="C41" s="27"/>
      <c r="D41" s="28"/>
      <c r="E41" s="29"/>
      <c r="F41" s="134"/>
      <c r="G41" s="135"/>
      <c r="H41" s="135"/>
      <c r="I41" s="135"/>
      <c r="J41" s="136"/>
      <c r="K41" s="134"/>
      <c r="L41" s="135"/>
      <c r="M41" s="135"/>
      <c r="N41" s="136"/>
      <c r="O41" s="134"/>
      <c r="P41" s="135"/>
      <c r="Q41" s="135"/>
      <c r="R41" s="136"/>
      <c r="S41" s="134"/>
      <c r="T41" s="135"/>
      <c r="U41" s="135"/>
      <c r="V41" s="136"/>
      <c r="W41" s="131"/>
      <c r="X41" s="132"/>
      <c r="Y41" s="132"/>
      <c r="Z41" s="132"/>
      <c r="AA41" s="133"/>
      <c r="AB41" s="141"/>
      <c r="AC41" s="142"/>
      <c r="AD41" s="142"/>
      <c r="AE41" s="143"/>
      <c r="AF41" s="117"/>
      <c r="AG41" s="118"/>
      <c r="AH41" s="118"/>
      <c r="AI41" s="118"/>
      <c r="AJ41" s="119"/>
      <c r="AK41" s="141"/>
      <c r="AL41" s="142"/>
      <c r="AM41" s="142"/>
      <c r="AN41" s="143"/>
      <c r="AO41" s="141"/>
      <c r="AP41" s="142"/>
      <c r="AQ41" s="142"/>
      <c r="AR41" s="142"/>
      <c r="AS41" s="143"/>
      <c r="AY41" s="73" t="s">
        <v>146</v>
      </c>
    </row>
    <row r="42" spans="1:66" ht="12.75" customHeight="1" x14ac:dyDescent="0.3">
      <c r="A42" s="141"/>
      <c r="B42" s="143"/>
      <c r="C42" s="27"/>
      <c r="D42" s="28"/>
      <c r="E42" s="29"/>
      <c r="F42" s="134"/>
      <c r="G42" s="135"/>
      <c r="H42" s="135"/>
      <c r="I42" s="135"/>
      <c r="J42" s="136"/>
      <c r="K42" s="134"/>
      <c r="L42" s="135"/>
      <c r="M42" s="135"/>
      <c r="N42" s="136"/>
      <c r="O42" s="134"/>
      <c r="P42" s="135"/>
      <c r="Q42" s="135"/>
      <c r="R42" s="136"/>
      <c r="S42" s="134"/>
      <c r="T42" s="135"/>
      <c r="U42" s="135"/>
      <c r="V42" s="136"/>
      <c r="W42" s="131"/>
      <c r="X42" s="132"/>
      <c r="Y42" s="132"/>
      <c r="Z42" s="132"/>
      <c r="AA42" s="133"/>
      <c r="AB42" s="141"/>
      <c r="AC42" s="142"/>
      <c r="AD42" s="142"/>
      <c r="AE42" s="143"/>
      <c r="AF42" s="117"/>
      <c r="AG42" s="118"/>
      <c r="AH42" s="118"/>
      <c r="AI42" s="118"/>
      <c r="AJ42" s="119"/>
      <c r="AK42" s="141"/>
      <c r="AL42" s="142"/>
      <c r="AM42" s="142"/>
      <c r="AN42" s="143"/>
      <c r="AO42" s="141"/>
      <c r="AP42" s="142"/>
      <c r="AQ42" s="142"/>
      <c r="AR42" s="142"/>
      <c r="AS42" s="143"/>
      <c r="AY42" s="77" t="s">
        <v>149</v>
      </c>
    </row>
    <row r="43" spans="1:66" ht="12.75" customHeight="1" x14ac:dyDescent="0.3">
      <c r="A43" s="90"/>
      <c r="B43" s="78"/>
      <c r="C43" s="78"/>
      <c r="D43" s="78"/>
      <c r="E43" s="78"/>
      <c r="F43" s="78"/>
      <c r="G43" s="78"/>
      <c r="H43" s="78"/>
      <c r="I43" s="78"/>
      <c r="J43" s="78"/>
      <c r="K43" s="78"/>
      <c r="L43" s="78"/>
      <c r="M43" s="78"/>
      <c r="N43" s="78"/>
      <c r="O43" s="78"/>
      <c r="P43" s="78"/>
      <c r="Q43" s="78"/>
      <c r="R43" s="78"/>
      <c r="S43" s="78"/>
      <c r="T43" s="78"/>
      <c r="U43" s="78"/>
      <c r="V43" s="78"/>
      <c r="W43" s="78"/>
      <c r="X43" s="78"/>
      <c r="Y43" s="78"/>
      <c r="Z43" s="78"/>
      <c r="AA43" s="78"/>
      <c r="AB43" s="78"/>
      <c r="AC43" s="78"/>
      <c r="AD43" s="78"/>
      <c r="AE43" s="78"/>
      <c r="AF43" s="78"/>
      <c r="AG43" s="78"/>
      <c r="AH43" s="78"/>
      <c r="AI43" s="78"/>
      <c r="AJ43" s="78"/>
      <c r="AK43" s="78"/>
      <c r="AL43" s="78"/>
      <c r="AM43" s="78"/>
      <c r="AN43" s="78"/>
      <c r="AO43" s="78"/>
      <c r="AP43" s="78"/>
      <c r="AQ43" s="78"/>
      <c r="AR43" s="78"/>
      <c r="AS43" s="69"/>
      <c r="AY43" s="77" t="s">
        <v>151</v>
      </c>
    </row>
    <row r="44" spans="1:66" ht="12.75" customHeight="1" x14ac:dyDescent="0.3">
      <c r="A44" s="110" t="s">
        <v>17</v>
      </c>
      <c r="B44" s="92"/>
      <c r="C44" s="110" t="s">
        <v>166</v>
      </c>
      <c r="D44" s="111"/>
      <c r="E44" s="111"/>
      <c r="F44" s="111"/>
      <c r="G44" s="111"/>
      <c r="H44" s="111"/>
      <c r="I44" s="92"/>
      <c r="J44" s="110" t="s">
        <v>167</v>
      </c>
      <c r="K44" s="111"/>
      <c r="L44" s="111"/>
      <c r="M44" s="111"/>
      <c r="N44" s="111"/>
      <c r="O44" s="92"/>
      <c r="P44" s="110" t="s">
        <v>35</v>
      </c>
      <c r="Q44" s="92"/>
      <c r="R44" s="110" t="s">
        <v>168</v>
      </c>
      <c r="S44" s="92"/>
      <c r="T44" s="110" t="s">
        <v>151</v>
      </c>
      <c r="U44" s="92"/>
      <c r="V44" s="110" t="s">
        <v>169</v>
      </c>
      <c r="W44" s="92"/>
      <c r="X44" s="110" t="s">
        <v>151</v>
      </c>
      <c r="Y44" s="92"/>
      <c r="Z44" s="110" t="s">
        <v>170</v>
      </c>
      <c r="AA44" s="111"/>
      <c r="AB44" s="111"/>
      <c r="AC44" s="111"/>
      <c r="AD44" s="111"/>
      <c r="AE44" s="92"/>
      <c r="AF44" s="110" t="s">
        <v>167</v>
      </c>
      <c r="AG44" s="111"/>
      <c r="AH44" s="111"/>
      <c r="AI44" s="111"/>
      <c r="AJ44" s="111"/>
      <c r="AK44" s="92"/>
      <c r="AL44" s="110" t="s">
        <v>35</v>
      </c>
      <c r="AM44" s="92"/>
      <c r="AN44" s="110" t="s">
        <v>171</v>
      </c>
      <c r="AO44" s="92"/>
      <c r="AP44" s="79" t="s">
        <v>172</v>
      </c>
      <c r="AQ44" s="110" t="str">
        <f>AY45</f>
        <v>rev/gal</v>
      </c>
      <c r="AR44" s="111"/>
      <c r="AS44" s="92"/>
      <c r="AY44" s="80" t="s">
        <v>153</v>
      </c>
    </row>
    <row r="45" spans="1:66" ht="12.75" customHeight="1" x14ac:dyDescent="0.3">
      <c r="A45" s="33"/>
      <c r="B45" s="34"/>
      <c r="C45" s="35"/>
      <c r="D45" s="36"/>
      <c r="E45" s="36"/>
      <c r="F45" s="36"/>
      <c r="G45" s="36"/>
      <c r="H45" s="36"/>
      <c r="I45" s="37"/>
      <c r="J45" s="30"/>
      <c r="K45" s="31"/>
      <c r="L45" s="31"/>
      <c r="M45" s="31"/>
      <c r="N45" s="31"/>
      <c r="O45" s="32"/>
      <c r="P45" s="280"/>
      <c r="Q45" s="140"/>
      <c r="R45" s="117"/>
      <c r="S45" s="118"/>
      <c r="T45" s="118"/>
      <c r="U45" s="119"/>
      <c r="V45" s="117"/>
      <c r="W45" s="118"/>
      <c r="X45" s="118"/>
      <c r="Y45" s="119"/>
      <c r="Z45" s="281"/>
      <c r="AA45" s="282"/>
      <c r="AB45" s="282"/>
      <c r="AC45" s="282"/>
      <c r="AD45" s="282"/>
      <c r="AE45" s="283"/>
      <c r="AF45" s="30"/>
      <c r="AG45" s="31"/>
      <c r="AH45" s="31"/>
      <c r="AI45" s="31"/>
      <c r="AJ45" s="31"/>
      <c r="AK45" s="32"/>
      <c r="AL45" s="434"/>
      <c r="AM45" s="434"/>
      <c r="AN45" s="131"/>
      <c r="AO45" s="132"/>
      <c r="AP45" s="133"/>
      <c r="AQ45" s="131"/>
      <c r="AR45" s="132"/>
      <c r="AS45" s="133"/>
      <c r="AU45" s="485"/>
      <c r="AV45" s="485"/>
      <c r="AW45" s="160"/>
      <c r="AX45" s="159" t="s">
        <v>173</v>
      </c>
      <c r="AY45" s="4" t="s">
        <v>174</v>
      </c>
      <c r="BA45" s="160"/>
      <c r="BB45" s="485"/>
      <c r="BC45" s="485"/>
      <c r="BD45" s="485"/>
      <c r="BE45" s="485"/>
      <c r="BF45" s="485"/>
      <c r="BG45" s="485"/>
      <c r="BH45" s="485"/>
      <c r="BI45" s="485"/>
      <c r="BJ45" s="485"/>
      <c r="BK45" s="485"/>
      <c r="BL45" s="485"/>
      <c r="BM45" s="485"/>
      <c r="BN45" s="485"/>
    </row>
    <row r="46" spans="1:66" ht="12.75" customHeight="1" x14ac:dyDescent="0.3">
      <c r="A46" s="33"/>
      <c r="B46" s="34"/>
      <c r="C46" s="35"/>
      <c r="D46" s="36"/>
      <c r="E46" s="36"/>
      <c r="F46" s="36"/>
      <c r="G46" s="36"/>
      <c r="H46" s="36"/>
      <c r="I46" s="37"/>
      <c r="J46" s="30"/>
      <c r="K46" s="31"/>
      <c r="L46" s="31"/>
      <c r="M46" s="31"/>
      <c r="N46" s="31"/>
      <c r="O46" s="32"/>
      <c r="P46" s="284"/>
      <c r="Q46" s="284"/>
      <c r="R46" s="117"/>
      <c r="S46" s="118"/>
      <c r="T46" s="118"/>
      <c r="U46" s="119"/>
      <c r="V46" s="117"/>
      <c r="W46" s="118"/>
      <c r="X46" s="118"/>
      <c r="Y46" s="119"/>
      <c r="Z46" s="35"/>
      <c r="AA46" s="36"/>
      <c r="AB46" s="36"/>
      <c r="AC46" s="36"/>
      <c r="AD46" s="36"/>
      <c r="AE46" s="37"/>
      <c r="AF46" s="30"/>
      <c r="AG46" s="31"/>
      <c r="AH46" s="31"/>
      <c r="AI46" s="31"/>
      <c r="AJ46" s="31"/>
      <c r="AK46" s="32"/>
      <c r="AL46" s="285"/>
      <c r="AM46" s="286"/>
      <c r="AN46" s="131"/>
      <c r="AO46" s="132"/>
      <c r="AP46" s="133"/>
      <c r="AQ46" s="287"/>
      <c r="AR46" s="288"/>
      <c r="AS46" s="289"/>
      <c r="AU46" s="485"/>
      <c r="AV46" s="485"/>
      <c r="AW46" s="160"/>
      <c r="AX46" s="160"/>
      <c r="AY46" s="83" t="s">
        <v>174</v>
      </c>
      <c r="AZ46" s="81" t="s">
        <v>175</v>
      </c>
      <c r="BA46" s="163"/>
      <c r="BB46" s="485"/>
      <c r="BC46" s="485"/>
      <c r="BD46" s="488"/>
      <c r="BE46" s="488"/>
      <c r="BF46" s="488"/>
      <c r="BG46" s="485"/>
      <c r="BH46" s="485"/>
      <c r="BI46" s="485"/>
      <c r="BJ46" s="485"/>
      <c r="BK46" s="485"/>
      <c r="BL46" s="487"/>
      <c r="BM46" s="487"/>
      <c r="BN46" s="487"/>
    </row>
    <row r="47" spans="1:66" ht="12.75" customHeight="1" x14ac:dyDescent="0.3">
      <c r="A47" s="110" t="s">
        <v>17</v>
      </c>
      <c r="B47" s="92"/>
      <c r="C47" s="110" t="s">
        <v>176</v>
      </c>
      <c r="D47" s="111"/>
      <c r="E47" s="111"/>
      <c r="F47" s="111"/>
      <c r="G47" s="111"/>
      <c r="H47" s="111"/>
      <c r="I47" s="111"/>
      <c r="J47" s="111"/>
      <c r="K47" s="111"/>
      <c r="L47" s="111"/>
      <c r="M47" s="92"/>
      <c r="N47" s="110" t="s">
        <v>167</v>
      </c>
      <c r="O47" s="111"/>
      <c r="P47" s="111"/>
      <c r="Q47" s="111"/>
      <c r="R47" s="111"/>
      <c r="S47" s="111"/>
      <c r="T47" s="111"/>
      <c r="U47" s="92"/>
      <c r="V47" s="110" t="s">
        <v>35</v>
      </c>
      <c r="W47" s="111"/>
      <c r="X47" s="92"/>
      <c r="Y47" s="110" t="s">
        <v>176</v>
      </c>
      <c r="Z47" s="111"/>
      <c r="AA47" s="111"/>
      <c r="AB47" s="111"/>
      <c r="AC47" s="111"/>
      <c r="AD47" s="111"/>
      <c r="AE47" s="111"/>
      <c r="AF47" s="111"/>
      <c r="AG47" s="111"/>
      <c r="AH47" s="92"/>
      <c r="AI47" s="110" t="s">
        <v>167</v>
      </c>
      <c r="AJ47" s="111"/>
      <c r="AK47" s="111"/>
      <c r="AL47" s="111"/>
      <c r="AM47" s="111"/>
      <c r="AN47" s="111"/>
      <c r="AO47" s="111"/>
      <c r="AP47" s="92"/>
      <c r="AQ47" s="110" t="s">
        <v>35</v>
      </c>
      <c r="AR47" s="111"/>
      <c r="AS47" s="92"/>
      <c r="AX47" s="160"/>
      <c r="AY47" s="84" t="s">
        <v>177</v>
      </c>
      <c r="AZ47" s="91" t="s">
        <v>178</v>
      </c>
    </row>
    <row r="48" spans="1:66" ht="12.75" customHeight="1" x14ac:dyDescent="0.3">
      <c r="A48" s="141"/>
      <c r="B48" s="143"/>
      <c r="C48" s="35"/>
      <c r="D48" s="36"/>
      <c r="E48" s="36"/>
      <c r="F48" s="36"/>
      <c r="G48" s="36"/>
      <c r="H48" s="36"/>
      <c r="I48" s="36"/>
      <c r="J48" s="36"/>
      <c r="K48" s="36"/>
      <c r="L48" s="36"/>
      <c r="M48" s="37"/>
      <c r="N48" s="30"/>
      <c r="O48" s="31"/>
      <c r="P48" s="31"/>
      <c r="Q48" s="31"/>
      <c r="R48" s="31"/>
      <c r="S48" s="31"/>
      <c r="T48" s="31"/>
      <c r="U48" s="32"/>
      <c r="V48" s="134"/>
      <c r="W48" s="135"/>
      <c r="X48" s="136"/>
      <c r="Y48" s="35"/>
      <c r="Z48" s="36"/>
      <c r="AA48" s="36"/>
      <c r="AB48" s="36"/>
      <c r="AC48" s="36"/>
      <c r="AD48" s="36"/>
      <c r="AE48" s="36"/>
      <c r="AF48" s="36"/>
      <c r="AG48" s="36"/>
      <c r="AH48" s="37"/>
      <c r="AI48" s="30"/>
      <c r="AJ48" s="31"/>
      <c r="AK48" s="31"/>
      <c r="AL48" s="31"/>
      <c r="AM48" s="31"/>
      <c r="AN48" s="31"/>
      <c r="AO48" s="31"/>
      <c r="AP48" s="32"/>
      <c r="AQ48" s="141"/>
      <c r="AR48" s="142"/>
      <c r="AS48" s="143"/>
      <c r="AY48" s="80" t="s">
        <v>179</v>
      </c>
      <c r="AZ48" s="159" t="s">
        <v>180</v>
      </c>
    </row>
    <row r="49" spans="1:51" ht="12.75" customHeight="1" x14ac:dyDescent="0.3">
      <c r="A49" s="141"/>
      <c r="B49" s="143"/>
      <c r="C49" s="35"/>
      <c r="D49" s="36"/>
      <c r="E49" s="36"/>
      <c r="F49" s="36"/>
      <c r="G49" s="36"/>
      <c r="H49" s="36"/>
      <c r="I49" s="36"/>
      <c r="J49" s="36"/>
      <c r="K49" s="36"/>
      <c r="L49" s="36"/>
      <c r="M49" s="37"/>
      <c r="N49" s="30"/>
      <c r="O49" s="31"/>
      <c r="P49" s="31"/>
      <c r="Q49" s="31"/>
      <c r="R49" s="31"/>
      <c r="S49" s="31"/>
      <c r="T49" s="31"/>
      <c r="U49" s="32"/>
      <c r="V49" s="134"/>
      <c r="W49" s="135"/>
      <c r="X49" s="136"/>
      <c r="Y49" s="35"/>
      <c r="Z49" s="36"/>
      <c r="AA49" s="36"/>
      <c r="AB49" s="36"/>
      <c r="AC49" s="36"/>
      <c r="AD49" s="36"/>
      <c r="AE49" s="36"/>
      <c r="AF49" s="36"/>
      <c r="AG49" s="36"/>
      <c r="AH49" s="37"/>
      <c r="AI49" s="30"/>
      <c r="AJ49" s="31"/>
      <c r="AK49" s="31"/>
      <c r="AL49" s="31"/>
      <c r="AM49" s="31"/>
      <c r="AN49" s="31"/>
      <c r="AO49" s="31"/>
      <c r="AP49" s="32"/>
      <c r="AQ49" s="141"/>
      <c r="AR49" s="142"/>
      <c r="AS49" s="143"/>
      <c r="AY49" s="80"/>
    </row>
    <row r="50" spans="1:51" ht="12.75" customHeight="1" thickBot="1" x14ac:dyDescent="0.35">
      <c r="A50" s="141"/>
      <c r="B50" s="143"/>
      <c r="C50" s="35"/>
      <c r="D50" s="36"/>
      <c r="E50" s="36"/>
      <c r="F50" s="36"/>
      <c r="G50" s="36"/>
      <c r="H50" s="36"/>
      <c r="I50" s="36"/>
      <c r="J50" s="36"/>
      <c r="K50" s="36"/>
      <c r="L50" s="36"/>
      <c r="M50" s="37"/>
      <c r="N50" s="30"/>
      <c r="O50" s="31"/>
      <c r="P50" s="31"/>
      <c r="Q50" s="31"/>
      <c r="R50" s="31"/>
      <c r="S50" s="31"/>
      <c r="T50" s="31"/>
      <c r="U50" s="32"/>
      <c r="V50" s="134"/>
      <c r="W50" s="135"/>
      <c r="X50" s="136"/>
      <c r="Y50" s="35"/>
      <c r="Z50" s="36"/>
      <c r="AA50" s="36"/>
      <c r="AB50" s="36"/>
      <c r="AC50" s="36"/>
      <c r="AD50" s="36"/>
      <c r="AE50" s="36"/>
      <c r="AF50" s="36"/>
      <c r="AG50" s="36"/>
      <c r="AH50" s="37"/>
      <c r="AI50" s="290"/>
      <c r="AJ50" s="291"/>
      <c r="AK50" s="291"/>
      <c r="AL50" s="291"/>
      <c r="AM50" s="291"/>
      <c r="AN50" s="291"/>
      <c r="AO50" s="291"/>
      <c r="AP50" s="292"/>
      <c r="AQ50" s="141"/>
      <c r="AR50" s="142"/>
      <c r="AS50" s="143"/>
      <c r="AX50" s="159" t="s">
        <v>181</v>
      </c>
      <c r="AY50" s="4" t="s">
        <v>182</v>
      </c>
    </row>
    <row r="51" spans="1:51" ht="12.75" customHeight="1" x14ac:dyDescent="0.35">
      <c r="A51" s="126" t="s">
        <v>572</v>
      </c>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c r="AA51" s="126"/>
      <c r="AB51" s="126"/>
      <c r="AC51" s="126"/>
      <c r="AD51" s="126"/>
      <c r="AE51" s="126"/>
      <c r="AF51" s="126"/>
      <c r="AG51" s="126"/>
      <c r="AH51" s="126"/>
      <c r="AI51" s="126"/>
      <c r="AJ51" s="126"/>
      <c r="AK51" s="126"/>
      <c r="AL51" s="126"/>
      <c r="AM51" s="126"/>
      <c r="AN51" s="126"/>
      <c r="AO51" s="126"/>
      <c r="AP51" s="126"/>
      <c r="AQ51" s="126"/>
      <c r="AR51" s="126"/>
      <c r="AS51" s="126"/>
      <c r="AU51" s="188"/>
      <c r="AY51" s="83" t="s">
        <v>183</v>
      </c>
    </row>
    <row r="52" spans="1:51" ht="12.75" customHeight="1" x14ac:dyDescent="0.35">
      <c r="A52" s="110" t="s">
        <v>176</v>
      </c>
      <c r="B52" s="111"/>
      <c r="C52" s="111"/>
      <c r="D52" s="92"/>
      <c r="E52" s="147" t="s">
        <v>573</v>
      </c>
      <c r="F52" s="148"/>
      <c r="G52" s="148"/>
      <c r="H52" s="149"/>
      <c r="I52" s="110" t="str">
        <f>AY4</f>
        <v>in</v>
      </c>
      <c r="J52" s="92"/>
      <c r="K52" s="147" t="s">
        <v>574</v>
      </c>
      <c r="L52" s="148"/>
      <c r="M52" s="149"/>
      <c r="N52" s="147" t="s">
        <v>107</v>
      </c>
      <c r="O52" s="149"/>
      <c r="P52" s="111" t="s">
        <v>150</v>
      </c>
      <c r="Q52" s="92"/>
      <c r="R52" s="147" t="s">
        <v>575</v>
      </c>
      <c r="S52" s="148"/>
      <c r="T52" s="149"/>
      <c r="U52" s="110" t="s">
        <v>37</v>
      </c>
      <c r="V52" s="92"/>
      <c r="W52" s="147" t="s">
        <v>576</v>
      </c>
      <c r="X52" s="148"/>
      <c r="Y52" s="149"/>
      <c r="Z52" s="110" t="str">
        <f>AY4</f>
        <v>in</v>
      </c>
      <c r="AA52" s="92"/>
      <c r="AB52" s="147" t="s">
        <v>577</v>
      </c>
      <c r="AC52" s="148"/>
      <c r="AD52" s="149"/>
      <c r="AE52" s="189" t="s">
        <v>20</v>
      </c>
      <c r="AF52" s="147" t="s">
        <v>93</v>
      </c>
      <c r="AG52" s="148"/>
      <c r="AH52" s="148"/>
      <c r="AI52" s="148"/>
      <c r="AJ52" s="149"/>
      <c r="AK52" s="147" t="s">
        <v>578</v>
      </c>
      <c r="AL52" s="148"/>
      <c r="AM52" s="148"/>
      <c r="AN52" s="149"/>
      <c r="AO52" s="147" t="s">
        <v>579</v>
      </c>
      <c r="AP52" s="148"/>
      <c r="AQ52" s="148"/>
      <c r="AR52" s="148"/>
      <c r="AS52" s="149"/>
      <c r="AU52" s="190"/>
      <c r="AY52" s="84" t="s">
        <v>184</v>
      </c>
    </row>
    <row r="53" spans="1:51" ht="12.75" customHeight="1" x14ac:dyDescent="0.35">
      <c r="A53" s="425"/>
      <c r="B53" s="426"/>
      <c r="C53" s="426"/>
      <c r="D53" s="427"/>
      <c r="E53" s="177"/>
      <c r="F53" s="178"/>
      <c r="G53" s="178"/>
      <c r="H53" s="178"/>
      <c r="I53" s="178"/>
      <c r="J53" s="179"/>
      <c r="K53" s="21"/>
      <c r="L53" s="22"/>
      <c r="M53" s="22"/>
      <c r="N53" s="22"/>
      <c r="O53" s="23"/>
      <c r="P53" s="21"/>
      <c r="Q53" s="23"/>
      <c r="R53" s="21"/>
      <c r="S53" s="22"/>
      <c r="T53" s="22"/>
      <c r="U53" s="22"/>
      <c r="V53" s="23"/>
      <c r="W53" s="21"/>
      <c r="X53" s="22"/>
      <c r="Y53" s="22"/>
      <c r="Z53" s="22"/>
      <c r="AA53" s="23"/>
      <c r="AB53" s="293"/>
      <c r="AC53" s="304"/>
      <c r="AD53" s="304"/>
      <c r="AE53" s="305"/>
      <c r="AF53" s="294"/>
      <c r="AG53" s="295"/>
      <c r="AH53" s="295"/>
      <c r="AI53" s="295"/>
      <c r="AJ53" s="296"/>
      <c r="AK53" s="27"/>
      <c r="AL53" s="28"/>
      <c r="AM53" s="28"/>
      <c r="AN53" s="29"/>
      <c r="AO53" s="301"/>
      <c r="AP53" s="302"/>
      <c r="AQ53" s="302"/>
      <c r="AR53" s="302"/>
      <c r="AS53" s="303"/>
      <c r="AU53" s="190"/>
      <c r="AY53" s="80" t="s">
        <v>182</v>
      </c>
    </row>
    <row r="54" spans="1:51" ht="14.25" customHeight="1" x14ac:dyDescent="0.35">
      <c r="A54" s="425"/>
      <c r="B54" s="426"/>
      <c r="C54" s="426"/>
      <c r="D54" s="427"/>
      <c r="E54" s="297"/>
      <c r="F54" s="178"/>
      <c r="G54" s="178"/>
      <c r="H54" s="178"/>
      <c r="I54" s="178"/>
      <c r="J54" s="179"/>
      <c r="K54" s="21"/>
      <c r="L54" s="22"/>
      <c r="M54" s="22"/>
      <c r="N54" s="22"/>
      <c r="O54" s="23"/>
      <c r="P54" s="21"/>
      <c r="Q54" s="23"/>
      <c r="R54" s="21"/>
      <c r="S54" s="22"/>
      <c r="T54" s="22"/>
      <c r="U54" s="22"/>
      <c r="V54" s="23"/>
      <c r="W54" s="21"/>
      <c r="X54" s="22"/>
      <c r="Y54" s="22"/>
      <c r="Z54" s="22"/>
      <c r="AA54" s="23"/>
      <c r="AB54" s="293"/>
      <c r="AC54" s="304"/>
      <c r="AD54" s="304"/>
      <c r="AE54" s="305"/>
      <c r="AF54" s="294"/>
      <c r="AG54" s="295"/>
      <c r="AH54" s="295"/>
      <c r="AI54" s="295"/>
      <c r="AJ54" s="296"/>
      <c r="AK54" s="27"/>
      <c r="AL54" s="28"/>
      <c r="AM54" s="28"/>
      <c r="AN54" s="29"/>
      <c r="AO54" s="301"/>
      <c r="AP54" s="302"/>
      <c r="AQ54" s="302"/>
      <c r="AR54" s="302"/>
      <c r="AS54" s="303"/>
      <c r="AU54" s="190"/>
      <c r="AY54" s="80"/>
    </row>
    <row r="55" spans="1:51" ht="12.75" customHeight="1" x14ac:dyDescent="0.35">
      <c r="A55" s="425"/>
      <c r="B55" s="426"/>
      <c r="C55" s="426"/>
      <c r="D55" s="427"/>
      <c r="E55" s="297"/>
      <c r="F55" s="178"/>
      <c r="G55" s="178"/>
      <c r="H55" s="178"/>
      <c r="I55" s="178"/>
      <c r="J55" s="179"/>
      <c r="K55" s="21"/>
      <c r="L55" s="22"/>
      <c r="M55" s="22"/>
      <c r="N55" s="22"/>
      <c r="O55" s="23"/>
      <c r="P55" s="21"/>
      <c r="Q55" s="23"/>
      <c r="R55" s="21"/>
      <c r="S55" s="22"/>
      <c r="T55" s="22"/>
      <c r="U55" s="22"/>
      <c r="V55" s="23"/>
      <c r="W55" s="21"/>
      <c r="X55" s="22"/>
      <c r="Y55" s="22"/>
      <c r="Z55" s="22"/>
      <c r="AA55" s="23"/>
      <c r="AB55" s="293"/>
      <c r="AC55" s="304"/>
      <c r="AD55" s="304"/>
      <c r="AE55" s="305"/>
      <c r="AF55" s="294"/>
      <c r="AG55" s="295"/>
      <c r="AH55" s="295"/>
      <c r="AI55" s="295"/>
      <c r="AJ55" s="296"/>
      <c r="AK55" s="27"/>
      <c r="AL55" s="28"/>
      <c r="AM55" s="28"/>
      <c r="AN55" s="29"/>
      <c r="AO55" s="301"/>
      <c r="AP55" s="302"/>
      <c r="AQ55" s="302"/>
      <c r="AR55" s="302"/>
      <c r="AS55" s="303"/>
      <c r="AU55" s="190"/>
      <c r="AY55" s="80"/>
    </row>
    <row r="56" spans="1:51" ht="16.5" customHeight="1" x14ac:dyDescent="0.35">
      <c r="A56" s="425"/>
      <c r="B56" s="426"/>
      <c r="C56" s="426"/>
      <c r="D56" s="427"/>
      <c r="E56" s="297"/>
      <c r="F56" s="178"/>
      <c r="G56" s="178"/>
      <c r="H56" s="178"/>
      <c r="I56" s="178"/>
      <c r="J56" s="179"/>
      <c r="K56" s="21"/>
      <c r="L56" s="22"/>
      <c r="M56" s="22"/>
      <c r="N56" s="22"/>
      <c r="O56" s="23"/>
      <c r="P56" s="21"/>
      <c r="Q56" s="23"/>
      <c r="R56" s="21"/>
      <c r="S56" s="22"/>
      <c r="T56" s="22"/>
      <c r="U56" s="22"/>
      <c r="V56" s="23"/>
      <c r="W56" s="21"/>
      <c r="X56" s="22"/>
      <c r="Y56" s="22"/>
      <c r="Z56" s="22"/>
      <c r="AA56" s="23"/>
      <c r="AB56" s="293"/>
      <c r="AC56" s="304"/>
      <c r="AD56" s="304"/>
      <c r="AE56" s="305"/>
      <c r="AF56" s="294"/>
      <c r="AG56" s="295"/>
      <c r="AH56" s="295"/>
      <c r="AI56" s="295"/>
      <c r="AJ56" s="296"/>
      <c r="AK56" s="27"/>
      <c r="AL56" s="28"/>
      <c r="AM56" s="28"/>
      <c r="AN56" s="29"/>
      <c r="AO56" s="301"/>
      <c r="AP56" s="302"/>
      <c r="AQ56" s="302"/>
      <c r="AR56" s="302"/>
      <c r="AS56" s="303"/>
      <c r="AU56" s="190"/>
      <c r="AY56" s="80"/>
    </row>
    <row r="57" spans="1:51" ht="12.75" customHeight="1" x14ac:dyDescent="0.35">
      <c r="A57" s="425"/>
      <c r="B57" s="426"/>
      <c r="C57" s="426"/>
      <c r="D57" s="427"/>
      <c r="E57" s="297"/>
      <c r="F57" s="178"/>
      <c r="G57" s="178"/>
      <c r="H57" s="178"/>
      <c r="I57" s="178"/>
      <c r="J57" s="179"/>
      <c r="K57" s="21"/>
      <c r="L57" s="22"/>
      <c r="M57" s="22"/>
      <c r="N57" s="22"/>
      <c r="O57" s="23"/>
      <c r="P57" s="21"/>
      <c r="Q57" s="23"/>
      <c r="R57" s="21"/>
      <c r="S57" s="22"/>
      <c r="T57" s="22"/>
      <c r="U57" s="22"/>
      <c r="V57" s="23"/>
      <c r="W57" s="21"/>
      <c r="X57" s="22"/>
      <c r="Y57" s="22"/>
      <c r="Z57" s="22"/>
      <c r="AA57" s="23"/>
      <c r="AB57" s="293"/>
      <c r="AC57" s="304"/>
      <c r="AD57" s="304"/>
      <c r="AE57" s="305"/>
      <c r="AF57" s="294"/>
      <c r="AG57" s="295"/>
      <c r="AH57" s="295"/>
      <c r="AI57" s="295"/>
      <c r="AJ57" s="296"/>
      <c r="AK57" s="27"/>
      <c r="AL57" s="28"/>
      <c r="AM57" s="28"/>
      <c r="AN57" s="29"/>
      <c r="AO57" s="301"/>
      <c r="AP57" s="302"/>
      <c r="AQ57" s="302"/>
      <c r="AR57" s="302"/>
      <c r="AS57" s="303"/>
      <c r="AU57" s="190"/>
      <c r="AY57" s="80"/>
    </row>
    <row r="58" spans="1:51" ht="12.75" customHeight="1" x14ac:dyDescent="0.35">
      <c r="A58" s="425"/>
      <c r="B58" s="426"/>
      <c r="C58" s="426"/>
      <c r="D58" s="427"/>
      <c r="E58" s="297"/>
      <c r="F58" s="178"/>
      <c r="G58" s="178"/>
      <c r="H58" s="178"/>
      <c r="I58" s="178"/>
      <c r="J58" s="179"/>
      <c r="K58" s="21"/>
      <c r="L58" s="22"/>
      <c r="M58" s="22"/>
      <c r="N58" s="22"/>
      <c r="O58" s="23"/>
      <c r="P58" s="21"/>
      <c r="Q58" s="23"/>
      <c r="R58" s="21"/>
      <c r="S58" s="22"/>
      <c r="T58" s="22"/>
      <c r="U58" s="22"/>
      <c r="V58" s="23"/>
      <c r="W58" s="21"/>
      <c r="X58" s="22"/>
      <c r="Y58" s="22"/>
      <c r="Z58" s="22"/>
      <c r="AA58" s="23"/>
      <c r="AB58" s="293"/>
      <c r="AC58" s="304"/>
      <c r="AD58" s="304"/>
      <c r="AE58" s="305"/>
      <c r="AF58" s="294"/>
      <c r="AG58" s="295"/>
      <c r="AH58" s="295"/>
      <c r="AI58" s="295"/>
      <c r="AJ58" s="296"/>
      <c r="AK58" s="27"/>
      <c r="AL58" s="28"/>
      <c r="AM58" s="28"/>
      <c r="AN58" s="29"/>
      <c r="AO58" s="301"/>
      <c r="AP58" s="302"/>
      <c r="AQ58" s="302"/>
      <c r="AR58" s="302"/>
      <c r="AS58" s="303"/>
      <c r="AU58" s="190"/>
      <c r="AX58" s="159" t="s">
        <v>580</v>
      </c>
      <c r="AY58" s="4" t="s">
        <v>581</v>
      </c>
    </row>
    <row r="59" spans="1:51" ht="12.75" customHeight="1" x14ac:dyDescent="0.35">
      <c r="A59" s="425"/>
      <c r="B59" s="426"/>
      <c r="C59" s="426"/>
      <c r="D59" s="427"/>
      <c r="E59" s="297"/>
      <c r="F59" s="178"/>
      <c r="G59" s="178"/>
      <c r="H59" s="178"/>
      <c r="I59" s="178"/>
      <c r="J59" s="179"/>
      <c r="K59" s="21"/>
      <c r="L59" s="22"/>
      <c r="M59" s="22"/>
      <c r="N59" s="22"/>
      <c r="O59" s="23"/>
      <c r="P59" s="21"/>
      <c r="Q59" s="23"/>
      <c r="R59" s="21"/>
      <c r="S59" s="22"/>
      <c r="T59" s="22"/>
      <c r="U59" s="22"/>
      <c r="V59" s="23"/>
      <c r="W59" s="21"/>
      <c r="X59" s="22"/>
      <c r="Y59" s="22"/>
      <c r="Z59" s="22"/>
      <c r="AA59" s="23"/>
      <c r="AB59" s="293"/>
      <c r="AC59" s="304"/>
      <c r="AD59" s="304"/>
      <c r="AE59" s="305"/>
      <c r="AF59" s="294"/>
      <c r="AG59" s="295"/>
      <c r="AH59" s="295"/>
      <c r="AI59" s="295"/>
      <c r="AJ59" s="296"/>
      <c r="AK59" s="27"/>
      <c r="AL59" s="28"/>
      <c r="AM59" s="28"/>
      <c r="AN59" s="29"/>
      <c r="AO59" s="301"/>
      <c r="AP59" s="302"/>
      <c r="AQ59" s="302"/>
      <c r="AR59" s="302"/>
      <c r="AS59" s="303"/>
      <c r="AU59" s="190"/>
      <c r="AY59" s="83" t="s">
        <v>581</v>
      </c>
    </row>
    <row r="60" spans="1:51" ht="12.75" customHeight="1" x14ac:dyDescent="0.3">
      <c r="A60" s="425"/>
      <c r="B60" s="426"/>
      <c r="C60" s="426"/>
      <c r="D60" s="427"/>
      <c r="E60" s="297"/>
      <c r="F60" s="178"/>
      <c r="G60" s="178"/>
      <c r="H60" s="178"/>
      <c r="I60" s="178"/>
      <c r="J60" s="179"/>
      <c r="K60" s="21"/>
      <c r="L60" s="22"/>
      <c r="M60" s="22"/>
      <c r="N60" s="22"/>
      <c r="O60" s="23"/>
      <c r="P60" s="21"/>
      <c r="Q60" s="23"/>
      <c r="R60" s="21"/>
      <c r="S60" s="22"/>
      <c r="T60" s="22"/>
      <c r="U60" s="22"/>
      <c r="V60" s="23"/>
      <c r="W60" s="21"/>
      <c r="X60" s="22"/>
      <c r="Y60" s="22"/>
      <c r="Z60" s="22"/>
      <c r="AA60" s="23"/>
      <c r="AB60" s="293"/>
      <c r="AC60" s="304"/>
      <c r="AD60" s="304"/>
      <c r="AE60" s="305"/>
      <c r="AF60" s="294"/>
      <c r="AG60" s="295"/>
      <c r="AH60" s="295"/>
      <c r="AI60" s="295"/>
      <c r="AJ60" s="296"/>
      <c r="AK60" s="27"/>
      <c r="AL60" s="28"/>
      <c r="AM60" s="28"/>
      <c r="AN60" s="29"/>
      <c r="AO60" s="301"/>
      <c r="AP60" s="302"/>
      <c r="AQ60" s="302"/>
      <c r="AR60" s="302"/>
      <c r="AS60" s="303"/>
      <c r="AY60" s="84"/>
    </row>
    <row r="61" spans="1:51" ht="12.75" customHeight="1" x14ac:dyDescent="0.3">
      <c r="A61" s="425"/>
      <c r="B61" s="426"/>
      <c r="C61" s="426"/>
      <c r="D61" s="427"/>
      <c r="E61" s="297"/>
      <c r="F61" s="178"/>
      <c r="G61" s="178"/>
      <c r="H61" s="178"/>
      <c r="I61" s="178"/>
      <c r="J61" s="179"/>
      <c r="K61" s="21"/>
      <c r="L61" s="22"/>
      <c r="M61" s="22"/>
      <c r="N61" s="22"/>
      <c r="O61" s="23"/>
      <c r="P61" s="21"/>
      <c r="Q61" s="23"/>
      <c r="R61" s="21"/>
      <c r="S61" s="22"/>
      <c r="T61" s="22"/>
      <c r="U61" s="22"/>
      <c r="V61" s="23"/>
      <c r="W61" s="21"/>
      <c r="X61" s="22"/>
      <c r="Y61" s="22"/>
      <c r="Z61" s="22"/>
      <c r="AA61" s="23"/>
      <c r="AB61" s="293"/>
      <c r="AC61" s="304"/>
      <c r="AD61" s="304"/>
      <c r="AE61" s="305"/>
      <c r="AF61" s="294"/>
      <c r="AG61" s="295"/>
      <c r="AH61" s="295"/>
      <c r="AI61" s="295"/>
      <c r="AJ61" s="296"/>
      <c r="AK61" s="27"/>
      <c r="AL61" s="28"/>
      <c r="AM61" s="28"/>
      <c r="AN61" s="29"/>
      <c r="AO61" s="301"/>
      <c r="AP61" s="302"/>
      <c r="AQ61" s="302"/>
      <c r="AR61" s="302"/>
      <c r="AS61" s="303"/>
      <c r="AY61" s="84"/>
    </row>
    <row r="62" spans="1:51" ht="15.75" customHeight="1" x14ac:dyDescent="0.3">
      <c r="A62" s="425"/>
      <c r="B62" s="426"/>
      <c r="C62" s="426"/>
      <c r="D62" s="427"/>
      <c r="E62" s="433"/>
      <c r="F62" s="428"/>
      <c r="G62" s="428"/>
      <c r="H62" s="428"/>
      <c r="I62" s="428"/>
      <c r="J62" s="429"/>
      <c r="K62" s="325"/>
      <c r="L62" s="326"/>
      <c r="M62" s="326"/>
      <c r="N62" s="326"/>
      <c r="O62" s="327"/>
      <c r="P62" s="21"/>
      <c r="Q62" s="23"/>
      <c r="R62" s="21"/>
      <c r="S62" s="22"/>
      <c r="T62" s="22"/>
      <c r="U62" s="22"/>
      <c r="V62" s="23"/>
      <c r="W62" s="21"/>
      <c r="X62" s="22"/>
      <c r="Y62" s="22"/>
      <c r="Z62" s="22"/>
      <c r="AA62" s="23"/>
      <c r="AB62" s="412"/>
      <c r="AC62" s="413"/>
      <c r="AD62" s="413"/>
      <c r="AE62" s="414"/>
      <c r="AF62" s="294"/>
      <c r="AG62" s="295"/>
      <c r="AH62" s="295"/>
      <c r="AI62" s="295"/>
      <c r="AJ62" s="296"/>
      <c r="AK62" s="27"/>
      <c r="AL62" s="28"/>
      <c r="AM62" s="28"/>
      <c r="AN62" s="29"/>
      <c r="AO62" s="301"/>
      <c r="AP62" s="302"/>
      <c r="AQ62" s="302"/>
      <c r="AR62" s="302"/>
      <c r="AS62" s="303"/>
      <c r="AY62" s="84"/>
    </row>
    <row r="63" spans="1:51" ht="12.75" customHeight="1" x14ac:dyDescent="0.3">
      <c r="A63" s="425"/>
      <c r="B63" s="426"/>
      <c r="C63" s="426"/>
      <c r="D63" s="427"/>
      <c r="E63" s="433"/>
      <c r="F63" s="428"/>
      <c r="G63" s="428"/>
      <c r="H63" s="428"/>
      <c r="I63" s="428"/>
      <c r="J63" s="429"/>
      <c r="K63" s="325"/>
      <c r="L63" s="326"/>
      <c r="M63" s="326"/>
      <c r="N63" s="326"/>
      <c r="O63" s="327"/>
      <c r="P63" s="21"/>
      <c r="Q63" s="23"/>
      <c r="R63" s="21"/>
      <c r="S63" s="22"/>
      <c r="T63" s="22"/>
      <c r="U63" s="22"/>
      <c r="V63" s="23"/>
      <c r="W63" s="21"/>
      <c r="X63" s="22"/>
      <c r="Y63" s="22"/>
      <c r="Z63" s="22"/>
      <c r="AA63" s="23"/>
      <c r="AB63" s="412"/>
      <c r="AC63" s="413"/>
      <c r="AD63" s="413"/>
      <c r="AE63" s="414"/>
      <c r="AF63" s="294"/>
      <c r="AG63" s="295"/>
      <c r="AH63" s="295"/>
      <c r="AI63" s="295"/>
      <c r="AJ63" s="296"/>
      <c r="AK63" s="27"/>
      <c r="AL63" s="28"/>
      <c r="AM63" s="28"/>
      <c r="AN63" s="29"/>
      <c r="AO63" s="301"/>
      <c r="AP63" s="302"/>
      <c r="AQ63" s="302"/>
      <c r="AR63" s="302"/>
      <c r="AS63" s="303"/>
      <c r="AY63" s="84"/>
    </row>
    <row r="64" spans="1:51" ht="12.75" customHeight="1" x14ac:dyDescent="0.3">
      <c r="A64" s="425"/>
      <c r="B64" s="426"/>
      <c r="C64" s="426"/>
      <c r="D64" s="427"/>
      <c r="E64" s="433"/>
      <c r="F64" s="428"/>
      <c r="G64" s="428"/>
      <c r="H64" s="428"/>
      <c r="I64" s="428"/>
      <c r="J64" s="429"/>
      <c r="K64" s="325"/>
      <c r="L64" s="326"/>
      <c r="M64" s="326"/>
      <c r="N64" s="326"/>
      <c r="O64" s="327"/>
      <c r="P64" s="21"/>
      <c r="Q64" s="23"/>
      <c r="R64" s="21"/>
      <c r="S64" s="22"/>
      <c r="T64" s="22"/>
      <c r="U64" s="22"/>
      <c r="V64" s="23"/>
      <c r="W64" s="21"/>
      <c r="X64" s="22"/>
      <c r="Y64" s="22"/>
      <c r="Z64" s="22"/>
      <c r="AA64" s="23"/>
      <c r="AB64" s="412"/>
      <c r="AC64" s="413"/>
      <c r="AD64" s="413"/>
      <c r="AE64" s="414"/>
      <c r="AF64" s="294"/>
      <c r="AG64" s="295"/>
      <c r="AH64" s="295"/>
      <c r="AI64" s="295"/>
      <c r="AJ64" s="296"/>
      <c r="AK64" s="27"/>
      <c r="AL64" s="28"/>
      <c r="AM64" s="28"/>
      <c r="AN64" s="29"/>
      <c r="AO64" s="301"/>
      <c r="AP64" s="302"/>
      <c r="AQ64" s="302"/>
      <c r="AR64" s="302"/>
      <c r="AS64" s="303"/>
      <c r="AY64" s="84"/>
    </row>
    <row r="65" spans="1:52" ht="12.75" customHeight="1" x14ac:dyDescent="0.3">
      <c r="A65" s="425"/>
      <c r="B65" s="426"/>
      <c r="C65" s="426"/>
      <c r="D65" s="427"/>
      <c r="E65" s="433"/>
      <c r="F65" s="428"/>
      <c r="G65" s="428"/>
      <c r="H65" s="428"/>
      <c r="I65" s="428"/>
      <c r="J65" s="429"/>
      <c r="K65" s="325"/>
      <c r="L65" s="326"/>
      <c r="M65" s="326"/>
      <c r="N65" s="326"/>
      <c r="O65" s="327"/>
      <c r="P65" s="21"/>
      <c r="Q65" s="23"/>
      <c r="R65" s="21"/>
      <c r="S65" s="22"/>
      <c r="T65" s="22"/>
      <c r="U65" s="22"/>
      <c r="V65" s="23"/>
      <c r="W65" s="21"/>
      <c r="X65" s="22"/>
      <c r="Y65" s="22"/>
      <c r="Z65" s="22"/>
      <c r="AA65" s="23"/>
      <c r="AB65" s="412"/>
      <c r="AC65" s="413"/>
      <c r="AD65" s="413"/>
      <c r="AE65" s="414"/>
      <c r="AF65" s="294"/>
      <c r="AG65" s="295"/>
      <c r="AH65" s="295"/>
      <c r="AI65" s="295"/>
      <c r="AJ65" s="296"/>
      <c r="AK65" s="27"/>
      <c r="AL65" s="28"/>
      <c r="AM65" s="28"/>
      <c r="AN65" s="29"/>
      <c r="AO65" s="301"/>
      <c r="AP65" s="302"/>
      <c r="AQ65" s="302"/>
      <c r="AR65" s="302"/>
      <c r="AS65" s="303"/>
      <c r="AY65" s="84"/>
    </row>
    <row r="66" spans="1:52" ht="12.75" customHeight="1" x14ac:dyDescent="0.3">
      <c r="A66" s="425"/>
      <c r="B66" s="426"/>
      <c r="C66" s="426"/>
      <c r="D66" s="427"/>
      <c r="E66" s="433"/>
      <c r="F66" s="428"/>
      <c r="G66" s="428"/>
      <c r="H66" s="428"/>
      <c r="I66" s="428"/>
      <c r="J66" s="429"/>
      <c r="K66" s="325"/>
      <c r="L66" s="326"/>
      <c r="M66" s="326"/>
      <c r="N66" s="326"/>
      <c r="O66" s="327"/>
      <c r="P66" s="21"/>
      <c r="Q66" s="23"/>
      <c r="R66" s="21"/>
      <c r="S66" s="22"/>
      <c r="T66" s="22"/>
      <c r="U66" s="22"/>
      <c r="V66" s="23"/>
      <c r="W66" s="21"/>
      <c r="X66" s="22"/>
      <c r="Y66" s="22"/>
      <c r="Z66" s="22"/>
      <c r="AA66" s="23"/>
      <c r="AB66" s="412"/>
      <c r="AC66" s="413"/>
      <c r="AD66" s="413"/>
      <c r="AE66" s="414"/>
      <c r="AF66" s="294"/>
      <c r="AG66" s="295"/>
      <c r="AH66" s="295"/>
      <c r="AI66" s="295"/>
      <c r="AJ66" s="296"/>
      <c r="AK66" s="27"/>
      <c r="AL66" s="28"/>
      <c r="AM66" s="28"/>
      <c r="AN66" s="29"/>
      <c r="AO66" s="301"/>
      <c r="AP66" s="302"/>
      <c r="AQ66" s="302"/>
      <c r="AR66" s="302"/>
      <c r="AS66" s="303"/>
      <c r="AY66" s="84"/>
    </row>
    <row r="67" spans="1:52" ht="12.75" customHeight="1" x14ac:dyDescent="0.3">
      <c r="A67" s="438"/>
      <c r="B67" s="439"/>
      <c r="C67" s="439"/>
      <c r="D67" s="440"/>
      <c r="E67" s="433"/>
      <c r="F67" s="428"/>
      <c r="G67" s="428"/>
      <c r="H67" s="428"/>
      <c r="I67" s="428"/>
      <c r="J67" s="429"/>
      <c r="K67" s="325"/>
      <c r="L67" s="326"/>
      <c r="M67" s="326"/>
      <c r="N67" s="326"/>
      <c r="O67" s="327"/>
      <c r="P67" s="325"/>
      <c r="Q67" s="327"/>
      <c r="R67" s="325"/>
      <c r="S67" s="326"/>
      <c r="T67" s="326"/>
      <c r="U67" s="326"/>
      <c r="V67" s="327"/>
      <c r="W67" s="325"/>
      <c r="X67" s="326"/>
      <c r="Y67" s="326"/>
      <c r="Z67" s="326"/>
      <c r="AA67" s="327"/>
      <c r="AB67" s="412"/>
      <c r="AC67" s="413"/>
      <c r="AD67" s="413"/>
      <c r="AE67" s="414"/>
      <c r="AF67" s="430"/>
      <c r="AG67" s="431"/>
      <c r="AH67" s="431"/>
      <c r="AI67" s="431"/>
      <c r="AJ67" s="432"/>
      <c r="AK67" s="435"/>
      <c r="AL67" s="436"/>
      <c r="AM67" s="436"/>
      <c r="AN67" s="437"/>
      <c r="AO67" s="441"/>
      <c r="AP67" s="442"/>
      <c r="AQ67" s="442"/>
      <c r="AR67" s="442"/>
      <c r="AS67" s="443"/>
      <c r="AY67" s="84"/>
    </row>
    <row r="68" spans="1:52" ht="12.75" customHeight="1" x14ac:dyDescent="0.3">
      <c r="A68" s="438"/>
      <c r="B68" s="439"/>
      <c r="C68" s="439"/>
      <c r="D68" s="440"/>
      <c r="E68" s="433"/>
      <c r="F68" s="428"/>
      <c r="G68" s="428"/>
      <c r="H68" s="428"/>
      <c r="I68" s="428"/>
      <c r="J68" s="429"/>
      <c r="K68" s="325"/>
      <c r="L68" s="326"/>
      <c r="M68" s="326"/>
      <c r="N68" s="326"/>
      <c r="O68" s="327"/>
      <c r="P68" s="325"/>
      <c r="Q68" s="327"/>
      <c r="R68" s="325"/>
      <c r="S68" s="326"/>
      <c r="T68" s="326"/>
      <c r="U68" s="326"/>
      <c r="V68" s="327"/>
      <c r="W68" s="325"/>
      <c r="X68" s="326"/>
      <c r="Y68" s="326"/>
      <c r="Z68" s="326"/>
      <c r="AA68" s="327"/>
      <c r="AB68" s="412"/>
      <c r="AC68" s="413"/>
      <c r="AD68" s="413"/>
      <c r="AE68" s="414"/>
      <c r="AF68" s="430"/>
      <c r="AG68" s="431"/>
      <c r="AH68" s="431"/>
      <c r="AI68" s="431"/>
      <c r="AJ68" s="432"/>
      <c r="AK68" s="435"/>
      <c r="AL68" s="436"/>
      <c r="AM68" s="436"/>
      <c r="AN68" s="437"/>
      <c r="AO68" s="441"/>
      <c r="AP68" s="442"/>
      <c r="AQ68" s="442"/>
      <c r="AR68" s="442"/>
      <c r="AS68" s="443"/>
      <c r="AY68" s="84"/>
    </row>
    <row r="69" spans="1:52" ht="12.75" customHeight="1" x14ac:dyDescent="0.3">
      <c r="A69" s="438"/>
      <c r="B69" s="439"/>
      <c r="C69" s="439"/>
      <c r="D69" s="440"/>
      <c r="E69" s="433"/>
      <c r="F69" s="428"/>
      <c r="G69" s="428"/>
      <c r="H69" s="428"/>
      <c r="I69" s="428"/>
      <c r="J69" s="429"/>
      <c r="K69" s="325"/>
      <c r="L69" s="326"/>
      <c r="M69" s="326"/>
      <c r="N69" s="326"/>
      <c r="O69" s="327"/>
      <c r="P69" s="325"/>
      <c r="Q69" s="327"/>
      <c r="R69" s="325"/>
      <c r="S69" s="326"/>
      <c r="T69" s="326"/>
      <c r="U69" s="326"/>
      <c r="V69" s="327"/>
      <c r="W69" s="325"/>
      <c r="X69" s="326"/>
      <c r="Y69" s="326"/>
      <c r="Z69" s="326"/>
      <c r="AA69" s="327"/>
      <c r="AB69" s="412"/>
      <c r="AC69" s="413"/>
      <c r="AD69" s="413"/>
      <c r="AE69" s="414"/>
      <c r="AF69" s="430"/>
      <c r="AG69" s="431"/>
      <c r="AH69" s="431"/>
      <c r="AI69" s="431"/>
      <c r="AJ69" s="432"/>
      <c r="AK69" s="435"/>
      <c r="AL69" s="436"/>
      <c r="AM69" s="436"/>
      <c r="AN69" s="437"/>
      <c r="AO69" s="441"/>
      <c r="AP69" s="442"/>
      <c r="AQ69" s="442"/>
      <c r="AR69" s="442"/>
      <c r="AS69" s="443"/>
      <c r="AY69" s="84"/>
    </row>
    <row r="70" spans="1:52" ht="12.75" customHeight="1" x14ac:dyDescent="0.3">
      <c r="A70" s="438"/>
      <c r="B70" s="439"/>
      <c r="C70" s="439"/>
      <c r="D70" s="440"/>
      <c r="E70" s="433"/>
      <c r="F70" s="428"/>
      <c r="G70" s="428"/>
      <c r="H70" s="428"/>
      <c r="I70" s="428"/>
      <c r="J70" s="429"/>
      <c r="K70" s="325"/>
      <c r="L70" s="326"/>
      <c r="M70" s="326"/>
      <c r="N70" s="326"/>
      <c r="O70" s="327"/>
      <c r="P70" s="325"/>
      <c r="Q70" s="327"/>
      <c r="R70" s="325"/>
      <c r="S70" s="326"/>
      <c r="T70" s="326"/>
      <c r="U70" s="326"/>
      <c r="V70" s="327"/>
      <c r="W70" s="325"/>
      <c r="X70" s="326"/>
      <c r="Y70" s="326"/>
      <c r="Z70" s="326"/>
      <c r="AA70" s="327"/>
      <c r="AB70" s="412"/>
      <c r="AC70" s="413"/>
      <c r="AD70" s="413"/>
      <c r="AE70" s="414"/>
      <c r="AF70" s="430"/>
      <c r="AG70" s="431"/>
      <c r="AH70" s="431"/>
      <c r="AI70" s="431"/>
      <c r="AJ70" s="432"/>
      <c r="AK70" s="435"/>
      <c r="AL70" s="436"/>
      <c r="AM70" s="436"/>
      <c r="AN70" s="437"/>
      <c r="AO70" s="441"/>
      <c r="AP70" s="442"/>
      <c r="AQ70" s="442"/>
      <c r="AR70" s="442"/>
      <c r="AS70" s="443"/>
      <c r="AY70" s="84"/>
    </row>
    <row r="71" spans="1:52" ht="18" customHeight="1" x14ac:dyDescent="0.3">
      <c r="A71" s="438"/>
      <c r="B71" s="439"/>
      <c r="C71" s="439"/>
      <c r="D71" s="440"/>
      <c r="E71" s="433"/>
      <c r="F71" s="428"/>
      <c r="G71" s="428"/>
      <c r="H71" s="428"/>
      <c r="I71" s="428"/>
      <c r="J71" s="429"/>
      <c r="K71" s="325"/>
      <c r="L71" s="326"/>
      <c r="M71" s="326"/>
      <c r="N71" s="326"/>
      <c r="O71" s="327"/>
      <c r="P71" s="325"/>
      <c r="Q71" s="327"/>
      <c r="R71" s="325"/>
      <c r="S71" s="326"/>
      <c r="T71" s="326"/>
      <c r="U71" s="326"/>
      <c r="V71" s="327"/>
      <c r="W71" s="325"/>
      <c r="X71" s="326"/>
      <c r="Y71" s="326"/>
      <c r="Z71" s="326"/>
      <c r="AA71" s="327"/>
      <c r="AB71" s="412"/>
      <c r="AC71" s="413"/>
      <c r="AD71" s="413"/>
      <c r="AE71" s="414"/>
      <c r="AF71" s="430"/>
      <c r="AG71" s="431"/>
      <c r="AH71" s="431"/>
      <c r="AI71" s="431"/>
      <c r="AJ71" s="432"/>
      <c r="AK71" s="435"/>
      <c r="AL71" s="436"/>
      <c r="AM71" s="436"/>
      <c r="AN71" s="437"/>
      <c r="AO71" s="441"/>
      <c r="AP71" s="442"/>
      <c r="AQ71" s="442"/>
      <c r="AR71" s="442"/>
      <c r="AS71" s="443"/>
      <c r="AY71" s="84"/>
    </row>
    <row r="72" spans="1:52" ht="12.75" customHeight="1" x14ac:dyDescent="0.3">
      <c r="A72" s="306" t="s">
        <v>185</v>
      </c>
      <c r="B72" s="306"/>
      <c r="C72" s="306"/>
      <c r="D72" s="306"/>
      <c r="E72" s="306"/>
      <c r="F72" s="306"/>
      <c r="G72" s="306"/>
      <c r="H72" s="306"/>
      <c r="I72" s="306"/>
      <c r="J72" s="306"/>
      <c r="K72" s="306"/>
      <c r="L72" s="306"/>
      <c r="M72" s="306"/>
      <c r="N72" s="306"/>
      <c r="O72" s="306"/>
      <c r="P72" s="306"/>
      <c r="Q72" s="306"/>
      <c r="R72" s="306"/>
      <c r="S72" s="306"/>
      <c r="T72" s="306"/>
      <c r="U72" s="306"/>
      <c r="V72" s="306"/>
      <c r="W72" s="306"/>
      <c r="X72" s="306"/>
      <c r="Y72" s="306"/>
      <c r="Z72" s="306"/>
      <c r="AA72" s="306"/>
      <c r="AB72" s="306"/>
      <c r="AC72" s="306"/>
      <c r="AD72" s="306"/>
      <c r="AE72" s="306"/>
      <c r="AF72" s="306"/>
      <c r="AG72" s="306"/>
      <c r="AH72" s="306"/>
      <c r="AI72" s="306"/>
      <c r="AJ72" s="306"/>
      <c r="AK72" s="306"/>
      <c r="AL72" s="306"/>
      <c r="AM72" s="306"/>
      <c r="AN72" s="306"/>
      <c r="AO72" s="306"/>
      <c r="AP72" s="306"/>
      <c r="AQ72" s="306"/>
      <c r="AR72" s="306"/>
      <c r="AS72" s="306"/>
      <c r="AY72" s="84"/>
    </row>
    <row r="73" spans="1:52" ht="12.75" customHeight="1" x14ac:dyDescent="0.3">
      <c r="A73" s="87"/>
      <c r="B73" s="88"/>
      <c r="C73" s="87" t="s">
        <v>186</v>
      </c>
      <c r="D73" s="88"/>
      <c r="E73" s="88"/>
      <c r="F73" s="88"/>
      <c r="G73" s="88"/>
      <c r="H73" s="88"/>
      <c r="I73" s="88"/>
      <c r="J73" s="88"/>
      <c r="K73" s="88"/>
      <c r="L73" s="89"/>
      <c r="M73" s="87" t="s">
        <v>170</v>
      </c>
      <c r="N73" s="88"/>
      <c r="O73" s="88"/>
      <c r="P73" s="88"/>
      <c r="Q73" s="89"/>
      <c r="R73" s="87" t="s">
        <v>156</v>
      </c>
      <c r="S73" s="88"/>
      <c r="T73" s="88"/>
      <c r="U73" s="88"/>
      <c r="V73" s="88"/>
      <c r="W73" s="88"/>
      <c r="X73" s="88"/>
      <c r="Y73" s="88"/>
      <c r="Z73" s="88"/>
      <c r="AA73" s="88"/>
      <c r="AB73" s="88"/>
      <c r="AC73" s="89"/>
      <c r="AD73" s="87" t="s">
        <v>187</v>
      </c>
      <c r="AE73" s="88"/>
      <c r="AF73" s="88"/>
      <c r="AG73" s="88"/>
      <c r="AH73" s="88"/>
      <c r="AI73" s="88"/>
      <c r="AJ73" s="88"/>
      <c r="AK73" s="88"/>
      <c r="AL73" s="88"/>
      <c r="AM73" s="88"/>
      <c r="AN73" s="88"/>
      <c r="AO73" s="88"/>
      <c r="AP73" s="88"/>
      <c r="AQ73" s="88"/>
      <c r="AR73" s="88"/>
      <c r="AS73" s="89"/>
      <c r="AY73" s="84" t="s">
        <v>582</v>
      </c>
    </row>
    <row r="74" spans="1:52" ht="12.75" customHeight="1" x14ac:dyDescent="0.3">
      <c r="A74" s="110" t="s">
        <v>17</v>
      </c>
      <c r="B74" s="92"/>
      <c r="C74" s="110" t="s">
        <v>130</v>
      </c>
      <c r="D74" s="111"/>
      <c r="E74" s="111"/>
      <c r="F74" s="110" t="str">
        <f>AY26</f>
        <v>psi</v>
      </c>
      <c r="G74" s="111"/>
      <c r="H74" s="92"/>
      <c r="I74" s="110" t="s">
        <v>188</v>
      </c>
      <c r="J74" s="111"/>
      <c r="K74" s="110" t="str">
        <f>AY50</f>
        <v>gpm</v>
      </c>
      <c r="L74" s="92"/>
      <c r="M74" s="110" t="s">
        <v>189</v>
      </c>
      <c r="N74" s="111"/>
      <c r="O74" s="92"/>
      <c r="P74" s="110" t="str">
        <f>AY26</f>
        <v>psi</v>
      </c>
      <c r="Q74" s="92"/>
      <c r="R74" s="110" t="s">
        <v>190</v>
      </c>
      <c r="S74" s="111"/>
      <c r="T74" s="92"/>
      <c r="U74" s="110" t="s">
        <v>191</v>
      </c>
      <c r="V74" s="111"/>
      <c r="W74" s="111"/>
      <c r="X74" s="110" t="str">
        <f>AY58</f>
        <v>m/s</v>
      </c>
      <c r="Y74" s="92"/>
      <c r="Z74" s="110" t="s">
        <v>192</v>
      </c>
      <c r="AA74" s="111"/>
      <c r="AB74" s="92"/>
      <c r="AC74" s="92" t="s">
        <v>193</v>
      </c>
      <c r="AD74" s="110" t="s">
        <v>194</v>
      </c>
      <c r="AE74" s="111"/>
      <c r="AF74" s="110" t="str">
        <f>AY75</f>
        <v>m/min</v>
      </c>
      <c r="AG74" s="111"/>
      <c r="AH74" s="92"/>
      <c r="AI74" s="110" t="s">
        <v>195</v>
      </c>
      <c r="AJ74" s="111"/>
      <c r="AK74" s="110" t="str">
        <f>AY75</f>
        <v>m/min</v>
      </c>
      <c r="AL74" s="111"/>
      <c r="AM74" s="92"/>
      <c r="AN74" s="110" t="s">
        <v>196</v>
      </c>
      <c r="AO74" s="111"/>
      <c r="AP74" s="92"/>
      <c r="AQ74" s="111" t="str">
        <f>AY75</f>
        <v>m/min</v>
      </c>
      <c r="AR74" s="111"/>
      <c r="AS74" s="92"/>
      <c r="AY74" s="5"/>
      <c r="AZ74" s="159" t="s">
        <v>72</v>
      </c>
    </row>
    <row r="75" spans="1:52" ht="12.75" customHeight="1" x14ac:dyDescent="0.3">
      <c r="A75" s="33"/>
      <c r="B75" s="34"/>
      <c r="C75" s="234"/>
      <c r="D75" s="235"/>
      <c r="E75" s="235"/>
      <c r="F75" s="235"/>
      <c r="G75" s="235"/>
      <c r="H75" s="236"/>
      <c r="I75" s="234"/>
      <c r="J75" s="235"/>
      <c r="K75" s="235"/>
      <c r="L75" s="236"/>
      <c r="M75" s="33"/>
      <c r="N75" s="38"/>
      <c r="O75" s="38"/>
      <c r="P75" s="38"/>
      <c r="Q75" s="34"/>
      <c r="R75" s="39"/>
      <c r="S75" s="40"/>
      <c r="T75" s="41"/>
      <c r="U75" s="24"/>
      <c r="V75" s="25"/>
      <c r="W75" s="25"/>
      <c r="X75" s="25"/>
      <c r="Y75" s="26"/>
      <c r="Z75" s="24"/>
      <c r="AA75" s="25"/>
      <c r="AB75" s="25"/>
      <c r="AC75" s="26"/>
      <c r="AD75" s="24"/>
      <c r="AE75" s="25"/>
      <c r="AF75" s="25"/>
      <c r="AG75" s="25"/>
      <c r="AH75" s="26"/>
      <c r="AI75" s="24"/>
      <c r="AJ75" s="25"/>
      <c r="AK75" s="25"/>
      <c r="AL75" s="25"/>
      <c r="AM75" s="26"/>
      <c r="AN75" s="24"/>
      <c r="AO75" s="25"/>
      <c r="AP75" s="25"/>
      <c r="AQ75" s="25"/>
      <c r="AR75" s="25"/>
      <c r="AS75" s="26"/>
      <c r="AX75" s="70" t="s">
        <v>187</v>
      </c>
      <c r="AY75" s="4" t="s">
        <v>197</v>
      </c>
    </row>
    <row r="76" spans="1:52" ht="12.75" customHeight="1" x14ac:dyDescent="0.3">
      <c r="A76" s="141"/>
      <c r="B76" s="143"/>
      <c r="C76" s="141"/>
      <c r="D76" s="142"/>
      <c r="E76" s="142"/>
      <c r="F76" s="142"/>
      <c r="G76" s="142"/>
      <c r="H76" s="143"/>
      <c r="I76" s="141"/>
      <c r="J76" s="142"/>
      <c r="K76" s="142"/>
      <c r="L76" s="143"/>
      <c r="M76" s="141"/>
      <c r="N76" s="142"/>
      <c r="O76" s="142"/>
      <c r="P76" s="142"/>
      <c r="Q76" s="143"/>
      <c r="R76" s="131"/>
      <c r="S76" s="132"/>
      <c r="T76" s="133"/>
      <c r="U76" s="134"/>
      <c r="V76" s="135"/>
      <c r="W76" s="135"/>
      <c r="X76" s="135"/>
      <c r="Y76" s="136"/>
      <c r="Z76" s="134"/>
      <c r="AA76" s="135"/>
      <c r="AB76" s="135"/>
      <c r="AC76" s="136"/>
      <c r="AD76" s="134"/>
      <c r="AE76" s="135"/>
      <c r="AF76" s="135"/>
      <c r="AG76" s="135"/>
      <c r="AH76" s="136"/>
      <c r="AI76" s="134"/>
      <c r="AJ76" s="135"/>
      <c r="AK76" s="135"/>
      <c r="AL76" s="135"/>
      <c r="AM76" s="136"/>
      <c r="AN76" s="134"/>
      <c r="AO76" s="135"/>
      <c r="AP76" s="135"/>
      <c r="AQ76" s="135"/>
      <c r="AR76" s="135"/>
      <c r="AS76" s="136"/>
      <c r="AY76" s="83" t="s">
        <v>197</v>
      </c>
    </row>
    <row r="77" spans="1:52" ht="12.75" customHeight="1" x14ac:dyDescent="0.3">
      <c r="A77" s="306" t="s">
        <v>198</v>
      </c>
      <c r="B77" s="306"/>
      <c r="C77" s="306"/>
      <c r="D77" s="306"/>
      <c r="E77" s="306"/>
      <c r="F77" s="306"/>
      <c r="G77" s="306"/>
      <c r="H77" s="306"/>
      <c r="I77" s="306"/>
      <c r="J77" s="306"/>
      <c r="K77" s="306"/>
      <c r="L77" s="306"/>
      <c r="M77" s="306"/>
      <c r="N77" s="306"/>
      <c r="O77" s="306"/>
      <c r="P77" s="306"/>
      <c r="Q77" s="306"/>
      <c r="R77" s="306"/>
      <c r="S77" s="306"/>
      <c r="T77" s="306"/>
      <c r="U77" s="306"/>
      <c r="V77" s="306"/>
      <c r="W77" s="306"/>
      <c r="X77" s="306"/>
      <c r="Y77" s="306"/>
      <c r="Z77" s="306"/>
      <c r="AA77" s="306"/>
      <c r="AB77" s="306"/>
      <c r="AC77" s="306"/>
      <c r="AD77" s="306"/>
      <c r="AE77" s="306"/>
      <c r="AF77" s="306"/>
      <c r="AG77" s="306"/>
      <c r="AH77" s="306"/>
      <c r="AI77" s="306"/>
      <c r="AJ77" s="306"/>
      <c r="AK77" s="306"/>
      <c r="AL77" s="306"/>
      <c r="AM77" s="306"/>
      <c r="AN77" s="306"/>
      <c r="AO77" s="306"/>
      <c r="AP77" s="306"/>
      <c r="AQ77" s="306"/>
      <c r="AR77" s="306"/>
      <c r="AS77" s="306"/>
      <c r="AY77" s="84" t="s">
        <v>199</v>
      </c>
    </row>
    <row r="78" spans="1:52" ht="12.75" customHeight="1" x14ac:dyDescent="0.3">
      <c r="A78" s="110" t="s">
        <v>89</v>
      </c>
      <c r="B78" s="111"/>
      <c r="C78" s="111"/>
      <c r="D78" s="111"/>
      <c r="E78" s="111"/>
      <c r="F78" s="111"/>
      <c r="G78" s="92"/>
      <c r="H78" s="110" t="s">
        <v>125</v>
      </c>
      <c r="I78" s="111"/>
      <c r="J78" s="92"/>
      <c r="K78" s="110">
        <v>0</v>
      </c>
      <c r="L78" s="92"/>
      <c r="M78" s="110" t="s">
        <v>200</v>
      </c>
      <c r="N78" s="111"/>
      <c r="O78" s="92"/>
      <c r="P78" s="110" t="s">
        <v>201</v>
      </c>
      <c r="Q78" s="92"/>
      <c r="R78" s="110" t="s">
        <v>202</v>
      </c>
      <c r="S78" s="111"/>
      <c r="T78" s="92"/>
      <c r="U78" s="110" t="s">
        <v>203</v>
      </c>
      <c r="V78" s="92"/>
      <c r="W78" s="110" t="s">
        <v>204</v>
      </c>
      <c r="X78" s="92"/>
      <c r="Y78" s="110" t="s">
        <v>205</v>
      </c>
      <c r="Z78" s="111"/>
      <c r="AA78" s="92"/>
      <c r="AB78" s="110" t="s">
        <v>206</v>
      </c>
      <c r="AC78" s="111"/>
      <c r="AD78" s="111"/>
      <c r="AE78" s="92"/>
      <c r="AF78" s="110" t="s">
        <v>207</v>
      </c>
      <c r="AG78" s="111"/>
      <c r="AH78" s="111"/>
      <c r="AI78" s="111"/>
      <c r="AJ78" s="111"/>
      <c r="AK78" s="92"/>
      <c r="AL78" s="110" t="s">
        <v>474</v>
      </c>
      <c r="AM78" s="92"/>
      <c r="AN78" s="110" t="s">
        <v>583</v>
      </c>
      <c r="AO78" s="92"/>
      <c r="AP78" s="110" t="s">
        <v>208</v>
      </c>
      <c r="AQ78" s="92"/>
      <c r="AR78" s="110" t="s">
        <v>209</v>
      </c>
      <c r="AS78" s="92"/>
      <c r="AU78" s="93"/>
      <c r="AY78" s="5"/>
      <c r="AZ78" s="159" t="s">
        <v>72</v>
      </c>
    </row>
    <row r="79" spans="1:52" ht="12.75" customHeight="1" x14ac:dyDescent="0.3">
      <c r="A79" s="385"/>
      <c r="B79" s="386"/>
      <c r="C79" s="386"/>
      <c r="D79" s="386"/>
      <c r="E79" s="386"/>
      <c r="F79" s="386"/>
      <c r="G79" s="387"/>
      <c r="H79" s="307"/>
      <c r="I79" s="308"/>
      <c r="J79" s="308"/>
      <c r="K79" s="308"/>
      <c r="L79" s="309"/>
      <c r="M79" s="310"/>
      <c r="N79" s="311"/>
      <c r="O79" s="311"/>
      <c r="P79" s="311"/>
      <c r="Q79" s="312"/>
      <c r="R79" s="313"/>
      <c r="S79" s="314"/>
      <c r="T79" s="314"/>
      <c r="U79" s="314"/>
      <c r="V79" s="315"/>
      <c r="W79" s="313"/>
      <c r="X79" s="314"/>
      <c r="Y79" s="314"/>
      <c r="Z79" s="314"/>
      <c r="AA79" s="315"/>
      <c r="AB79" s="313"/>
      <c r="AC79" s="315"/>
      <c r="AD79" s="313"/>
      <c r="AE79" s="315"/>
      <c r="AF79" s="313"/>
      <c r="AG79" s="314"/>
      <c r="AH79" s="315"/>
      <c r="AI79" s="313"/>
      <c r="AJ79" s="314"/>
      <c r="AK79" s="315"/>
      <c r="AL79" s="316"/>
      <c r="AM79" s="317"/>
      <c r="AN79" s="317"/>
      <c r="AO79" s="318"/>
      <c r="AP79" s="316"/>
      <c r="AQ79" s="317"/>
      <c r="AR79" s="317"/>
      <c r="AS79" s="318"/>
      <c r="AX79" s="159" t="s">
        <v>210</v>
      </c>
      <c r="AY79" s="4" t="s">
        <v>201</v>
      </c>
    </row>
    <row r="80" spans="1:52" ht="12.75" customHeight="1" x14ac:dyDescent="0.3">
      <c r="A80" s="388" t="s">
        <v>211</v>
      </c>
      <c r="B80" s="389"/>
      <c r="C80" s="389"/>
      <c r="D80" s="390"/>
      <c r="E80" s="388" t="s">
        <v>212</v>
      </c>
      <c r="F80" s="389"/>
      <c r="G80" s="389"/>
      <c r="H80" s="389"/>
      <c r="I80" s="389"/>
      <c r="J80" s="390"/>
      <c r="K80" s="388" t="s">
        <v>584</v>
      </c>
      <c r="L80" s="389"/>
      <c r="M80" s="390"/>
      <c r="N80" s="388" t="s">
        <v>467</v>
      </c>
      <c r="O80" s="390"/>
      <c r="P80" s="388" t="s">
        <v>585</v>
      </c>
      <c r="Q80" s="389"/>
      <c r="R80" s="390"/>
      <c r="S80" s="388" t="s">
        <v>467</v>
      </c>
      <c r="T80" s="390"/>
      <c r="U80" s="388" t="s">
        <v>213</v>
      </c>
      <c r="V80" s="389"/>
      <c r="W80" s="390"/>
      <c r="X80" s="388" t="s">
        <v>214</v>
      </c>
      <c r="Y80" s="390"/>
      <c r="Z80" s="388" t="s">
        <v>215</v>
      </c>
      <c r="AA80" s="389"/>
      <c r="AB80" s="390"/>
      <c r="AC80" s="388" t="s">
        <v>193</v>
      </c>
      <c r="AD80" s="390"/>
      <c r="AE80" s="388" t="s">
        <v>216</v>
      </c>
      <c r="AF80" s="389"/>
      <c r="AG80" s="390"/>
      <c r="AH80" s="388" t="s">
        <v>193</v>
      </c>
      <c r="AI80" s="390"/>
      <c r="AJ80" s="388" t="s">
        <v>217</v>
      </c>
      <c r="AK80" s="389"/>
      <c r="AL80" s="390"/>
      <c r="AM80" s="388" t="s">
        <v>193</v>
      </c>
      <c r="AN80" s="390"/>
      <c r="AO80" s="388" t="s">
        <v>218</v>
      </c>
      <c r="AP80" s="389"/>
      <c r="AQ80" s="390"/>
      <c r="AR80" s="388" t="s">
        <v>193</v>
      </c>
      <c r="AS80" s="390"/>
      <c r="AU80" s="93"/>
      <c r="AY80" s="73" t="s">
        <v>201</v>
      </c>
    </row>
    <row r="81" spans="1:16384" ht="12.75" customHeight="1" x14ac:dyDescent="0.3">
      <c r="A81" s="316"/>
      <c r="B81" s="317"/>
      <c r="C81" s="317"/>
      <c r="D81" s="318"/>
      <c r="E81" s="319"/>
      <c r="F81" s="320"/>
      <c r="G81" s="320"/>
      <c r="H81" s="320"/>
      <c r="I81" s="320"/>
      <c r="J81" s="321"/>
      <c r="K81" s="313">
        <v>40000</v>
      </c>
      <c r="L81" s="314"/>
      <c r="M81" s="314"/>
      <c r="N81" s="314"/>
      <c r="O81" s="315"/>
      <c r="P81" s="313"/>
      <c r="Q81" s="314"/>
      <c r="R81" s="314"/>
      <c r="S81" s="314"/>
      <c r="T81" s="315"/>
      <c r="U81" s="316"/>
      <c r="V81" s="317"/>
      <c r="W81" s="317"/>
      <c r="X81" s="317"/>
      <c r="Y81" s="318"/>
      <c r="Z81" s="319"/>
      <c r="AA81" s="320"/>
      <c r="AB81" s="320"/>
      <c r="AC81" s="320"/>
      <c r="AD81" s="321"/>
      <c r="AE81" s="319"/>
      <c r="AF81" s="320"/>
      <c r="AG81" s="320"/>
      <c r="AH81" s="320"/>
      <c r="AI81" s="321"/>
      <c r="AJ81" s="319"/>
      <c r="AK81" s="320"/>
      <c r="AL81" s="320"/>
      <c r="AM81" s="320"/>
      <c r="AN81" s="321"/>
      <c r="AO81" s="319"/>
      <c r="AP81" s="320"/>
      <c r="AQ81" s="320"/>
      <c r="AR81" s="320"/>
      <c r="AS81" s="321"/>
      <c r="AY81" s="5"/>
      <c r="AZ81" s="159" t="s">
        <v>72</v>
      </c>
    </row>
    <row r="82" spans="1:16384" ht="12.75" customHeight="1" x14ac:dyDescent="0.3">
      <c r="A82" s="388" t="s">
        <v>219</v>
      </c>
      <c r="B82" s="389"/>
      <c r="C82" s="389"/>
      <c r="D82" s="389"/>
      <c r="E82" s="389"/>
      <c r="F82" s="389"/>
      <c r="G82" s="389"/>
      <c r="H82" s="389"/>
      <c r="I82" s="390"/>
      <c r="J82" s="388" t="s">
        <v>220</v>
      </c>
      <c r="K82" s="389"/>
      <c r="L82" s="389"/>
      <c r="M82" s="389"/>
      <c r="N82" s="389"/>
      <c r="O82" s="389"/>
      <c r="P82" s="389"/>
      <c r="Q82" s="390"/>
      <c r="R82" s="388" t="s">
        <v>586</v>
      </c>
      <c r="S82" s="389"/>
      <c r="T82" s="389"/>
      <c r="U82" s="389"/>
      <c r="V82" s="389"/>
      <c r="W82" s="389"/>
      <c r="X82" s="389"/>
      <c r="Y82" s="390"/>
      <c r="Z82" s="388" t="s">
        <v>221</v>
      </c>
      <c r="AA82" s="389"/>
      <c r="AB82" s="389"/>
      <c r="AC82" s="389"/>
      <c r="AD82" s="390"/>
      <c r="AE82" s="388" t="s">
        <v>222</v>
      </c>
      <c r="AF82" s="389"/>
      <c r="AG82" s="390"/>
      <c r="AH82" s="388" t="s">
        <v>223</v>
      </c>
      <c r="AI82" s="389"/>
      <c r="AJ82" s="389"/>
      <c r="AK82" s="390"/>
      <c r="AL82" s="388" t="s">
        <v>222</v>
      </c>
      <c r="AM82" s="390"/>
      <c r="AN82" s="388" t="s">
        <v>224</v>
      </c>
      <c r="AO82" s="389"/>
      <c r="AP82" s="389"/>
      <c r="AQ82" s="390"/>
      <c r="AR82" s="388" t="s">
        <v>222</v>
      </c>
      <c r="AS82" s="390"/>
      <c r="AU82" s="93"/>
      <c r="AX82" s="70" t="s">
        <v>225</v>
      </c>
      <c r="AY82" s="4" t="s">
        <v>203</v>
      </c>
    </row>
    <row r="83" spans="1:16384" ht="12.75" customHeight="1" x14ac:dyDescent="0.3">
      <c r="A83" s="322"/>
      <c r="B83" s="323"/>
      <c r="C83" s="323"/>
      <c r="D83" s="323"/>
      <c r="E83" s="323"/>
      <c r="F83" s="323"/>
      <c r="G83" s="323"/>
      <c r="H83" s="323"/>
      <c r="I83" s="324"/>
      <c r="J83" s="322"/>
      <c r="K83" s="323"/>
      <c r="L83" s="323"/>
      <c r="M83" s="323"/>
      <c r="N83" s="323"/>
      <c r="O83" s="323"/>
      <c r="P83" s="323"/>
      <c r="Q83" s="324"/>
      <c r="R83" s="322"/>
      <c r="S83" s="323"/>
      <c r="T83" s="323"/>
      <c r="U83" s="323"/>
      <c r="V83" s="323"/>
      <c r="W83" s="323"/>
      <c r="X83" s="323"/>
      <c r="Y83" s="324"/>
      <c r="Z83" s="322"/>
      <c r="AA83" s="323"/>
      <c r="AB83" s="323"/>
      <c r="AC83" s="323"/>
      <c r="AD83" s="323"/>
      <c r="AE83" s="323"/>
      <c r="AF83" s="323"/>
      <c r="AG83" s="324"/>
      <c r="AH83" s="325"/>
      <c r="AI83" s="326"/>
      <c r="AJ83" s="326"/>
      <c r="AK83" s="326"/>
      <c r="AL83" s="326"/>
      <c r="AM83" s="327"/>
      <c r="AN83" s="298"/>
      <c r="AO83" s="299"/>
      <c r="AP83" s="299"/>
      <c r="AQ83" s="299"/>
      <c r="AR83" s="299"/>
      <c r="AS83" s="300"/>
      <c r="AU83" s="93"/>
      <c r="AY83" s="73" t="s">
        <v>203</v>
      </c>
    </row>
    <row r="84" spans="1:16384" ht="12.75" customHeight="1" x14ac:dyDescent="0.3">
      <c r="A84" s="446"/>
      <c r="B84" s="447"/>
      <c r="C84" s="447"/>
      <c r="D84" s="447"/>
      <c r="E84" s="447"/>
      <c r="F84" s="447"/>
      <c r="G84" s="447"/>
      <c r="H84" s="447"/>
      <c r="I84" s="447"/>
      <c r="J84" s="447"/>
      <c r="K84" s="447"/>
      <c r="L84" s="447"/>
      <c r="M84" s="447"/>
      <c r="N84" s="447"/>
      <c r="O84" s="447"/>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Q84" s="447"/>
      <c r="AR84" s="447"/>
      <c r="AS84" s="448"/>
      <c r="AU84" s="93"/>
      <c r="AY84" s="5"/>
      <c r="AZ84" s="159" t="s">
        <v>72</v>
      </c>
    </row>
    <row r="85" spans="1:16384" ht="12.75" customHeight="1" x14ac:dyDescent="0.3">
      <c r="A85" s="102"/>
      <c r="B85" s="102"/>
      <c r="C85" s="102"/>
      <c r="D85" s="102"/>
      <c r="E85" s="102"/>
      <c r="F85" s="102"/>
      <c r="G85" s="102"/>
      <c r="H85" s="102"/>
      <c r="I85" s="102"/>
      <c r="J85" s="102"/>
      <c r="K85" s="102"/>
      <c r="L85" s="328" t="str">
        <f>L1</f>
        <v>Adhi South-3</v>
      </c>
      <c r="M85" s="328"/>
      <c r="N85" s="328"/>
      <c r="O85" s="328"/>
      <c r="P85" s="328"/>
      <c r="Q85" s="328"/>
      <c r="R85" s="328"/>
      <c r="S85" s="328"/>
      <c r="T85" s="328"/>
      <c r="U85" s="328"/>
      <c r="V85" s="328"/>
      <c r="W85" s="328"/>
      <c r="X85" s="328"/>
      <c r="Y85" s="328"/>
      <c r="Z85" s="328"/>
      <c r="AA85" s="328"/>
      <c r="AB85" s="328"/>
      <c r="AC85" s="328"/>
      <c r="AD85" s="328"/>
      <c r="AE85" s="328"/>
      <c r="AF85" s="328"/>
      <c r="AG85" s="328"/>
      <c r="AH85" s="328"/>
      <c r="AI85" s="329"/>
      <c r="AJ85" s="106" t="s">
        <v>8</v>
      </c>
      <c r="AK85" s="107"/>
      <c r="AL85" s="107"/>
      <c r="AM85" s="107"/>
      <c r="AN85" s="107"/>
      <c r="AO85" s="103"/>
      <c r="AP85" s="330">
        <f>AP1</f>
        <v>43989</v>
      </c>
      <c r="AQ85" s="331"/>
      <c r="AR85" s="331"/>
      <c r="AS85" s="332"/>
      <c r="AU85" s="93"/>
      <c r="AX85" s="159" t="s">
        <v>226</v>
      </c>
      <c r="AY85" s="4" t="s">
        <v>205</v>
      </c>
    </row>
    <row r="86" spans="1:16384" ht="12.75" customHeight="1" x14ac:dyDescent="0.3">
      <c r="A86" s="102"/>
      <c r="B86" s="102"/>
      <c r="C86" s="102"/>
      <c r="D86" s="102"/>
      <c r="E86" s="102"/>
      <c r="F86" s="102"/>
      <c r="G86" s="102"/>
      <c r="H86" s="102"/>
      <c r="I86" s="102"/>
      <c r="J86" s="102"/>
      <c r="K86" s="102"/>
      <c r="L86" s="333"/>
      <c r="M86" s="333"/>
      <c r="N86" s="333"/>
      <c r="O86" s="333"/>
      <c r="P86" s="333"/>
      <c r="Q86" s="333"/>
      <c r="R86" s="333"/>
      <c r="S86" s="333"/>
      <c r="T86" s="333"/>
      <c r="U86" s="333"/>
      <c r="V86" s="333"/>
      <c r="W86" s="333"/>
      <c r="X86" s="333"/>
      <c r="Y86" s="333"/>
      <c r="Z86" s="333"/>
      <c r="AA86" s="333"/>
      <c r="AB86" s="333"/>
      <c r="AC86" s="333"/>
      <c r="AD86" s="333"/>
      <c r="AE86" s="333"/>
      <c r="AF86" s="333"/>
      <c r="AG86" s="333"/>
      <c r="AH86" s="333"/>
      <c r="AI86" s="334"/>
      <c r="AJ86" s="106" t="s">
        <v>13</v>
      </c>
      <c r="AK86" s="107"/>
      <c r="AL86" s="107"/>
      <c r="AM86" s="107"/>
      <c r="AN86" s="107"/>
      <c r="AO86" s="103"/>
      <c r="AP86" s="181">
        <f>AP2</f>
        <v>53</v>
      </c>
      <c r="AQ86" s="182"/>
      <c r="AR86" s="182"/>
      <c r="AS86" s="183"/>
      <c r="AY86" s="73" t="s">
        <v>205</v>
      </c>
    </row>
    <row r="87" spans="1:16384" ht="12.75" customHeight="1" x14ac:dyDescent="0.3">
      <c r="A87" s="102"/>
      <c r="B87" s="102"/>
      <c r="C87" s="102"/>
      <c r="D87" s="102"/>
      <c r="E87" s="102"/>
      <c r="F87" s="102"/>
      <c r="G87" s="102"/>
      <c r="H87" s="102"/>
      <c r="I87" s="102"/>
      <c r="J87" s="102"/>
      <c r="K87" s="102"/>
      <c r="L87" s="95"/>
      <c r="M87" s="95"/>
      <c r="N87" s="95"/>
      <c r="O87" s="95"/>
      <c r="P87" s="95" t="str">
        <f>P3</f>
        <v>Daily Drilling Report</v>
      </c>
      <c r="Q87" s="95"/>
      <c r="R87" s="95"/>
      <c r="S87" s="95"/>
      <c r="T87" s="95"/>
      <c r="U87" s="95"/>
      <c r="V87" s="95"/>
      <c r="W87" s="95"/>
      <c r="X87" s="95"/>
      <c r="Y87" s="95"/>
      <c r="Z87" s="95"/>
      <c r="AA87" s="95"/>
      <c r="AB87" s="95"/>
      <c r="AC87" s="95"/>
      <c r="AD87" s="95"/>
      <c r="AE87" s="95"/>
      <c r="AF87" s="95" t="s">
        <v>17</v>
      </c>
      <c r="AG87" s="95"/>
      <c r="AH87" s="212">
        <f>AH3</f>
        <v>53</v>
      </c>
      <c r="AI87" s="212"/>
      <c r="AJ87" s="102" t="s">
        <v>18</v>
      </c>
      <c r="AK87" s="102"/>
      <c r="AL87" s="102"/>
      <c r="AM87" s="102"/>
      <c r="AN87" s="109" t="str">
        <f>AY3</f>
        <v>in</v>
      </c>
      <c r="AO87" s="108"/>
      <c r="AP87" s="335">
        <f>IF(AP3="","",AP3)</f>
        <v>6</v>
      </c>
      <c r="AQ87" s="336"/>
      <c r="AR87" s="336"/>
      <c r="AS87" s="337"/>
      <c r="AU87" s="93"/>
      <c r="AY87" s="5"/>
      <c r="AZ87" s="159" t="s">
        <v>72</v>
      </c>
    </row>
    <row r="88" spans="1:16384" ht="12.75" customHeight="1" x14ac:dyDescent="0.3">
      <c r="A88" s="73"/>
      <c r="B88" s="73"/>
      <c r="C88" s="73"/>
      <c r="D88" s="73"/>
      <c r="E88" s="73"/>
      <c r="F88" s="73"/>
      <c r="G88" s="73"/>
      <c r="H88" s="73"/>
      <c r="I88" s="73"/>
      <c r="J88" s="73"/>
      <c r="K88" s="73"/>
      <c r="L88" s="95"/>
      <c r="M88" s="95"/>
      <c r="N88" s="95"/>
      <c r="O88" s="95"/>
      <c r="P88" s="95"/>
      <c r="Q88" s="95"/>
      <c r="R88" s="95"/>
      <c r="S88" s="95"/>
      <c r="T88" s="95"/>
      <c r="U88" s="95"/>
      <c r="V88" s="95"/>
      <c r="W88" s="95"/>
      <c r="X88" s="95"/>
      <c r="Y88" s="95"/>
      <c r="Z88" s="95"/>
      <c r="AA88" s="95"/>
      <c r="AB88" s="95"/>
      <c r="AC88" s="95"/>
      <c r="AD88" s="95"/>
      <c r="AE88" s="95"/>
      <c r="AF88" s="95"/>
      <c r="AG88" s="95"/>
      <c r="AH88" s="212"/>
      <c r="AI88" s="212"/>
      <c r="AJ88" s="73" t="s">
        <v>21</v>
      </c>
      <c r="AK88" s="73"/>
      <c r="AL88" s="73"/>
      <c r="AM88" s="73"/>
      <c r="AN88" s="338" t="str">
        <f>AY6</f>
        <v>m</v>
      </c>
      <c r="AO88" s="339"/>
      <c r="AP88" s="340">
        <f>AP4</f>
        <v>3460</v>
      </c>
      <c r="AQ88" s="341"/>
      <c r="AR88" s="341"/>
      <c r="AS88" s="342"/>
      <c r="AX88" s="159" t="s">
        <v>227</v>
      </c>
      <c r="AY88" s="4" t="s">
        <v>583</v>
      </c>
    </row>
    <row r="89" spans="1:16384" ht="12.75" customHeight="1" x14ac:dyDescent="0.3">
      <c r="A89" s="343" t="s">
        <v>228</v>
      </c>
      <c r="B89" s="343"/>
      <c r="C89" s="343"/>
      <c r="D89" s="343"/>
      <c r="E89" s="343"/>
      <c r="F89" s="343"/>
      <c r="G89" s="343"/>
      <c r="H89" s="343"/>
      <c r="I89" s="343"/>
      <c r="J89" s="343"/>
      <c r="K89" s="343"/>
      <c r="L89" s="343"/>
      <c r="M89" s="343"/>
      <c r="N89" s="343"/>
      <c r="O89" s="343"/>
      <c r="P89" s="343"/>
      <c r="Q89" s="343"/>
      <c r="R89" s="343"/>
      <c r="S89" s="343"/>
      <c r="T89" s="343"/>
      <c r="U89" s="343"/>
      <c r="V89" s="343"/>
      <c r="W89" s="343"/>
      <c r="X89" s="343"/>
      <c r="Y89" s="343"/>
      <c r="Z89" s="343"/>
      <c r="AA89" s="343"/>
      <c r="AB89" s="343"/>
      <c r="AC89" s="343"/>
      <c r="AD89" s="343"/>
      <c r="AE89" s="343"/>
      <c r="AF89" s="343"/>
      <c r="AG89" s="343"/>
      <c r="AH89" s="343"/>
      <c r="AI89" s="343"/>
      <c r="AJ89" s="343"/>
      <c r="AK89" s="343"/>
      <c r="AL89" s="343"/>
      <c r="AM89" s="343"/>
      <c r="AN89" s="343"/>
      <c r="AO89" s="343"/>
      <c r="AP89" s="343"/>
      <c r="AQ89" s="343"/>
      <c r="AR89" s="343"/>
      <c r="AS89" s="343"/>
      <c r="AU89" s="93"/>
      <c r="AY89" s="73" t="s">
        <v>583</v>
      </c>
    </row>
    <row r="90" spans="1:16384" ht="12.75" customHeight="1" x14ac:dyDescent="0.3">
      <c r="A90" s="344" t="s">
        <v>587</v>
      </c>
      <c r="B90" s="344"/>
      <c r="C90" s="344"/>
      <c r="D90" s="344"/>
      <c r="E90" s="344"/>
      <c r="F90" s="344"/>
      <c r="G90" s="344"/>
      <c r="H90" s="344"/>
      <c r="I90" s="344"/>
      <c r="J90" s="344"/>
      <c r="K90" s="344"/>
      <c r="L90" s="344"/>
      <c r="M90" s="344"/>
      <c r="N90" s="344"/>
      <c r="O90" s="344"/>
      <c r="P90" s="344"/>
      <c r="Q90" s="344"/>
      <c r="R90" s="344"/>
      <c r="S90" s="344"/>
      <c r="T90" s="344"/>
      <c r="U90" s="344"/>
      <c r="V90" s="344"/>
      <c r="W90" s="344"/>
      <c r="X90" s="344"/>
      <c r="Y90" s="344"/>
      <c r="Z90" s="344"/>
      <c r="AA90" s="344"/>
      <c r="AB90" s="344"/>
      <c r="AC90" s="344"/>
      <c r="AD90" s="344"/>
      <c r="AE90" s="344"/>
      <c r="AF90" s="344"/>
      <c r="AG90" s="344"/>
      <c r="AH90" s="344"/>
      <c r="AI90" s="344"/>
      <c r="AJ90" s="344"/>
      <c r="AK90" s="344"/>
      <c r="AL90" s="344"/>
      <c r="AM90" s="344"/>
      <c r="AN90" s="344"/>
      <c r="AO90" s="344"/>
      <c r="AP90" s="344"/>
      <c r="AQ90" s="344"/>
      <c r="AR90" s="344"/>
      <c r="AS90" s="344"/>
      <c r="AY90" s="5"/>
      <c r="AZ90" s="159" t="s">
        <v>72</v>
      </c>
    </row>
    <row r="91" spans="1:16384" ht="12.75" customHeight="1" x14ac:dyDescent="0.3">
      <c r="A91" s="79" t="s">
        <v>588</v>
      </c>
      <c r="B91" s="79"/>
      <c r="C91" s="79" t="s">
        <v>589</v>
      </c>
      <c r="D91" s="79"/>
      <c r="E91" s="79" t="s">
        <v>590</v>
      </c>
      <c r="F91" s="79"/>
      <c r="G91" s="79" t="s">
        <v>229</v>
      </c>
      <c r="H91" s="79" t="s">
        <v>0</v>
      </c>
      <c r="I91" s="79"/>
      <c r="J91" s="345" t="s">
        <v>1</v>
      </c>
      <c r="K91" s="345"/>
      <c r="L91" s="345"/>
      <c r="M91" s="345"/>
      <c r="N91" s="345"/>
      <c r="O91" s="345"/>
      <c r="P91" s="345"/>
      <c r="Q91" s="345"/>
      <c r="R91" s="345"/>
      <c r="S91" s="345"/>
      <c r="T91" s="345"/>
      <c r="U91" s="345"/>
      <c r="V91" s="345"/>
      <c r="W91" s="345"/>
      <c r="X91" s="345"/>
      <c r="Y91" s="345"/>
      <c r="Z91" s="345"/>
      <c r="AA91" s="345"/>
      <c r="AB91" s="345"/>
      <c r="AC91" s="345"/>
      <c r="AD91" s="345"/>
      <c r="AE91" s="345"/>
      <c r="AF91" s="345"/>
      <c r="AG91" s="345"/>
      <c r="AH91" s="345"/>
      <c r="AI91" s="345"/>
      <c r="AJ91" s="345"/>
      <c r="AK91" s="345"/>
      <c r="AL91" s="345"/>
      <c r="AM91" s="345"/>
      <c r="AN91" s="345"/>
      <c r="AO91" s="345"/>
      <c r="AP91" s="345"/>
      <c r="AQ91" s="345"/>
      <c r="AR91" s="345"/>
      <c r="AS91" s="345"/>
      <c r="AX91" s="159" t="s">
        <v>230</v>
      </c>
      <c r="AY91" s="4" t="s">
        <v>209</v>
      </c>
    </row>
    <row r="92" spans="1:16384" ht="14.25" customHeight="1" x14ac:dyDescent="0.3">
      <c r="A92" s="363">
        <v>0</v>
      </c>
      <c r="B92" s="364"/>
      <c r="C92" s="363">
        <v>0.47916666666666669</v>
      </c>
      <c r="D92" s="364"/>
      <c r="E92" s="395">
        <f t="shared" ref="E92" si="0">(C92-A92)*24</f>
        <v>11.5</v>
      </c>
      <c r="F92" s="396"/>
      <c r="G92" s="164" t="s">
        <v>231</v>
      </c>
      <c r="H92" s="152" t="s">
        <v>595</v>
      </c>
      <c r="I92" s="153"/>
      <c r="J92" s="156"/>
      <c r="K92" s="157"/>
      <c r="L92" s="415" t="s">
        <v>962</v>
      </c>
      <c r="M92" s="416"/>
      <c r="N92" s="416"/>
      <c r="O92" s="416"/>
      <c r="P92" s="416"/>
      <c r="Q92" s="416"/>
      <c r="R92" s="416"/>
      <c r="S92" s="416"/>
      <c r="T92" s="416"/>
      <c r="U92" s="416"/>
      <c r="V92" s="416"/>
      <c r="W92" s="416"/>
      <c r="X92" s="416"/>
      <c r="Y92" s="416"/>
      <c r="Z92" s="416"/>
      <c r="AA92" s="416"/>
      <c r="AB92" s="416"/>
      <c r="AC92" s="416"/>
      <c r="AD92" s="416"/>
      <c r="AE92" s="416"/>
      <c r="AF92" s="416"/>
      <c r="AG92" s="416"/>
      <c r="AH92" s="416"/>
      <c r="AI92" s="416"/>
      <c r="AJ92" s="416"/>
      <c r="AK92" s="416"/>
      <c r="AL92" s="416"/>
      <c r="AM92" s="416"/>
      <c r="AN92" s="416"/>
      <c r="AO92" s="416"/>
      <c r="AP92" s="416"/>
      <c r="AQ92" s="416"/>
      <c r="AR92" s="416"/>
      <c r="AS92" s="417"/>
      <c r="AY92" s="73" t="s">
        <v>209</v>
      </c>
    </row>
    <row r="93" spans="1:16384" ht="12.75" customHeight="1" x14ac:dyDescent="0.3">
      <c r="A93" s="393"/>
      <c r="B93" s="394"/>
      <c r="C93" s="393"/>
      <c r="D93" s="394"/>
      <c r="E93" s="395"/>
      <c r="F93" s="396"/>
      <c r="G93" s="164"/>
      <c r="H93" s="450"/>
      <c r="I93" s="451"/>
      <c r="J93" s="452"/>
      <c r="K93" s="453"/>
      <c r="L93" s="421"/>
      <c r="M93" s="422"/>
      <c r="N93" s="422"/>
      <c r="O93" s="422"/>
      <c r="P93" s="422"/>
      <c r="Q93" s="422"/>
      <c r="R93" s="422"/>
      <c r="S93" s="422"/>
      <c r="T93" s="422"/>
      <c r="U93" s="422"/>
      <c r="V93" s="422"/>
      <c r="W93" s="422"/>
      <c r="X93" s="422"/>
      <c r="Y93" s="422"/>
      <c r="Z93" s="422"/>
      <c r="AA93" s="422"/>
      <c r="AB93" s="422"/>
      <c r="AC93" s="422"/>
      <c r="AD93" s="422"/>
      <c r="AE93" s="422"/>
      <c r="AF93" s="422"/>
      <c r="AG93" s="422"/>
      <c r="AH93" s="422"/>
      <c r="AI93" s="422"/>
      <c r="AJ93" s="422"/>
      <c r="AK93" s="422"/>
      <c r="AL93" s="422"/>
      <c r="AM93" s="422"/>
      <c r="AN93" s="422"/>
      <c r="AO93" s="422"/>
      <c r="AP93" s="422"/>
      <c r="AQ93" s="422"/>
      <c r="AR93" s="422"/>
      <c r="AS93" s="423"/>
      <c r="AT93" s="492"/>
      <c r="AU93" s="492"/>
      <c r="AV93" s="492"/>
      <c r="AW93" s="492"/>
      <c r="AX93" s="493"/>
      <c r="AY93" s="493"/>
      <c r="AZ93" s="192"/>
      <c r="BA93" s="489"/>
      <c r="BB93" s="489"/>
      <c r="BC93" s="490"/>
      <c r="BD93" s="490"/>
      <c r="BE93" s="491"/>
      <c r="BF93" s="491"/>
      <c r="BG93" s="491"/>
      <c r="BH93" s="491"/>
      <c r="BI93" s="491"/>
      <c r="BJ93" s="491"/>
      <c r="BK93" s="491"/>
      <c r="BL93" s="491"/>
      <c r="BM93" s="491"/>
      <c r="BN93" s="491"/>
      <c r="BO93" s="491"/>
      <c r="BP93" s="491"/>
      <c r="BQ93" s="491"/>
      <c r="BR93" s="491"/>
      <c r="BS93" s="491"/>
      <c r="BT93" s="491"/>
      <c r="BU93" s="491"/>
      <c r="BV93" s="491"/>
      <c r="BW93" s="491"/>
      <c r="BX93" s="491"/>
      <c r="BY93" s="491"/>
      <c r="BZ93" s="491"/>
      <c r="CA93" s="491"/>
      <c r="CB93" s="491"/>
      <c r="CC93" s="491"/>
      <c r="CD93" s="491"/>
      <c r="CE93" s="491"/>
      <c r="CF93" s="491"/>
      <c r="CG93" s="491"/>
      <c r="CH93" s="491"/>
      <c r="CI93" s="491"/>
      <c r="CJ93" s="491"/>
      <c r="CK93" s="491"/>
      <c r="CL93" s="491"/>
      <c r="CM93" s="492"/>
      <c r="CN93" s="492"/>
      <c r="CO93" s="492"/>
      <c r="CP93" s="492"/>
      <c r="CQ93" s="493"/>
      <c r="CR93" s="493"/>
      <c r="CS93" s="192"/>
      <c r="CT93" s="489"/>
      <c r="CU93" s="489"/>
      <c r="CV93" s="490"/>
      <c r="CW93" s="490"/>
      <c r="CX93" s="491"/>
      <c r="CY93" s="491"/>
      <c r="CZ93" s="491"/>
      <c r="DA93" s="491"/>
      <c r="DB93" s="491"/>
      <c r="DC93" s="491"/>
      <c r="DD93" s="491"/>
      <c r="DE93" s="491"/>
      <c r="DF93" s="491"/>
      <c r="DG93" s="491"/>
      <c r="DH93" s="491"/>
      <c r="DI93" s="491"/>
      <c r="DJ93" s="491"/>
      <c r="DK93" s="491"/>
      <c r="DL93" s="491"/>
      <c r="DM93" s="491"/>
      <c r="DN93" s="491"/>
      <c r="DO93" s="491"/>
      <c r="DP93" s="491"/>
      <c r="DQ93" s="491"/>
      <c r="DR93" s="491"/>
      <c r="DS93" s="491"/>
      <c r="DT93" s="491"/>
      <c r="DU93" s="491"/>
      <c r="DV93" s="491"/>
      <c r="DW93" s="491"/>
      <c r="DX93" s="491"/>
      <c r="DY93" s="491"/>
      <c r="DZ93" s="491"/>
      <c r="EA93" s="491"/>
      <c r="EB93" s="491"/>
      <c r="EC93" s="491"/>
      <c r="ED93" s="491"/>
      <c r="EE93" s="491"/>
      <c r="EF93" s="492"/>
      <c r="EG93" s="492"/>
      <c r="EH93" s="492"/>
      <c r="EI93" s="492"/>
      <c r="EJ93" s="493"/>
      <c r="EK93" s="493"/>
      <c r="EL93" s="192"/>
      <c r="EM93" s="489"/>
      <c r="EN93" s="489"/>
      <c r="EO93" s="490"/>
      <c r="EP93" s="490"/>
      <c r="EQ93" s="491"/>
      <c r="ER93" s="491"/>
      <c r="ES93" s="491"/>
      <c r="ET93" s="491"/>
      <c r="EU93" s="491"/>
      <c r="EV93" s="491"/>
      <c r="EW93" s="491"/>
      <c r="EX93" s="491"/>
      <c r="EY93" s="491"/>
      <c r="EZ93" s="491"/>
      <c r="FA93" s="491"/>
      <c r="FB93" s="491"/>
      <c r="FC93" s="491"/>
      <c r="FD93" s="491"/>
      <c r="FE93" s="491"/>
      <c r="FF93" s="491"/>
      <c r="FG93" s="491"/>
      <c r="FH93" s="491"/>
      <c r="FI93" s="491"/>
      <c r="FJ93" s="491"/>
      <c r="FK93" s="491"/>
      <c r="FL93" s="491"/>
      <c r="FM93" s="491"/>
      <c r="FN93" s="491"/>
      <c r="FO93" s="491"/>
      <c r="FP93" s="491"/>
      <c r="FQ93" s="491"/>
      <c r="FR93" s="491"/>
      <c r="FS93" s="491"/>
      <c r="FT93" s="491"/>
      <c r="FU93" s="491"/>
      <c r="FV93" s="491"/>
      <c r="FW93" s="491"/>
      <c r="FX93" s="491"/>
      <c r="FY93" s="492"/>
      <c r="FZ93" s="492"/>
      <c r="GA93" s="492"/>
      <c r="GB93" s="492"/>
      <c r="GC93" s="493"/>
      <c r="GD93" s="493"/>
      <c r="GE93" s="192"/>
      <c r="GF93" s="489"/>
      <c r="GG93" s="489"/>
      <c r="GH93" s="490"/>
      <c r="GI93" s="490"/>
      <c r="GJ93" s="491"/>
      <c r="GK93" s="491"/>
      <c r="GL93" s="491"/>
      <c r="GM93" s="491"/>
      <c r="GN93" s="491"/>
      <c r="GO93" s="491"/>
      <c r="GP93" s="491"/>
      <c r="GQ93" s="491"/>
      <c r="GR93" s="491"/>
      <c r="GS93" s="491"/>
      <c r="GT93" s="491"/>
      <c r="GU93" s="491"/>
      <c r="GV93" s="491"/>
      <c r="GW93" s="491"/>
      <c r="GX93" s="491"/>
      <c r="GY93" s="491"/>
      <c r="GZ93" s="491"/>
      <c r="HA93" s="491"/>
      <c r="HB93" s="491"/>
      <c r="HC93" s="491"/>
      <c r="HD93" s="491"/>
      <c r="HE93" s="491"/>
      <c r="HF93" s="491"/>
      <c r="HG93" s="491"/>
      <c r="HH93" s="491"/>
      <c r="HI93" s="491"/>
      <c r="HJ93" s="491"/>
      <c r="HK93" s="491"/>
      <c r="HL93" s="491"/>
      <c r="HM93" s="491"/>
      <c r="HN93" s="491"/>
      <c r="HO93" s="491"/>
      <c r="HP93" s="491"/>
      <c r="HQ93" s="491"/>
      <c r="HR93" s="492"/>
      <c r="HS93" s="492"/>
      <c r="HT93" s="492"/>
      <c r="HU93" s="492"/>
      <c r="HV93" s="493"/>
      <c r="HW93" s="493"/>
      <c r="HX93" s="192"/>
      <c r="HY93" s="489"/>
      <c r="HZ93" s="489"/>
      <c r="IA93" s="490"/>
      <c r="IB93" s="490"/>
      <c r="IC93" s="491"/>
      <c r="ID93" s="491"/>
      <c r="IE93" s="491"/>
      <c r="IF93" s="491"/>
      <c r="IG93" s="491"/>
      <c r="IH93" s="491"/>
      <c r="II93" s="491"/>
      <c r="IJ93" s="491"/>
      <c r="IK93" s="491"/>
      <c r="IL93" s="491"/>
      <c r="IM93" s="491"/>
      <c r="IN93" s="491"/>
      <c r="IO93" s="491"/>
      <c r="IP93" s="491"/>
      <c r="IQ93" s="491"/>
      <c r="IR93" s="491"/>
      <c r="IS93" s="491"/>
      <c r="IT93" s="491"/>
      <c r="IU93" s="491"/>
      <c r="IV93" s="491"/>
      <c r="IW93" s="491"/>
      <c r="IX93" s="491"/>
      <c r="IY93" s="491"/>
      <c r="IZ93" s="491"/>
      <c r="JA93" s="491"/>
      <c r="JB93" s="491"/>
      <c r="JC93" s="491"/>
      <c r="JD93" s="491"/>
      <c r="JE93" s="491"/>
      <c r="JF93" s="491"/>
      <c r="JG93" s="491"/>
      <c r="JH93" s="491"/>
      <c r="JI93" s="491"/>
      <c r="JJ93" s="491"/>
      <c r="JK93" s="492"/>
      <c r="JL93" s="492"/>
      <c r="JM93" s="492"/>
      <c r="JN93" s="492"/>
      <c r="JO93" s="493"/>
      <c r="JP93" s="493"/>
      <c r="JQ93" s="192"/>
      <c r="JR93" s="489"/>
      <c r="JS93" s="489"/>
      <c r="JT93" s="490"/>
      <c r="JU93" s="490"/>
      <c r="JV93" s="491"/>
      <c r="JW93" s="491"/>
      <c r="JX93" s="491"/>
      <c r="JY93" s="491"/>
      <c r="JZ93" s="491"/>
      <c r="KA93" s="491"/>
      <c r="KB93" s="491"/>
      <c r="KC93" s="491"/>
      <c r="KD93" s="491"/>
      <c r="KE93" s="491"/>
      <c r="KF93" s="491"/>
      <c r="KG93" s="491"/>
      <c r="KH93" s="491"/>
      <c r="KI93" s="491"/>
      <c r="KJ93" s="491"/>
      <c r="KK93" s="491"/>
      <c r="KL93" s="491"/>
      <c r="KM93" s="491"/>
      <c r="KN93" s="491"/>
      <c r="KO93" s="491"/>
      <c r="KP93" s="491"/>
      <c r="KQ93" s="491"/>
      <c r="KR93" s="491"/>
      <c r="KS93" s="491"/>
      <c r="KT93" s="491"/>
      <c r="KU93" s="491"/>
      <c r="KV93" s="491"/>
      <c r="KW93" s="491"/>
      <c r="KX93" s="491"/>
      <c r="KY93" s="491"/>
      <c r="KZ93" s="491"/>
      <c r="LA93" s="491"/>
      <c r="LB93" s="491"/>
      <c r="LC93" s="491"/>
      <c r="LD93" s="492"/>
      <c r="LE93" s="492"/>
      <c r="LF93" s="492"/>
      <c r="LG93" s="492"/>
      <c r="LH93" s="493"/>
      <c r="LI93" s="493"/>
      <c r="LJ93" s="192"/>
      <c r="LK93" s="489"/>
      <c r="LL93" s="489"/>
      <c r="LM93" s="490"/>
      <c r="LN93" s="490"/>
      <c r="LO93" s="491"/>
      <c r="LP93" s="491"/>
      <c r="LQ93" s="491"/>
      <c r="LR93" s="491"/>
      <c r="LS93" s="491"/>
      <c r="LT93" s="491"/>
      <c r="LU93" s="491"/>
      <c r="LV93" s="491"/>
      <c r="LW93" s="491"/>
      <c r="LX93" s="491"/>
      <c r="LY93" s="491"/>
      <c r="LZ93" s="491"/>
      <c r="MA93" s="491"/>
      <c r="MB93" s="491"/>
      <c r="MC93" s="491"/>
      <c r="MD93" s="491"/>
      <c r="ME93" s="491"/>
      <c r="MF93" s="491"/>
      <c r="MG93" s="491"/>
      <c r="MH93" s="491"/>
      <c r="MI93" s="491"/>
      <c r="MJ93" s="491"/>
      <c r="MK93" s="491"/>
      <c r="ML93" s="491"/>
      <c r="MM93" s="491"/>
      <c r="MN93" s="491"/>
      <c r="MO93" s="491"/>
      <c r="MP93" s="491"/>
      <c r="MQ93" s="491"/>
      <c r="MR93" s="491"/>
      <c r="MS93" s="491"/>
      <c r="MT93" s="491"/>
      <c r="MU93" s="491"/>
      <c r="MV93" s="491"/>
      <c r="MW93" s="492"/>
      <c r="MX93" s="492"/>
      <c r="MY93" s="492"/>
      <c r="MZ93" s="492"/>
      <c r="NA93" s="493"/>
      <c r="NB93" s="493"/>
      <c r="NC93" s="192"/>
      <c r="ND93" s="489"/>
      <c r="NE93" s="489"/>
      <c r="NF93" s="490"/>
      <c r="NG93" s="490"/>
      <c r="NH93" s="491"/>
      <c r="NI93" s="491"/>
      <c r="NJ93" s="491"/>
      <c r="NK93" s="491"/>
      <c r="NL93" s="491"/>
      <c r="NM93" s="491"/>
      <c r="NN93" s="491"/>
      <c r="NO93" s="491"/>
      <c r="NP93" s="491"/>
      <c r="NQ93" s="491"/>
      <c r="NR93" s="491"/>
      <c r="NS93" s="491"/>
      <c r="NT93" s="491"/>
      <c r="NU93" s="491"/>
      <c r="NV93" s="491"/>
      <c r="NW93" s="491"/>
      <c r="NX93" s="491"/>
      <c r="NY93" s="491"/>
      <c r="NZ93" s="491"/>
      <c r="OA93" s="491"/>
      <c r="OB93" s="491"/>
      <c r="OC93" s="491"/>
      <c r="OD93" s="491"/>
      <c r="OE93" s="491"/>
      <c r="OF93" s="491"/>
      <c r="OG93" s="491"/>
      <c r="OH93" s="491"/>
      <c r="OI93" s="491"/>
      <c r="OJ93" s="491"/>
      <c r="OK93" s="491"/>
      <c r="OL93" s="491"/>
      <c r="OM93" s="491"/>
      <c r="ON93" s="491"/>
      <c r="OO93" s="491"/>
      <c r="OP93" s="492"/>
      <c r="OQ93" s="492"/>
      <c r="OR93" s="492"/>
      <c r="OS93" s="492"/>
      <c r="OT93" s="493"/>
      <c r="OU93" s="493"/>
      <c r="OV93" s="192"/>
      <c r="OW93" s="489"/>
      <c r="OX93" s="489"/>
      <c r="OY93" s="490"/>
      <c r="OZ93" s="490"/>
      <c r="PA93" s="491"/>
      <c r="PB93" s="491"/>
      <c r="PC93" s="491"/>
      <c r="PD93" s="491"/>
      <c r="PE93" s="491"/>
      <c r="PF93" s="491"/>
      <c r="PG93" s="491"/>
      <c r="PH93" s="491"/>
      <c r="PI93" s="491"/>
      <c r="PJ93" s="491"/>
      <c r="PK93" s="491"/>
      <c r="PL93" s="491"/>
      <c r="PM93" s="491"/>
      <c r="PN93" s="491"/>
      <c r="PO93" s="491"/>
      <c r="PP93" s="491"/>
      <c r="PQ93" s="491"/>
      <c r="PR93" s="491"/>
      <c r="PS93" s="491"/>
      <c r="PT93" s="491"/>
      <c r="PU93" s="491"/>
      <c r="PV93" s="491"/>
      <c r="PW93" s="491"/>
      <c r="PX93" s="491"/>
      <c r="PY93" s="491"/>
      <c r="PZ93" s="491"/>
      <c r="QA93" s="491"/>
      <c r="QB93" s="491"/>
      <c r="QC93" s="491"/>
      <c r="QD93" s="491"/>
      <c r="QE93" s="491"/>
      <c r="QF93" s="491"/>
      <c r="QG93" s="491"/>
      <c r="QH93" s="491"/>
      <c r="QI93" s="492"/>
      <c r="QJ93" s="492"/>
      <c r="QK93" s="492"/>
      <c r="QL93" s="492"/>
      <c r="QM93" s="493"/>
      <c r="QN93" s="493"/>
      <c r="QO93" s="192"/>
      <c r="QP93" s="489"/>
      <c r="QQ93" s="489"/>
      <c r="QR93" s="490"/>
      <c r="QS93" s="490"/>
      <c r="QT93" s="491"/>
      <c r="QU93" s="491"/>
      <c r="QV93" s="491"/>
      <c r="QW93" s="491"/>
      <c r="QX93" s="491"/>
      <c r="QY93" s="491"/>
      <c r="QZ93" s="491"/>
      <c r="RA93" s="491"/>
      <c r="RB93" s="491"/>
      <c r="RC93" s="491"/>
      <c r="RD93" s="491"/>
      <c r="RE93" s="491"/>
      <c r="RF93" s="491"/>
      <c r="RG93" s="491"/>
      <c r="RH93" s="491"/>
      <c r="RI93" s="491"/>
      <c r="RJ93" s="491"/>
      <c r="RK93" s="491"/>
      <c r="RL93" s="491"/>
      <c r="RM93" s="491"/>
      <c r="RN93" s="491"/>
      <c r="RO93" s="491"/>
      <c r="RP93" s="491"/>
      <c r="RQ93" s="491"/>
      <c r="RR93" s="491"/>
      <c r="RS93" s="491"/>
      <c r="RT93" s="491"/>
      <c r="RU93" s="491"/>
      <c r="RV93" s="491"/>
      <c r="RW93" s="491"/>
      <c r="RX93" s="491"/>
      <c r="RY93" s="491"/>
      <c r="RZ93" s="491"/>
      <c r="SA93" s="491"/>
      <c r="SB93" s="492"/>
      <c r="SC93" s="492"/>
      <c r="SD93" s="492"/>
      <c r="SE93" s="492"/>
      <c r="SF93" s="493"/>
      <c r="SG93" s="493"/>
      <c r="SH93" s="192"/>
      <c r="SI93" s="489"/>
      <c r="SJ93" s="489"/>
      <c r="SK93" s="490"/>
      <c r="SL93" s="490"/>
      <c r="SM93" s="491"/>
      <c r="SN93" s="491"/>
      <c r="SO93" s="491"/>
      <c r="SP93" s="491"/>
      <c r="SQ93" s="491"/>
      <c r="SR93" s="491"/>
      <c r="SS93" s="491"/>
      <c r="ST93" s="491"/>
      <c r="SU93" s="491"/>
      <c r="SV93" s="491"/>
      <c r="SW93" s="491"/>
      <c r="SX93" s="491"/>
      <c r="SY93" s="491"/>
      <c r="SZ93" s="491"/>
      <c r="TA93" s="491"/>
      <c r="TB93" s="491"/>
      <c r="TC93" s="491"/>
      <c r="TD93" s="491"/>
      <c r="TE93" s="491"/>
      <c r="TF93" s="491"/>
      <c r="TG93" s="491"/>
      <c r="TH93" s="491"/>
      <c r="TI93" s="491"/>
      <c r="TJ93" s="491"/>
      <c r="TK93" s="491"/>
      <c r="TL93" s="491"/>
      <c r="TM93" s="491"/>
      <c r="TN93" s="491"/>
      <c r="TO93" s="491"/>
      <c r="TP93" s="491"/>
      <c r="TQ93" s="491"/>
      <c r="TR93" s="491"/>
      <c r="TS93" s="491"/>
      <c r="TT93" s="491"/>
      <c r="TU93" s="492"/>
      <c r="TV93" s="492"/>
      <c r="TW93" s="492"/>
      <c r="TX93" s="492"/>
      <c r="TY93" s="493"/>
      <c r="TZ93" s="493"/>
      <c r="UA93" s="192"/>
      <c r="UB93" s="489"/>
      <c r="UC93" s="489"/>
      <c r="UD93" s="490"/>
      <c r="UE93" s="490"/>
      <c r="UF93" s="491"/>
      <c r="UG93" s="491"/>
      <c r="UH93" s="491"/>
      <c r="UI93" s="491"/>
      <c r="UJ93" s="491"/>
      <c r="UK93" s="491"/>
      <c r="UL93" s="491"/>
      <c r="UM93" s="491"/>
      <c r="UN93" s="491"/>
      <c r="UO93" s="491"/>
      <c r="UP93" s="491"/>
      <c r="UQ93" s="491"/>
      <c r="UR93" s="491"/>
      <c r="US93" s="491"/>
      <c r="UT93" s="491"/>
      <c r="UU93" s="491"/>
      <c r="UV93" s="491"/>
      <c r="UW93" s="491"/>
      <c r="UX93" s="491"/>
      <c r="UY93" s="491"/>
      <c r="UZ93" s="491"/>
      <c r="VA93" s="491"/>
      <c r="VB93" s="491"/>
      <c r="VC93" s="491"/>
      <c r="VD93" s="491"/>
      <c r="VE93" s="491"/>
      <c r="VF93" s="491"/>
      <c r="VG93" s="491"/>
      <c r="VH93" s="491"/>
      <c r="VI93" s="491"/>
      <c r="VJ93" s="491"/>
      <c r="VK93" s="491"/>
      <c r="VL93" s="491"/>
      <c r="VM93" s="491"/>
      <c r="VN93" s="492"/>
      <c r="VO93" s="492"/>
      <c r="VP93" s="492"/>
      <c r="VQ93" s="492"/>
      <c r="VR93" s="493"/>
      <c r="VS93" s="493"/>
      <c r="VT93" s="192"/>
      <c r="VU93" s="489"/>
      <c r="VV93" s="489"/>
      <c r="VW93" s="490"/>
      <c r="VX93" s="490"/>
      <c r="VY93" s="491"/>
      <c r="VZ93" s="491"/>
      <c r="WA93" s="491"/>
      <c r="WB93" s="491"/>
      <c r="WC93" s="491"/>
      <c r="WD93" s="491"/>
      <c r="WE93" s="491"/>
      <c r="WF93" s="491"/>
      <c r="WG93" s="491"/>
      <c r="WH93" s="491"/>
      <c r="WI93" s="491"/>
      <c r="WJ93" s="491"/>
      <c r="WK93" s="491"/>
      <c r="WL93" s="491"/>
      <c r="WM93" s="491"/>
      <c r="WN93" s="491"/>
      <c r="WO93" s="491"/>
      <c r="WP93" s="491"/>
      <c r="WQ93" s="491"/>
      <c r="WR93" s="491"/>
      <c r="WS93" s="491"/>
      <c r="WT93" s="491"/>
      <c r="WU93" s="491"/>
      <c r="WV93" s="491"/>
      <c r="WW93" s="491"/>
      <c r="WX93" s="491"/>
      <c r="WY93" s="491"/>
      <c r="WZ93" s="491"/>
      <c r="XA93" s="491"/>
      <c r="XB93" s="491"/>
      <c r="XC93" s="491"/>
      <c r="XD93" s="491"/>
      <c r="XE93" s="491"/>
      <c r="XF93" s="491"/>
      <c r="XG93" s="492"/>
      <c r="XH93" s="492"/>
      <c r="XI93" s="492"/>
      <c r="XJ93" s="492"/>
      <c r="XK93" s="493"/>
      <c r="XL93" s="493"/>
      <c r="XM93" s="192"/>
      <c r="XN93" s="489"/>
      <c r="XO93" s="489"/>
      <c r="XP93" s="490"/>
      <c r="XQ93" s="490"/>
      <c r="XR93" s="491"/>
      <c r="XS93" s="491"/>
      <c r="XT93" s="491"/>
      <c r="XU93" s="491"/>
      <c r="XV93" s="491"/>
      <c r="XW93" s="491"/>
      <c r="XX93" s="491"/>
      <c r="XY93" s="491"/>
      <c r="XZ93" s="491"/>
      <c r="YA93" s="491"/>
      <c r="YB93" s="491"/>
      <c r="YC93" s="491"/>
      <c r="YD93" s="491"/>
      <c r="YE93" s="491"/>
      <c r="YF93" s="491"/>
      <c r="YG93" s="491"/>
      <c r="YH93" s="491"/>
      <c r="YI93" s="491"/>
      <c r="YJ93" s="491"/>
      <c r="YK93" s="491"/>
      <c r="YL93" s="491"/>
      <c r="YM93" s="491"/>
      <c r="YN93" s="491"/>
      <c r="YO93" s="491"/>
      <c r="YP93" s="491"/>
      <c r="YQ93" s="491"/>
      <c r="YR93" s="491"/>
      <c r="YS93" s="491"/>
      <c r="YT93" s="491"/>
      <c r="YU93" s="491"/>
      <c r="YV93" s="491"/>
      <c r="YW93" s="491"/>
      <c r="YX93" s="491"/>
      <c r="YY93" s="491"/>
      <c r="YZ93" s="492"/>
      <c r="ZA93" s="492"/>
      <c r="ZB93" s="492"/>
      <c r="ZC93" s="492"/>
      <c r="ZD93" s="493"/>
      <c r="ZE93" s="493"/>
      <c r="ZF93" s="192"/>
      <c r="ZG93" s="489"/>
      <c r="ZH93" s="489"/>
      <c r="ZI93" s="490"/>
      <c r="ZJ93" s="490"/>
      <c r="ZK93" s="491"/>
      <c r="ZL93" s="491"/>
      <c r="ZM93" s="491"/>
      <c r="ZN93" s="491"/>
      <c r="ZO93" s="491"/>
      <c r="ZP93" s="491"/>
      <c r="ZQ93" s="491"/>
      <c r="ZR93" s="491"/>
      <c r="ZS93" s="491"/>
      <c r="ZT93" s="491"/>
      <c r="ZU93" s="491"/>
      <c r="ZV93" s="491"/>
      <c r="ZW93" s="491"/>
      <c r="ZX93" s="491"/>
      <c r="ZY93" s="491"/>
      <c r="ZZ93" s="491"/>
      <c r="AAA93" s="491"/>
      <c r="AAB93" s="491"/>
      <c r="AAC93" s="491"/>
      <c r="AAD93" s="491"/>
      <c r="AAE93" s="491"/>
      <c r="AAF93" s="491"/>
      <c r="AAG93" s="491"/>
      <c r="AAH93" s="491"/>
      <c r="AAI93" s="491"/>
      <c r="AAJ93" s="491"/>
      <c r="AAK93" s="491"/>
      <c r="AAL93" s="491"/>
      <c r="AAM93" s="491"/>
      <c r="AAN93" s="491"/>
      <c r="AAO93" s="491"/>
      <c r="AAP93" s="491"/>
      <c r="AAQ93" s="491"/>
      <c r="AAR93" s="491"/>
      <c r="AAS93" s="492"/>
      <c r="AAT93" s="492"/>
      <c r="AAU93" s="492"/>
      <c r="AAV93" s="492"/>
      <c r="AAW93" s="493"/>
      <c r="AAX93" s="493"/>
      <c r="AAY93" s="192"/>
      <c r="AAZ93" s="489"/>
      <c r="ABA93" s="489"/>
      <c r="ABB93" s="490"/>
      <c r="ABC93" s="490"/>
      <c r="ABD93" s="491"/>
      <c r="ABE93" s="491"/>
      <c r="ABF93" s="491"/>
      <c r="ABG93" s="491"/>
      <c r="ABH93" s="491"/>
      <c r="ABI93" s="491"/>
      <c r="ABJ93" s="491"/>
      <c r="ABK93" s="491"/>
      <c r="ABL93" s="491"/>
      <c r="ABM93" s="491"/>
      <c r="ABN93" s="491"/>
      <c r="ABO93" s="491"/>
      <c r="ABP93" s="491"/>
      <c r="ABQ93" s="491"/>
      <c r="ABR93" s="491"/>
      <c r="ABS93" s="491"/>
      <c r="ABT93" s="491"/>
      <c r="ABU93" s="491"/>
      <c r="ABV93" s="491"/>
      <c r="ABW93" s="491"/>
      <c r="ABX93" s="491"/>
      <c r="ABY93" s="491"/>
      <c r="ABZ93" s="491"/>
      <c r="ACA93" s="491"/>
      <c r="ACB93" s="491"/>
      <c r="ACC93" s="491"/>
      <c r="ACD93" s="491"/>
      <c r="ACE93" s="491"/>
      <c r="ACF93" s="491"/>
      <c r="ACG93" s="491"/>
      <c r="ACH93" s="491"/>
      <c r="ACI93" s="491"/>
      <c r="ACJ93" s="491"/>
      <c r="ACK93" s="491"/>
      <c r="ACL93" s="492"/>
      <c r="ACM93" s="492"/>
      <c r="ACN93" s="492"/>
      <c r="ACO93" s="492"/>
      <c r="ACP93" s="493"/>
      <c r="ACQ93" s="493"/>
      <c r="ACR93" s="192"/>
      <c r="ACS93" s="489"/>
      <c r="ACT93" s="489"/>
      <c r="ACU93" s="490"/>
      <c r="ACV93" s="490"/>
      <c r="ACW93" s="491"/>
      <c r="ACX93" s="491"/>
      <c r="ACY93" s="491"/>
      <c r="ACZ93" s="491"/>
      <c r="ADA93" s="491"/>
      <c r="ADB93" s="491"/>
      <c r="ADC93" s="491"/>
      <c r="ADD93" s="491"/>
      <c r="ADE93" s="491"/>
      <c r="ADF93" s="491"/>
      <c r="ADG93" s="491"/>
      <c r="ADH93" s="491"/>
      <c r="ADI93" s="491"/>
      <c r="ADJ93" s="491"/>
      <c r="ADK93" s="491"/>
      <c r="ADL93" s="491"/>
      <c r="ADM93" s="491"/>
      <c r="ADN93" s="491"/>
      <c r="ADO93" s="491"/>
      <c r="ADP93" s="491"/>
      <c r="ADQ93" s="491"/>
      <c r="ADR93" s="491"/>
      <c r="ADS93" s="491"/>
      <c r="ADT93" s="491"/>
      <c r="ADU93" s="491"/>
      <c r="ADV93" s="491"/>
      <c r="ADW93" s="491"/>
      <c r="ADX93" s="491"/>
      <c r="ADY93" s="491"/>
      <c r="ADZ93" s="491"/>
      <c r="AEA93" s="491"/>
      <c r="AEB93" s="491"/>
      <c r="AEC93" s="491"/>
      <c r="AED93" s="491"/>
      <c r="AEE93" s="492"/>
      <c r="AEF93" s="492"/>
      <c r="AEG93" s="492"/>
      <c r="AEH93" s="492"/>
      <c r="AEI93" s="493"/>
      <c r="AEJ93" s="493"/>
      <c r="AEK93" s="192"/>
      <c r="AEL93" s="489"/>
      <c r="AEM93" s="489"/>
      <c r="AEN93" s="490"/>
      <c r="AEO93" s="490"/>
      <c r="AEP93" s="491"/>
      <c r="AEQ93" s="491"/>
      <c r="AER93" s="491"/>
      <c r="AES93" s="491"/>
      <c r="AET93" s="491"/>
      <c r="AEU93" s="491"/>
      <c r="AEV93" s="491"/>
      <c r="AEW93" s="491"/>
      <c r="AEX93" s="491"/>
      <c r="AEY93" s="491"/>
      <c r="AEZ93" s="491"/>
      <c r="AFA93" s="491"/>
      <c r="AFB93" s="491"/>
      <c r="AFC93" s="491"/>
      <c r="AFD93" s="491"/>
      <c r="AFE93" s="491"/>
      <c r="AFF93" s="491"/>
      <c r="AFG93" s="491"/>
      <c r="AFH93" s="491"/>
      <c r="AFI93" s="491"/>
      <c r="AFJ93" s="491"/>
      <c r="AFK93" s="491"/>
      <c r="AFL93" s="491"/>
      <c r="AFM93" s="491"/>
      <c r="AFN93" s="491"/>
      <c r="AFO93" s="491"/>
      <c r="AFP93" s="491"/>
      <c r="AFQ93" s="491"/>
      <c r="AFR93" s="491"/>
      <c r="AFS93" s="491"/>
      <c r="AFT93" s="491"/>
      <c r="AFU93" s="491"/>
      <c r="AFV93" s="491"/>
      <c r="AFW93" s="491"/>
      <c r="AFX93" s="492"/>
      <c r="AFY93" s="492"/>
      <c r="AFZ93" s="492"/>
      <c r="AGA93" s="492"/>
      <c r="AGB93" s="493"/>
      <c r="AGC93" s="493"/>
      <c r="AGD93" s="192"/>
      <c r="AGE93" s="489"/>
      <c r="AGF93" s="489"/>
      <c r="AGG93" s="490"/>
      <c r="AGH93" s="490"/>
      <c r="AGI93" s="491"/>
      <c r="AGJ93" s="491"/>
      <c r="AGK93" s="491"/>
      <c r="AGL93" s="491"/>
      <c r="AGM93" s="491"/>
      <c r="AGN93" s="491"/>
      <c r="AGO93" s="491"/>
      <c r="AGP93" s="491"/>
      <c r="AGQ93" s="491"/>
      <c r="AGR93" s="491"/>
      <c r="AGS93" s="491"/>
      <c r="AGT93" s="491"/>
      <c r="AGU93" s="491"/>
      <c r="AGV93" s="491"/>
      <c r="AGW93" s="491"/>
      <c r="AGX93" s="491"/>
      <c r="AGY93" s="491"/>
      <c r="AGZ93" s="491"/>
      <c r="AHA93" s="491"/>
      <c r="AHB93" s="491"/>
      <c r="AHC93" s="491"/>
      <c r="AHD93" s="491"/>
      <c r="AHE93" s="491"/>
      <c r="AHF93" s="491"/>
      <c r="AHG93" s="491"/>
      <c r="AHH93" s="491"/>
      <c r="AHI93" s="491"/>
      <c r="AHJ93" s="491"/>
      <c r="AHK93" s="491"/>
      <c r="AHL93" s="491"/>
      <c r="AHM93" s="491"/>
      <c r="AHN93" s="491"/>
      <c r="AHO93" s="491"/>
      <c r="AHP93" s="491"/>
      <c r="AHQ93" s="492"/>
      <c r="AHR93" s="492"/>
      <c r="AHS93" s="492"/>
      <c r="AHT93" s="492"/>
      <c r="AHU93" s="493"/>
      <c r="AHV93" s="493"/>
      <c r="AHW93" s="192"/>
      <c r="AHX93" s="489"/>
      <c r="AHY93" s="489"/>
      <c r="AHZ93" s="490"/>
      <c r="AIA93" s="490"/>
      <c r="AIB93" s="491"/>
      <c r="AIC93" s="491"/>
      <c r="AID93" s="491"/>
      <c r="AIE93" s="491"/>
      <c r="AIF93" s="491"/>
      <c r="AIG93" s="491"/>
      <c r="AIH93" s="491"/>
      <c r="AII93" s="491"/>
      <c r="AIJ93" s="491"/>
      <c r="AIK93" s="491"/>
      <c r="AIL93" s="491"/>
      <c r="AIM93" s="491"/>
      <c r="AIN93" s="491"/>
      <c r="AIO93" s="491"/>
      <c r="AIP93" s="491"/>
      <c r="AIQ93" s="491"/>
      <c r="AIR93" s="491"/>
      <c r="AIS93" s="491"/>
      <c r="AIT93" s="491"/>
      <c r="AIU93" s="491"/>
      <c r="AIV93" s="491"/>
      <c r="AIW93" s="491"/>
      <c r="AIX93" s="491"/>
      <c r="AIY93" s="491"/>
      <c r="AIZ93" s="491"/>
      <c r="AJA93" s="491"/>
      <c r="AJB93" s="491"/>
      <c r="AJC93" s="491"/>
      <c r="AJD93" s="491"/>
      <c r="AJE93" s="491"/>
      <c r="AJF93" s="491"/>
      <c r="AJG93" s="491"/>
      <c r="AJH93" s="491"/>
      <c r="AJI93" s="491"/>
      <c r="AJJ93" s="492"/>
      <c r="AJK93" s="492"/>
      <c r="AJL93" s="492"/>
      <c r="AJM93" s="492"/>
      <c r="AJN93" s="493"/>
      <c r="AJO93" s="493"/>
      <c r="AJP93" s="192"/>
      <c r="AJQ93" s="489"/>
      <c r="AJR93" s="489"/>
      <c r="AJS93" s="490"/>
      <c r="AJT93" s="490"/>
      <c r="AJU93" s="491"/>
      <c r="AJV93" s="491"/>
      <c r="AJW93" s="491"/>
      <c r="AJX93" s="491"/>
      <c r="AJY93" s="491"/>
      <c r="AJZ93" s="491"/>
      <c r="AKA93" s="491"/>
      <c r="AKB93" s="491"/>
      <c r="AKC93" s="491"/>
      <c r="AKD93" s="491"/>
      <c r="AKE93" s="491"/>
      <c r="AKF93" s="491"/>
      <c r="AKG93" s="491"/>
      <c r="AKH93" s="491"/>
      <c r="AKI93" s="491"/>
      <c r="AKJ93" s="491"/>
      <c r="AKK93" s="491"/>
      <c r="AKL93" s="491"/>
      <c r="AKM93" s="491"/>
      <c r="AKN93" s="491"/>
      <c r="AKO93" s="491"/>
      <c r="AKP93" s="491"/>
      <c r="AKQ93" s="491"/>
      <c r="AKR93" s="491"/>
      <c r="AKS93" s="491"/>
      <c r="AKT93" s="491"/>
      <c r="AKU93" s="491"/>
      <c r="AKV93" s="491"/>
      <c r="AKW93" s="491"/>
      <c r="AKX93" s="491"/>
      <c r="AKY93" s="491"/>
      <c r="AKZ93" s="491"/>
      <c r="ALA93" s="491"/>
      <c r="ALB93" s="491"/>
      <c r="ALC93" s="492"/>
      <c r="ALD93" s="492"/>
      <c r="ALE93" s="492"/>
      <c r="ALF93" s="492"/>
      <c r="ALG93" s="493"/>
      <c r="ALH93" s="493"/>
      <c r="ALI93" s="192"/>
      <c r="ALJ93" s="489"/>
      <c r="ALK93" s="489"/>
      <c r="ALL93" s="490"/>
      <c r="ALM93" s="490"/>
      <c r="ALN93" s="491"/>
      <c r="ALO93" s="491"/>
      <c r="ALP93" s="491"/>
      <c r="ALQ93" s="491"/>
      <c r="ALR93" s="491"/>
      <c r="ALS93" s="491"/>
      <c r="ALT93" s="491"/>
      <c r="ALU93" s="491"/>
      <c r="ALV93" s="491"/>
      <c r="ALW93" s="491"/>
      <c r="ALX93" s="491"/>
      <c r="ALY93" s="491"/>
      <c r="ALZ93" s="491"/>
      <c r="AMA93" s="491"/>
      <c r="AMB93" s="491"/>
      <c r="AMC93" s="491"/>
      <c r="AMD93" s="491"/>
      <c r="AME93" s="491"/>
      <c r="AMF93" s="491"/>
      <c r="AMG93" s="491"/>
      <c r="AMH93" s="491"/>
      <c r="AMI93" s="491"/>
      <c r="AMJ93" s="491"/>
      <c r="AMK93" s="491"/>
      <c r="AML93" s="491"/>
      <c r="AMM93" s="491"/>
      <c r="AMN93" s="491"/>
      <c r="AMO93" s="491"/>
      <c r="AMP93" s="491"/>
      <c r="AMQ93" s="491"/>
      <c r="AMR93" s="491"/>
      <c r="AMS93" s="491"/>
      <c r="AMT93" s="491"/>
      <c r="AMU93" s="491"/>
      <c r="AMV93" s="492"/>
      <c r="AMW93" s="492"/>
      <c r="AMX93" s="492"/>
      <c r="AMY93" s="492"/>
      <c r="AMZ93" s="493"/>
      <c r="ANA93" s="493"/>
      <c r="ANB93" s="192"/>
      <c r="ANC93" s="489"/>
      <c r="AND93" s="489"/>
      <c r="ANE93" s="490"/>
      <c r="ANF93" s="490"/>
      <c r="ANG93" s="491"/>
      <c r="ANH93" s="491"/>
      <c r="ANI93" s="491"/>
      <c r="ANJ93" s="491"/>
      <c r="ANK93" s="491"/>
      <c r="ANL93" s="491"/>
      <c r="ANM93" s="491"/>
      <c r="ANN93" s="491"/>
      <c r="ANO93" s="491"/>
      <c r="ANP93" s="491"/>
      <c r="ANQ93" s="491"/>
      <c r="ANR93" s="491"/>
      <c r="ANS93" s="491"/>
      <c r="ANT93" s="491"/>
      <c r="ANU93" s="491"/>
      <c r="ANV93" s="491"/>
      <c r="ANW93" s="491"/>
      <c r="ANX93" s="491"/>
      <c r="ANY93" s="491"/>
      <c r="ANZ93" s="491"/>
      <c r="AOA93" s="491"/>
      <c r="AOB93" s="491"/>
      <c r="AOC93" s="491"/>
      <c r="AOD93" s="491"/>
      <c r="AOE93" s="491"/>
      <c r="AOF93" s="491"/>
      <c r="AOG93" s="491"/>
      <c r="AOH93" s="491"/>
      <c r="AOI93" s="491"/>
      <c r="AOJ93" s="491"/>
      <c r="AOK93" s="491"/>
      <c r="AOL93" s="491"/>
      <c r="AOM93" s="491"/>
      <c r="AON93" s="491"/>
      <c r="AOO93" s="492"/>
      <c r="AOP93" s="492"/>
      <c r="AOQ93" s="492"/>
      <c r="AOR93" s="492"/>
      <c r="AOS93" s="493"/>
      <c r="AOT93" s="493"/>
      <c r="AOU93" s="192"/>
      <c r="AOV93" s="489"/>
      <c r="AOW93" s="489"/>
      <c r="AOX93" s="490"/>
      <c r="AOY93" s="490"/>
      <c r="AOZ93" s="491"/>
      <c r="APA93" s="491"/>
      <c r="APB93" s="491"/>
      <c r="APC93" s="491"/>
      <c r="APD93" s="491"/>
      <c r="APE93" s="491"/>
      <c r="APF93" s="491"/>
      <c r="APG93" s="491"/>
      <c r="APH93" s="491"/>
      <c r="API93" s="491"/>
      <c r="APJ93" s="491"/>
      <c r="APK93" s="491"/>
      <c r="APL93" s="491"/>
      <c r="APM93" s="491"/>
      <c r="APN93" s="491"/>
      <c r="APO93" s="491"/>
      <c r="APP93" s="491"/>
      <c r="APQ93" s="491"/>
      <c r="APR93" s="491"/>
      <c r="APS93" s="491"/>
      <c r="APT93" s="491"/>
      <c r="APU93" s="491"/>
      <c r="APV93" s="491"/>
      <c r="APW93" s="491"/>
      <c r="APX93" s="491"/>
      <c r="APY93" s="491"/>
      <c r="APZ93" s="491"/>
      <c r="AQA93" s="491"/>
      <c r="AQB93" s="491"/>
      <c r="AQC93" s="491"/>
      <c r="AQD93" s="491"/>
      <c r="AQE93" s="491"/>
      <c r="AQF93" s="491"/>
      <c r="AQG93" s="491"/>
      <c r="AQH93" s="492"/>
      <c r="AQI93" s="492"/>
      <c r="AQJ93" s="492"/>
      <c r="AQK93" s="492"/>
      <c r="AQL93" s="493"/>
      <c r="AQM93" s="493"/>
      <c r="AQN93" s="192"/>
      <c r="AQO93" s="489"/>
      <c r="AQP93" s="489"/>
      <c r="AQQ93" s="490"/>
      <c r="AQR93" s="490"/>
      <c r="AQS93" s="491"/>
      <c r="AQT93" s="491"/>
      <c r="AQU93" s="491"/>
      <c r="AQV93" s="491"/>
      <c r="AQW93" s="491"/>
      <c r="AQX93" s="491"/>
      <c r="AQY93" s="491"/>
      <c r="AQZ93" s="491"/>
      <c r="ARA93" s="491"/>
      <c r="ARB93" s="491"/>
      <c r="ARC93" s="491"/>
      <c r="ARD93" s="491"/>
      <c r="ARE93" s="491"/>
      <c r="ARF93" s="491"/>
      <c r="ARG93" s="491"/>
      <c r="ARH93" s="491"/>
      <c r="ARI93" s="491"/>
      <c r="ARJ93" s="491"/>
      <c r="ARK93" s="491"/>
      <c r="ARL93" s="491"/>
      <c r="ARM93" s="491"/>
      <c r="ARN93" s="491"/>
      <c r="ARO93" s="491"/>
      <c r="ARP93" s="491"/>
      <c r="ARQ93" s="491"/>
      <c r="ARR93" s="491"/>
      <c r="ARS93" s="491"/>
      <c r="ART93" s="491"/>
      <c r="ARU93" s="491"/>
      <c r="ARV93" s="491"/>
      <c r="ARW93" s="491"/>
      <c r="ARX93" s="491"/>
      <c r="ARY93" s="491"/>
      <c r="ARZ93" s="491"/>
      <c r="ASA93" s="492"/>
      <c r="ASB93" s="492"/>
      <c r="ASC93" s="492"/>
      <c r="ASD93" s="492"/>
      <c r="ASE93" s="493"/>
      <c r="ASF93" s="493"/>
      <c r="ASG93" s="192"/>
      <c r="ASH93" s="489"/>
      <c r="ASI93" s="489"/>
      <c r="ASJ93" s="490"/>
      <c r="ASK93" s="490"/>
      <c r="ASL93" s="491"/>
      <c r="ASM93" s="491"/>
      <c r="ASN93" s="491"/>
      <c r="ASO93" s="491"/>
      <c r="ASP93" s="491"/>
      <c r="ASQ93" s="491"/>
      <c r="ASR93" s="491"/>
      <c r="ASS93" s="491"/>
      <c r="AST93" s="491"/>
      <c r="ASU93" s="491"/>
      <c r="ASV93" s="491"/>
      <c r="ASW93" s="491"/>
      <c r="ASX93" s="491"/>
      <c r="ASY93" s="491"/>
      <c r="ASZ93" s="491"/>
      <c r="ATA93" s="491"/>
      <c r="ATB93" s="491"/>
      <c r="ATC93" s="491"/>
      <c r="ATD93" s="491"/>
      <c r="ATE93" s="491"/>
      <c r="ATF93" s="491"/>
      <c r="ATG93" s="491"/>
      <c r="ATH93" s="491"/>
      <c r="ATI93" s="491"/>
      <c r="ATJ93" s="491"/>
      <c r="ATK93" s="491"/>
      <c r="ATL93" s="491"/>
      <c r="ATM93" s="491"/>
      <c r="ATN93" s="491"/>
      <c r="ATO93" s="491"/>
      <c r="ATP93" s="491"/>
      <c r="ATQ93" s="491"/>
      <c r="ATR93" s="491"/>
      <c r="ATS93" s="491"/>
      <c r="ATT93" s="492"/>
      <c r="ATU93" s="492"/>
      <c r="ATV93" s="492"/>
      <c r="ATW93" s="492"/>
      <c r="ATX93" s="493"/>
      <c r="ATY93" s="493"/>
      <c r="ATZ93" s="192"/>
      <c r="AUA93" s="489"/>
      <c r="AUB93" s="489"/>
      <c r="AUC93" s="490"/>
      <c r="AUD93" s="490"/>
      <c r="AUE93" s="491"/>
      <c r="AUF93" s="491"/>
      <c r="AUG93" s="491"/>
      <c r="AUH93" s="491"/>
      <c r="AUI93" s="491"/>
      <c r="AUJ93" s="491"/>
      <c r="AUK93" s="491"/>
      <c r="AUL93" s="491"/>
      <c r="AUM93" s="491"/>
      <c r="AUN93" s="491"/>
      <c r="AUO93" s="491"/>
      <c r="AUP93" s="491"/>
      <c r="AUQ93" s="491"/>
      <c r="AUR93" s="491"/>
      <c r="AUS93" s="491"/>
      <c r="AUT93" s="491"/>
      <c r="AUU93" s="491"/>
      <c r="AUV93" s="491"/>
      <c r="AUW93" s="491"/>
      <c r="AUX93" s="491"/>
      <c r="AUY93" s="491"/>
      <c r="AUZ93" s="491"/>
      <c r="AVA93" s="491"/>
      <c r="AVB93" s="491"/>
      <c r="AVC93" s="491"/>
      <c r="AVD93" s="491"/>
      <c r="AVE93" s="491"/>
      <c r="AVF93" s="491"/>
      <c r="AVG93" s="491"/>
      <c r="AVH93" s="491"/>
      <c r="AVI93" s="491"/>
      <c r="AVJ93" s="491"/>
      <c r="AVK93" s="491"/>
      <c r="AVL93" s="491"/>
      <c r="AVM93" s="492"/>
      <c r="AVN93" s="492"/>
      <c r="AVO93" s="492"/>
      <c r="AVP93" s="492"/>
      <c r="AVQ93" s="493"/>
      <c r="AVR93" s="493"/>
      <c r="AVS93" s="192"/>
      <c r="AVT93" s="489"/>
      <c r="AVU93" s="489"/>
      <c r="AVV93" s="490"/>
      <c r="AVW93" s="490"/>
      <c r="AVX93" s="491"/>
      <c r="AVY93" s="491"/>
      <c r="AVZ93" s="491"/>
      <c r="AWA93" s="491"/>
      <c r="AWB93" s="491"/>
      <c r="AWC93" s="491"/>
      <c r="AWD93" s="491"/>
      <c r="AWE93" s="491"/>
      <c r="AWF93" s="491"/>
      <c r="AWG93" s="491"/>
      <c r="AWH93" s="491"/>
      <c r="AWI93" s="491"/>
      <c r="AWJ93" s="491"/>
      <c r="AWK93" s="491"/>
      <c r="AWL93" s="491"/>
      <c r="AWM93" s="491"/>
      <c r="AWN93" s="491"/>
      <c r="AWO93" s="491"/>
      <c r="AWP93" s="491"/>
      <c r="AWQ93" s="491"/>
      <c r="AWR93" s="491"/>
      <c r="AWS93" s="491"/>
      <c r="AWT93" s="491"/>
      <c r="AWU93" s="491"/>
      <c r="AWV93" s="491"/>
      <c r="AWW93" s="491"/>
      <c r="AWX93" s="491"/>
      <c r="AWY93" s="491"/>
      <c r="AWZ93" s="491"/>
      <c r="AXA93" s="491"/>
      <c r="AXB93" s="491"/>
      <c r="AXC93" s="491"/>
      <c r="AXD93" s="491"/>
      <c r="AXE93" s="491"/>
      <c r="AXF93" s="492"/>
      <c r="AXG93" s="492"/>
      <c r="AXH93" s="492"/>
      <c r="AXI93" s="492"/>
      <c r="AXJ93" s="493"/>
      <c r="AXK93" s="493"/>
      <c r="AXL93" s="192"/>
      <c r="AXM93" s="489"/>
      <c r="AXN93" s="489"/>
      <c r="AXO93" s="490"/>
      <c r="AXP93" s="490"/>
      <c r="AXQ93" s="491"/>
      <c r="AXR93" s="491"/>
      <c r="AXS93" s="491"/>
      <c r="AXT93" s="491"/>
      <c r="AXU93" s="491"/>
      <c r="AXV93" s="491"/>
      <c r="AXW93" s="491"/>
      <c r="AXX93" s="491"/>
      <c r="AXY93" s="491"/>
      <c r="AXZ93" s="491"/>
      <c r="AYA93" s="491"/>
      <c r="AYB93" s="491"/>
      <c r="AYC93" s="491"/>
      <c r="AYD93" s="491"/>
      <c r="AYE93" s="491"/>
      <c r="AYF93" s="491"/>
      <c r="AYG93" s="491"/>
      <c r="AYH93" s="491"/>
      <c r="AYI93" s="491"/>
      <c r="AYJ93" s="491"/>
      <c r="AYK93" s="491"/>
      <c r="AYL93" s="491"/>
      <c r="AYM93" s="491"/>
      <c r="AYN93" s="491"/>
      <c r="AYO93" s="491"/>
      <c r="AYP93" s="491"/>
      <c r="AYQ93" s="491"/>
      <c r="AYR93" s="491"/>
      <c r="AYS93" s="491"/>
      <c r="AYT93" s="491"/>
      <c r="AYU93" s="491"/>
      <c r="AYV93" s="491"/>
      <c r="AYW93" s="491"/>
      <c r="AYX93" s="491"/>
      <c r="AYY93" s="492"/>
      <c r="AYZ93" s="492"/>
      <c r="AZA93" s="492"/>
      <c r="AZB93" s="492"/>
      <c r="AZC93" s="493"/>
      <c r="AZD93" s="493"/>
      <c r="AZE93" s="192"/>
      <c r="AZF93" s="489"/>
      <c r="AZG93" s="489"/>
      <c r="AZH93" s="490"/>
      <c r="AZI93" s="490"/>
      <c r="AZJ93" s="491"/>
      <c r="AZK93" s="491"/>
      <c r="AZL93" s="491"/>
      <c r="AZM93" s="491"/>
      <c r="AZN93" s="491"/>
      <c r="AZO93" s="491"/>
      <c r="AZP93" s="491"/>
      <c r="AZQ93" s="491"/>
      <c r="AZR93" s="491"/>
      <c r="AZS93" s="491"/>
      <c r="AZT93" s="491"/>
      <c r="AZU93" s="491"/>
      <c r="AZV93" s="491"/>
      <c r="AZW93" s="491"/>
      <c r="AZX93" s="491"/>
      <c r="AZY93" s="491"/>
      <c r="AZZ93" s="491"/>
      <c r="BAA93" s="491"/>
      <c r="BAB93" s="491"/>
      <c r="BAC93" s="491"/>
      <c r="BAD93" s="491"/>
      <c r="BAE93" s="491"/>
      <c r="BAF93" s="491"/>
      <c r="BAG93" s="491"/>
      <c r="BAH93" s="491"/>
      <c r="BAI93" s="491"/>
      <c r="BAJ93" s="491"/>
      <c r="BAK93" s="491"/>
      <c r="BAL93" s="491"/>
      <c r="BAM93" s="491"/>
      <c r="BAN93" s="491"/>
      <c r="BAO93" s="491"/>
      <c r="BAP93" s="491"/>
      <c r="BAQ93" s="491"/>
      <c r="BAR93" s="492"/>
      <c r="BAS93" s="492"/>
      <c r="BAT93" s="492"/>
      <c r="BAU93" s="492"/>
      <c r="BAV93" s="493"/>
      <c r="BAW93" s="493"/>
      <c r="BAX93" s="192"/>
      <c r="BAY93" s="489"/>
      <c r="BAZ93" s="489"/>
      <c r="BBA93" s="490"/>
      <c r="BBB93" s="490"/>
      <c r="BBC93" s="491"/>
      <c r="BBD93" s="491"/>
      <c r="BBE93" s="491"/>
      <c r="BBF93" s="491"/>
      <c r="BBG93" s="491"/>
      <c r="BBH93" s="491"/>
      <c r="BBI93" s="491"/>
      <c r="BBJ93" s="491"/>
      <c r="BBK93" s="491"/>
      <c r="BBL93" s="491"/>
      <c r="BBM93" s="491"/>
      <c r="BBN93" s="491"/>
      <c r="BBO93" s="491"/>
      <c r="BBP93" s="491"/>
      <c r="BBQ93" s="491"/>
      <c r="BBR93" s="491"/>
      <c r="BBS93" s="491"/>
      <c r="BBT93" s="491"/>
      <c r="BBU93" s="491"/>
      <c r="BBV93" s="491"/>
      <c r="BBW93" s="491"/>
      <c r="BBX93" s="491"/>
      <c r="BBY93" s="491"/>
      <c r="BBZ93" s="491"/>
      <c r="BCA93" s="491"/>
      <c r="BCB93" s="491"/>
      <c r="BCC93" s="491"/>
      <c r="BCD93" s="491"/>
      <c r="BCE93" s="491"/>
      <c r="BCF93" s="491"/>
      <c r="BCG93" s="491"/>
      <c r="BCH93" s="491"/>
      <c r="BCI93" s="491"/>
      <c r="BCJ93" s="491"/>
      <c r="BCK93" s="492"/>
      <c r="BCL93" s="492"/>
      <c r="BCM93" s="492"/>
      <c r="BCN93" s="492"/>
      <c r="BCO93" s="493"/>
      <c r="BCP93" s="493"/>
      <c r="BCQ93" s="192"/>
      <c r="BCR93" s="489"/>
      <c r="BCS93" s="489"/>
      <c r="BCT93" s="490"/>
      <c r="BCU93" s="490"/>
      <c r="BCV93" s="491"/>
      <c r="BCW93" s="491"/>
      <c r="BCX93" s="491"/>
      <c r="BCY93" s="491"/>
      <c r="BCZ93" s="491"/>
      <c r="BDA93" s="491"/>
      <c r="BDB93" s="491"/>
      <c r="BDC93" s="491"/>
      <c r="BDD93" s="491"/>
      <c r="BDE93" s="491"/>
      <c r="BDF93" s="491"/>
      <c r="BDG93" s="491"/>
      <c r="BDH93" s="491"/>
      <c r="BDI93" s="491"/>
      <c r="BDJ93" s="491"/>
      <c r="BDK93" s="491"/>
      <c r="BDL93" s="491"/>
      <c r="BDM93" s="491"/>
      <c r="BDN93" s="491"/>
      <c r="BDO93" s="491"/>
      <c r="BDP93" s="491"/>
      <c r="BDQ93" s="491"/>
      <c r="BDR93" s="491"/>
      <c r="BDS93" s="491"/>
      <c r="BDT93" s="491"/>
      <c r="BDU93" s="491"/>
      <c r="BDV93" s="491"/>
      <c r="BDW93" s="491"/>
      <c r="BDX93" s="491"/>
      <c r="BDY93" s="491"/>
      <c r="BDZ93" s="491"/>
      <c r="BEA93" s="491"/>
      <c r="BEB93" s="491"/>
      <c r="BEC93" s="491"/>
      <c r="BED93" s="492"/>
      <c r="BEE93" s="492"/>
      <c r="BEF93" s="492"/>
      <c r="BEG93" s="492"/>
      <c r="BEH93" s="493"/>
      <c r="BEI93" s="493"/>
      <c r="BEJ93" s="192"/>
      <c r="BEK93" s="489"/>
      <c r="BEL93" s="489"/>
      <c r="BEM93" s="490"/>
      <c r="BEN93" s="490"/>
      <c r="BEO93" s="491"/>
      <c r="BEP93" s="491"/>
      <c r="BEQ93" s="491"/>
      <c r="BER93" s="491"/>
      <c r="BES93" s="491"/>
      <c r="BET93" s="491"/>
      <c r="BEU93" s="491"/>
      <c r="BEV93" s="491"/>
      <c r="BEW93" s="491"/>
      <c r="BEX93" s="491"/>
      <c r="BEY93" s="491"/>
      <c r="BEZ93" s="491"/>
      <c r="BFA93" s="491"/>
      <c r="BFB93" s="491"/>
      <c r="BFC93" s="491"/>
      <c r="BFD93" s="491"/>
      <c r="BFE93" s="491"/>
      <c r="BFF93" s="491"/>
      <c r="BFG93" s="491"/>
      <c r="BFH93" s="491"/>
      <c r="BFI93" s="491"/>
      <c r="BFJ93" s="491"/>
      <c r="BFK93" s="491"/>
      <c r="BFL93" s="491"/>
      <c r="BFM93" s="491"/>
      <c r="BFN93" s="491"/>
      <c r="BFO93" s="491"/>
      <c r="BFP93" s="491"/>
      <c r="BFQ93" s="491"/>
      <c r="BFR93" s="491"/>
      <c r="BFS93" s="491"/>
      <c r="BFT93" s="491"/>
      <c r="BFU93" s="491"/>
      <c r="BFV93" s="491"/>
      <c r="BFW93" s="492"/>
      <c r="BFX93" s="492"/>
      <c r="BFY93" s="492"/>
      <c r="BFZ93" s="492"/>
      <c r="BGA93" s="493"/>
      <c r="BGB93" s="493"/>
      <c r="BGC93" s="192"/>
      <c r="BGD93" s="489"/>
      <c r="BGE93" s="489"/>
      <c r="BGF93" s="490"/>
      <c r="BGG93" s="490"/>
      <c r="BGH93" s="491"/>
      <c r="BGI93" s="491"/>
      <c r="BGJ93" s="491"/>
      <c r="BGK93" s="491"/>
      <c r="BGL93" s="491"/>
      <c r="BGM93" s="491"/>
      <c r="BGN93" s="491"/>
      <c r="BGO93" s="491"/>
      <c r="BGP93" s="491"/>
      <c r="BGQ93" s="491"/>
      <c r="BGR93" s="491"/>
      <c r="BGS93" s="491"/>
      <c r="BGT93" s="491"/>
      <c r="BGU93" s="491"/>
      <c r="BGV93" s="491"/>
      <c r="BGW93" s="491"/>
      <c r="BGX93" s="491"/>
      <c r="BGY93" s="491"/>
      <c r="BGZ93" s="491"/>
      <c r="BHA93" s="491"/>
      <c r="BHB93" s="491"/>
      <c r="BHC93" s="491"/>
      <c r="BHD93" s="491"/>
      <c r="BHE93" s="491"/>
      <c r="BHF93" s="491"/>
      <c r="BHG93" s="491"/>
      <c r="BHH93" s="491"/>
      <c r="BHI93" s="491"/>
      <c r="BHJ93" s="491"/>
      <c r="BHK93" s="491"/>
      <c r="BHL93" s="491"/>
      <c r="BHM93" s="491"/>
      <c r="BHN93" s="491"/>
      <c r="BHO93" s="491"/>
      <c r="BHP93" s="492"/>
      <c r="BHQ93" s="492"/>
      <c r="BHR93" s="492"/>
      <c r="BHS93" s="492"/>
      <c r="BHT93" s="493"/>
      <c r="BHU93" s="493"/>
      <c r="BHV93" s="192"/>
      <c r="BHW93" s="489"/>
      <c r="BHX93" s="489"/>
      <c r="BHY93" s="490"/>
      <c r="BHZ93" s="490"/>
      <c r="BIA93" s="491"/>
      <c r="BIB93" s="491"/>
      <c r="BIC93" s="491"/>
      <c r="BID93" s="491"/>
      <c r="BIE93" s="491"/>
      <c r="BIF93" s="491"/>
      <c r="BIG93" s="491"/>
      <c r="BIH93" s="491"/>
      <c r="BII93" s="491"/>
      <c r="BIJ93" s="491"/>
      <c r="BIK93" s="491"/>
      <c r="BIL93" s="491"/>
      <c r="BIM93" s="491"/>
      <c r="BIN93" s="491"/>
      <c r="BIO93" s="491"/>
      <c r="BIP93" s="491"/>
      <c r="BIQ93" s="491"/>
      <c r="BIR93" s="491"/>
      <c r="BIS93" s="491"/>
      <c r="BIT93" s="491"/>
      <c r="BIU93" s="491"/>
      <c r="BIV93" s="491"/>
      <c r="BIW93" s="491"/>
      <c r="BIX93" s="491"/>
      <c r="BIY93" s="491"/>
      <c r="BIZ93" s="491"/>
      <c r="BJA93" s="491"/>
      <c r="BJB93" s="491"/>
      <c r="BJC93" s="491"/>
      <c r="BJD93" s="491"/>
      <c r="BJE93" s="491"/>
      <c r="BJF93" s="491"/>
      <c r="BJG93" s="491"/>
      <c r="BJH93" s="491"/>
      <c r="BJI93" s="492"/>
      <c r="BJJ93" s="492"/>
      <c r="BJK93" s="492"/>
      <c r="BJL93" s="492"/>
      <c r="BJM93" s="493"/>
      <c r="BJN93" s="493"/>
      <c r="BJO93" s="192"/>
      <c r="BJP93" s="489"/>
      <c r="BJQ93" s="489"/>
      <c r="BJR93" s="490"/>
      <c r="BJS93" s="490"/>
      <c r="BJT93" s="491"/>
      <c r="BJU93" s="491"/>
      <c r="BJV93" s="491"/>
      <c r="BJW93" s="491"/>
      <c r="BJX93" s="491"/>
      <c r="BJY93" s="491"/>
      <c r="BJZ93" s="491"/>
      <c r="BKA93" s="491"/>
      <c r="BKB93" s="491"/>
      <c r="BKC93" s="491"/>
      <c r="BKD93" s="491"/>
      <c r="BKE93" s="491"/>
      <c r="BKF93" s="491"/>
      <c r="BKG93" s="491"/>
      <c r="BKH93" s="491"/>
      <c r="BKI93" s="491"/>
      <c r="BKJ93" s="491"/>
      <c r="BKK93" s="491"/>
      <c r="BKL93" s="491"/>
      <c r="BKM93" s="491"/>
      <c r="BKN93" s="491"/>
      <c r="BKO93" s="491"/>
      <c r="BKP93" s="491"/>
      <c r="BKQ93" s="491"/>
      <c r="BKR93" s="491"/>
      <c r="BKS93" s="491"/>
      <c r="BKT93" s="491"/>
      <c r="BKU93" s="491"/>
      <c r="BKV93" s="491"/>
      <c r="BKW93" s="491"/>
      <c r="BKX93" s="491"/>
      <c r="BKY93" s="491"/>
      <c r="BKZ93" s="491"/>
      <c r="BLA93" s="491"/>
      <c r="BLB93" s="492"/>
      <c r="BLC93" s="492"/>
      <c r="BLD93" s="492"/>
      <c r="BLE93" s="492"/>
      <c r="BLF93" s="493"/>
      <c r="BLG93" s="493"/>
      <c r="BLH93" s="192"/>
      <c r="BLI93" s="489"/>
      <c r="BLJ93" s="489"/>
      <c r="BLK93" s="490"/>
      <c r="BLL93" s="490"/>
      <c r="BLM93" s="491"/>
      <c r="BLN93" s="491"/>
      <c r="BLO93" s="491"/>
      <c r="BLP93" s="491"/>
      <c r="BLQ93" s="491"/>
      <c r="BLR93" s="491"/>
      <c r="BLS93" s="491"/>
      <c r="BLT93" s="491"/>
      <c r="BLU93" s="491"/>
      <c r="BLV93" s="491"/>
      <c r="BLW93" s="491"/>
      <c r="BLX93" s="491"/>
      <c r="BLY93" s="491"/>
      <c r="BLZ93" s="491"/>
      <c r="BMA93" s="491"/>
      <c r="BMB93" s="491"/>
      <c r="BMC93" s="491"/>
      <c r="BMD93" s="491"/>
      <c r="BME93" s="491"/>
      <c r="BMF93" s="491"/>
      <c r="BMG93" s="491"/>
      <c r="BMH93" s="491"/>
      <c r="BMI93" s="491"/>
      <c r="BMJ93" s="491"/>
      <c r="BMK93" s="491"/>
      <c r="BML93" s="491"/>
      <c r="BMM93" s="491"/>
      <c r="BMN93" s="491"/>
      <c r="BMO93" s="491"/>
      <c r="BMP93" s="491"/>
      <c r="BMQ93" s="491"/>
      <c r="BMR93" s="491"/>
      <c r="BMS93" s="491"/>
      <c r="BMT93" s="491"/>
      <c r="BMU93" s="492"/>
      <c r="BMV93" s="492"/>
      <c r="BMW93" s="492"/>
      <c r="BMX93" s="492"/>
      <c r="BMY93" s="493"/>
      <c r="BMZ93" s="493"/>
      <c r="BNA93" s="192"/>
      <c r="BNB93" s="489"/>
      <c r="BNC93" s="489"/>
      <c r="BND93" s="490"/>
      <c r="BNE93" s="490"/>
      <c r="BNF93" s="491"/>
      <c r="BNG93" s="491"/>
      <c r="BNH93" s="491"/>
      <c r="BNI93" s="491"/>
      <c r="BNJ93" s="491"/>
      <c r="BNK93" s="491"/>
      <c r="BNL93" s="491"/>
      <c r="BNM93" s="491"/>
      <c r="BNN93" s="491"/>
      <c r="BNO93" s="491"/>
      <c r="BNP93" s="491"/>
      <c r="BNQ93" s="491"/>
      <c r="BNR93" s="491"/>
      <c r="BNS93" s="491"/>
      <c r="BNT93" s="491"/>
      <c r="BNU93" s="491"/>
      <c r="BNV93" s="491"/>
      <c r="BNW93" s="491"/>
      <c r="BNX93" s="491"/>
      <c r="BNY93" s="491"/>
      <c r="BNZ93" s="491"/>
      <c r="BOA93" s="491"/>
      <c r="BOB93" s="491"/>
      <c r="BOC93" s="491"/>
      <c r="BOD93" s="491"/>
      <c r="BOE93" s="491"/>
      <c r="BOF93" s="491"/>
      <c r="BOG93" s="491"/>
      <c r="BOH93" s="491"/>
      <c r="BOI93" s="491"/>
      <c r="BOJ93" s="491"/>
      <c r="BOK93" s="491"/>
      <c r="BOL93" s="491"/>
      <c r="BOM93" s="491"/>
      <c r="BON93" s="492"/>
      <c r="BOO93" s="492"/>
      <c r="BOP93" s="492"/>
      <c r="BOQ93" s="492"/>
      <c r="BOR93" s="493"/>
      <c r="BOS93" s="493"/>
      <c r="BOT93" s="192"/>
      <c r="BOU93" s="489"/>
      <c r="BOV93" s="489"/>
      <c r="BOW93" s="490"/>
      <c r="BOX93" s="490"/>
      <c r="BOY93" s="491"/>
      <c r="BOZ93" s="491"/>
      <c r="BPA93" s="491"/>
      <c r="BPB93" s="491"/>
      <c r="BPC93" s="491"/>
      <c r="BPD93" s="491"/>
      <c r="BPE93" s="491"/>
      <c r="BPF93" s="491"/>
      <c r="BPG93" s="491"/>
      <c r="BPH93" s="491"/>
      <c r="BPI93" s="491"/>
      <c r="BPJ93" s="491"/>
      <c r="BPK93" s="491"/>
      <c r="BPL93" s="491"/>
      <c r="BPM93" s="491"/>
      <c r="BPN93" s="491"/>
      <c r="BPO93" s="491"/>
      <c r="BPP93" s="491"/>
      <c r="BPQ93" s="491"/>
      <c r="BPR93" s="491"/>
      <c r="BPS93" s="491"/>
      <c r="BPT93" s="491"/>
      <c r="BPU93" s="491"/>
      <c r="BPV93" s="491"/>
      <c r="BPW93" s="491"/>
      <c r="BPX93" s="491"/>
      <c r="BPY93" s="491"/>
      <c r="BPZ93" s="491"/>
      <c r="BQA93" s="491"/>
      <c r="BQB93" s="491"/>
      <c r="BQC93" s="491"/>
      <c r="BQD93" s="491"/>
      <c r="BQE93" s="491"/>
      <c r="BQF93" s="491"/>
      <c r="BQG93" s="492"/>
      <c r="BQH93" s="492"/>
      <c r="BQI93" s="492"/>
      <c r="BQJ93" s="492"/>
      <c r="BQK93" s="493"/>
      <c r="BQL93" s="493"/>
      <c r="BQM93" s="192"/>
      <c r="BQN93" s="489"/>
      <c r="BQO93" s="489"/>
      <c r="BQP93" s="490"/>
      <c r="BQQ93" s="490"/>
      <c r="BQR93" s="491"/>
      <c r="BQS93" s="491"/>
      <c r="BQT93" s="491"/>
      <c r="BQU93" s="491"/>
      <c r="BQV93" s="491"/>
      <c r="BQW93" s="491"/>
      <c r="BQX93" s="491"/>
      <c r="BQY93" s="491"/>
      <c r="BQZ93" s="491"/>
      <c r="BRA93" s="491"/>
      <c r="BRB93" s="491"/>
      <c r="BRC93" s="491"/>
      <c r="BRD93" s="491"/>
      <c r="BRE93" s="491"/>
      <c r="BRF93" s="491"/>
      <c r="BRG93" s="491"/>
      <c r="BRH93" s="491"/>
      <c r="BRI93" s="491"/>
      <c r="BRJ93" s="491"/>
      <c r="BRK93" s="491"/>
      <c r="BRL93" s="491"/>
      <c r="BRM93" s="491"/>
      <c r="BRN93" s="491"/>
      <c r="BRO93" s="491"/>
      <c r="BRP93" s="491"/>
      <c r="BRQ93" s="491"/>
      <c r="BRR93" s="491"/>
      <c r="BRS93" s="491"/>
      <c r="BRT93" s="491"/>
      <c r="BRU93" s="491"/>
      <c r="BRV93" s="491"/>
      <c r="BRW93" s="491"/>
      <c r="BRX93" s="491"/>
      <c r="BRY93" s="491"/>
      <c r="BRZ93" s="492"/>
      <c r="BSA93" s="492"/>
      <c r="BSB93" s="492"/>
      <c r="BSC93" s="492"/>
      <c r="BSD93" s="493"/>
      <c r="BSE93" s="493"/>
      <c r="BSF93" s="192"/>
      <c r="BSG93" s="489"/>
      <c r="BSH93" s="489"/>
      <c r="BSI93" s="490"/>
      <c r="BSJ93" s="490"/>
      <c r="BSK93" s="491"/>
      <c r="BSL93" s="491"/>
      <c r="BSM93" s="491"/>
      <c r="BSN93" s="491"/>
      <c r="BSO93" s="491"/>
      <c r="BSP93" s="491"/>
      <c r="BSQ93" s="491"/>
      <c r="BSR93" s="491"/>
      <c r="BSS93" s="491"/>
      <c r="BST93" s="491"/>
      <c r="BSU93" s="491"/>
      <c r="BSV93" s="491"/>
      <c r="BSW93" s="491"/>
      <c r="BSX93" s="491"/>
      <c r="BSY93" s="491"/>
      <c r="BSZ93" s="491"/>
      <c r="BTA93" s="491"/>
      <c r="BTB93" s="491"/>
      <c r="BTC93" s="491"/>
      <c r="BTD93" s="491"/>
      <c r="BTE93" s="491"/>
      <c r="BTF93" s="491"/>
      <c r="BTG93" s="491"/>
      <c r="BTH93" s="491"/>
      <c r="BTI93" s="491"/>
      <c r="BTJ93" s="491"/>
      <c r="BTK93" s="491"/>
      <c r="BTL93" s="491"/>
      <c r="BTM93" s="491"/>
      <c r="BTN93" s="491"/>
      <c r="BTO93" s="491"/>
      <c r="BTP93" s="491"/>
      <c r="BTQ93" s="491"/>
      <c r="BTR93" s="491"/>
      <c r="BTS93" s="492"/>
      <c r="BTT93" s="492"/>
      <c r="BTU93" s="492"/>
      <c r="BTV93" s="492"/>
      <c r="BTW93" s="493"/>
      <c r="BTX93" s="493"/>
      <c r="BTY93" s="192"/>
      <c r="BTZ93" s="489"/>
      <c r="BUA93" s="489"/>
      <c r="BUB93" s="490"/>
      <c r="BUC93" s="490"/>
      <c r="BUD93" s="491"/>
      <c r="BUE93" s="491"/>
      <c r="BUF93" s="491"/>
      <c r="BUG93" s="491"/>
      <c r="BUH93" s="491"/>
      <c r="BUI93" s="491"/>
      <c r="BUJ93" s="491"/>
      <c r="BUK93" s="491"/>
      <c r="BUL93" s="491"/>
      <c r="BUM93" s="491"/>
      <c r="BUN93" s="491"/>
      <c r="BUO93" s="491"/>
      <c r="BUP93" s="491"/>
      <c r="BUQ93" s="491"/>
      <c r="BUR93" s="491"/>
      <c r="BUS93" s="491"/>
      <c r="BUT93" s="491"/>
      <c r="BUU93" s="491"/>
      <c r="BUV93" s="491"/>
      <c r="BUW93" s="491"/>
      <c r="BUX93" s="491"/>
      <c r="BUY93" s="491"/>
      <c r="BUZ93" s="491"/>
      <c r="BVA93" s="491"/>
      <c r="BVB93" s="491"/>
      <c r="BVC93" s="491"/>
      <c r="BVD93" s="491"/>
      <c r="BVE93" s="491"/>
      <c r="BVF93" s="491"/>
      <c r="BVG93" s="491"/>
      <c r="BVH93" s="491"/>
      <c r="BVI93" s="491"/>
      <c r="BVJ93" s="491"/>
      <c r="BVK93" s="491"/>
      <c r="BVL93" s="492"/>
      <c r="BVM93" s="492"/>
      <c r="BVN93" s="492"/>
      <c r="BVO93" s="492"/>
      <c r="BVP93" s="493"/>
      <c r="BVQ93" s="493"/>
      <c r="BVR93" s="192"/>
      <c r="BVS93" s="489"/>
      <c r="BVT93" s="489"/>
      <c r="BVU93" s="490"/>
      <c r="BVV93" s="490"/>
      <c r="BVW93" s="491"/>
      <c r="BVX93" s="491"/>
      <c r="BVY93" s="491"/>
      <c r="BVZ93" s="491"/>
      <c r="BWA93" s="491"/>
      <c r="BWB93" s="491"/>
      <c r="BWC93" s="491"/>
      <c r="BWD93" s="491"/>
      <c r="BWE93" s="491"/>
      <c r="BWF93" s="491"/>
      <c r="BWG93" s="491"/>
      <c r="BWH93" s="491"/>
      <c r="BWI93" s="491"/>
      <c r="BWJ93" s="491"/>
      <c r="BWK93" s="491"/>
      <c r="BWL93" s="491"/>
      <c r="BWM93" s="491"/>
      <c r="BWN93" s="491"/>
      <c r="BWO93" s="491"/>
      <c r="BWP93" s="491"/>
      <c r="BWQ93" s="491"/>
      <c r="BWR93" s="491"/>
      <c r="BWS93" s="491"/>
      <c r="BWT93" s="491"/>
      <c r="BWU93" s="491"/>
      <c r="BWV93" s="491"/>
      <c r="BWW93" s="491"/>
      <c r="BWX93" s="491"/>
      <c r="BWY93" s="491"/>
      <c r="BWZ93" s="491"/>
      <c r="BXA93" s="491"/>
      <c r="BXB93" s="491"/>
      <c r="BXC93" s="491"/>
      <c r="BXD93" s="491"/>
      <c r="BXE93" s="492"/>
      <c r="BXF93" s="492"/>
      <c r="BXG93" s="492"/>
      <c r="BXH93" s="492"/>
      <c r="BXI93" s="493"/>
      <c r="BXJ93" s="493"/>
      <c r="BXK93" s="192"/>
      <c r="BXL93" s="489"/>
      <c r="BXM93" s="489"/>
      <c r="BXN93" s="490"/>
      <c r="BXO93" s="490"/>
      <c r="BXP93" s="491"/>
      <c r="BXQ93" s="491"/>
      <c r="BXR93" s="491"/>
      <c r="BXS93" s="491"/>
      <c r="BXT93" s="491"/>
      <c r="BXU93" s="491"/>
      <c r="BXV93" s="491"/>
      <c r="BXW93" s="491"/>
      <c r="BXX93" s="491"/>
      <c r="BXY93" s="491"/>
      <c r="BXZ93" s="491"/>
      <c r="BYA93" s="491"/>
      <c r="BYB93" s="491"/>
      <c r="BYC93" s="491"/>
      <c r="BYD93" s="491"/>
      <c r="BYE93" s="491"/>
      <c r="BYF93" s="491"/>
      <c r="BYG93" s="491"/>
      <c r="BYH93" s="491"/>
      <c r="BYI93" s="491"/>
      <c r="BYJ93" s="491"/>
      <c r="BYK93" s="491"/>
      <c r="BYL93" s="491"/>
      <c r="BYM93" s="491"/>
      <c r="BYN93" s="491"/>
      <c r="BYO93" s="491"/>
      <c r="BYP93" s="491"/>
      <c r="BYQ93" s="491"/>
      <c r="BYR93" s="491"/>
      <c r="BYS93" s="491"/>
      <c r="BYT93" s="491"/>
      <c r="BYU93" s="491"/>
      <c r="BYV93" s="491"/>
      <c r="BYW93" s="491"/>
      <c r="BYX93" s="492"/>
      <c r="BYY93" s="492"/>
      <c r="BYZ93" s="492"/>
      <c r="BZA93" s="492"/>
      <c r="BZB93" s="493"/>
      <c r="BZC93" s="493"/>
      <c r="BZD93" s="192"/>
      <c r="BZE93" s="489"/>
      <c r="BZF93" s="489"/>
      <c r="BZG93" s="490"/>
      <c r="BZH93" s="490"/>
      <c r="BZI93" s="491"/>
      <c r="BZJ93" s="491"/>
      <c r="BZK93" s="491"/>
      <c r="BZL93" s="491"/>
      <c r="BZM93" s="491"/>
      <c r="BZN93" s="491"/>
      <c r="BZO93" s="491"/>
      <c r="BZP93" s="491"/>
      <c r="BZQ93" s="491"/>
      <c r="BZR93" s="491"/>
      <c r="BZS93" s="491"/>
      <c r="BZT93" s="491"/>
      <c r="BZU93" s="491"/>
      <c r="BZV93" s="491"/>
      <c r="BZW93" s="491"/>
      <c r="BZX93" s="491"/>
      <c r="BZY93" s="491"/>
      <c r="BZZ93" s="491"/>
      <c r="CAA93" s="491"/>
      <c r="CAB93" s="491"/>
      <c r="CAC93" s="491"/>
      <c r="CAD93" s="491"/>
      <c r="CAE93" s="491"/>
      <c r="CAF93" s="491"/>
      <c r="CAG93" s="491"/>
      <c r="CAH93" s="491"/>
      <c r="CAI93" s="491"/>
      <c r="CAJ93" s="491"/>
      <c r="CAK93" s="491"/>
      <c r="CAL93" s="491"/>
      <c r="CAM93" s="491"/>
      <c r="CAN93" s="491"/>
      <c r="CAO93" s="491"/>
      <c r="CAP93" s="491"/>
      <c r="CAQ93" s="492"/>
      <c r="CAR93" s="492"/>
      <c r="CAS93" s="492"/>
      <c r="CAT93" s="492"/>
      <c r="CAU93" s="493"/>
      <c r="CAV93" s="493"/>
      <c r="CAW93" s="192"/>
      <c r="CAX93" s="489"/>
      <c r="CAY93" s="489"/>
      <c r="CAZ93" s="490"/>
      <c r="CBA93" s="490"/>
      <c r="CBB93" s="491"/>
      <c r="CBC93" s="491"/>
      <c r="CBD93" s="491"/>
      <c r="CBE93" s="491"/>
      <c r="CBF93" s="491"/>
      <c r="CBG93" s="491"/>
      <c r="CBH93" s="491"/>
      <c r="CBI93" s="491"/>
      <c r="CBJ93" s="491"/>
      <c r="CBK93" s="491"/>
      <c r="CBL93" s="491"/>
      <c r="CBM93" s="491"/>
      <c r="CBN93" s="491"/>
      <c r="CBO93" s="491"/>
      <c r="CBP93" s="491"/>
      <c r="CBQ93" s="491"/>
      <c r="CBR93" s="491"/>
      <c r="CBS93" s="491"/>
      <c r="CBT93" s="491"/>
      <c r="CBU93" s="491"/>
      <c r="CBV93" s="491"/>
      <c r="CBW93" s="491"/>
      <c r="CBX93" s="491"/>
      <c r="CBY93" s="491"/>
      <c r="CBZ93" s="491"/>
      <c r="CCA93" s="491"/>
      <c r="CCB93" s="491"/>
      <c r="CCC93" s="491"/>
      <c r="CCD93" s="491"/>
      <c r="CCE93" s="491"/>
      <c r="CCF93" s="491"/>
      <c r="CCG93" s="491"/>
      <c r="CCH93" s="491"/>
      <c r="CCI93" s="491"/>
      <c r="CCJ93" s="492"/>
      <c r="CCK93" s="492"/>
      <c r="CCL93" s="492"/>
      <c r="CCM93" s="492"/>
      <c r="CCN93" s="493"/>
      <c r="CCO93" s="493"/>
      <c r="CCP93" s="192"/>
      <c r="CCQ93" s="489"/>
      <c r="CCR93" s="489"/>
      <c r="CCS93" s="490"/>
      <c r="CCT93" s="490"/>
      <c r="CCU93" s="491"/>
      <c r="CCV93" s="491"/>
      <c r="CCW93" s="491"/>
      <c r="CCX93" s="491"/>
      <c r="CCY93" s="491"/>
      <c r="CCZ93" s="491"/>
      <c r="CDA93" s="491"/>
      <c r="CDB93" s="491"/>
      <c r="CDC93" s="491"/>
      <c r="CDD93" s="491"/>
      <c r="CDE93" s="491"/>
      <c r="CDF93" s="491"/>
      <c r="CDG93" s="491"/>
      <c r="CDH93" s="491"/>
      <c r="CDI93" s="491"/>
      <c r="CDJ93" s="491"/>
      <c r="CDK93" s="491"/>
      <c r="CDL93" s="491"/>
      <c r="CDM93" s="491"/>
      <c r="CDN93" s="491"/>
      <c r="CDO93" s="491"/>
      <c r="CDP93" s="491"/>
      <c r="CDQ93" s="491"/>
      <c r="CDR93" s="491"/>
      <c r="CDS93" s="491"/>
      <c r="CDT93" s="491"/>
      <c r="CDU93" s="491"/>
      <c r="CDV93" s="491"/>
      <c r="CDW93" s="491"/>
      <c r="CDX93" s="491"/>
      <c r="CDY93" s="491"/>
      <c r="CDZ93" s="491"/>
      <c r="CEA93" s="491"/>
      <c r="CEB93" s="491"/>
      <c r="CEC93" s="492"/>
      <c r="CED93" s="492"/>
      <c r="CEE93" s="492"/>
      <c r="CEF93" s="492"/>
      <c r="CEG93" s="493"/>
      <c r="CEH93" s="493"/>
      <c r="CEI93" s="192"/>
      <c r="CEJ93" s="489"/>
      <c r="CEK93" s="489"/>
      <c r="CEL93" s="490"/>
      <c r="CEM93" s="490"/>
      <c r="CEN93" s="491"/>
      <c r="CEO93" s="491"/>
      <c r="CEP93" s="491"/>
      <c r="CEQ93" s="491"/>
      <c r="CER93" s="491"/>
      <c r="CES93" s="491"/>
      <c r="CET93" s="491"/>
      <c r="CEU93" s="491"/>
      <c r="CEV93" s="491"/>
      <c r="CEW93" s="491"/>
      <c r="CEX93" s="491"/>
      <c r="CEY93" s="491"/>
      <c r="CEZ93" s="491"/>
      <c r="CFA93" s="491"/>
      <c r="CFB93" s="491"/>
      <c r="CFC93" s="491"/>
      <c r="CFD93" s="491"/>
      <c r="CFE93" s="491"/>
      <c r="CFF93" s="491"/>
      <c r="CFG93" s="491"/>
      <c r="CFH93" s="491"/>
      <c r="CFI93" s="491"/>
      <c r="CFJ93" s="491"/>
      <c r="CFK93" s="491"/>
      <c r="CFL93" s="491"/>
      <c r="CFM93" s="491"/>
      <c r="CFN93" s="491"/>
      <c r="CFO93" s="491"/>
      <c r="CFP93" s="491"/>
      <c r="CFQ93" s="491"/>
      <c r="CFR93" s="491"/>
      <c r="CFS93" s="491"/>
      <c r="CFT93" s="491"/>
      <c r="CFU93" s="491"/>
      <c r="CFV93" s="492"/>
      <c r="CFW93" s="492"/>
      <c r="CFX93" s="492"/>
      <c r="CFY93" s="492"/>
      <c r="CFZ93" s="493"/>
      <c r="CGA93" s="493"/>
      <c r="CGB93" s="192"/>
      <c r="CGC93" s="489"/>
      <c r="CGD93" s="489"/>
      <c r="CGE93" s="490"/>
      <c r="CGF93" s="490"/>
      <c r="CGG93" s="491"/>
      <c r="CGH93" s="491"/>
      <c r="CGI93" s="491"/>
      <c r="CGJ93" s="491"/>
      <c r="CGK93" s="491"/>
      <c r="CGL93" s="491"/>
      <c r="CGM93" s="491"/>
      <c r="CGN93" s="491"/>
      <c r="CGO93" s="491"/>
      <c r="CGP93" s="491"/>
      <c r="CGQ93" s="491"/>
      <c r="CGR93" s="491"/>
      <c r="CGS93" s="491"/>
      <c r="CGT93" s="491"/>
      <c r="CGU93" s="491"/>
      <c r="CGV93" s="491"/>
      <c r="CGW93" s="491"/>
      <c r="CGX93" s="491"/>
      <c r="CGY93" s="491"/>
      <c r="CGZ93" s="491"/>
      <c r="CHA93" s="491"/>
      <c r="CHB93" s="491"/>
      <c r="CHC93" s="491"/>
      <c r="CHD93" s="491"/>
      <c r="CHE93" s="491"/>
      <c r="CHF93" s="491"/>
      <c r="CHG93" s="491"/>
      <c r="CHH93" s="491"/>
      <c r="CHI93" s="491"/>
      <c r="CHJ93" s="491"/>
      <c r="CHK93" s="491"/>
      <c r="CHL93" s="491"/>
      <c r="CHM93" s="491"/>
      <c r="CHN93" s="491"/>
      <c r="CHO93" s="492"/>
      <c r="CHP93" s="492"/>
      <c r="CHQ93" s="492"/>
      <c r="CHR93" s="492"/>
      <c r="CHS93" s="493"/>
      <c r="CHT93" s="493"/>
      <c r="CHU93" s="192"/>
      <c r="CHV93" s="489"/>
      <c r="CHW93" s="489"/>
      <c r="CHX93" s="490"/>
      <c r="CHY93" s="490"/>
      <c r="CHZ93" s="491"/>
      <c r="CIA93" s="491"/>
      <c r="CIB93" s="491"/>
      <c r="CIC93" s="491"/>
      <c r="CID93" s="491"/>
      <c r="CIE93" s="491"/>
      <c r="CIF93" s="491"/>
      <c r="CIG93" s="491"/>
      <c r="CIH93" s="491"/>
      <c r="CII93" s="491"/>
      <c r="CIJ93" s="491"/>
      <c r="CIK93" s="491"/>
      <c r="CIL93" s="491"/>
      <c r="CIM93" s="491"/>
      <c r="CIN93" s="491"/>
      <c r="CIO93" s="491"/>
      <c r="CIP93" s="491"/>
      <c r="CIQ93" s="491"/>
      <c r="CIR93" s="491"/>
      <c r="CIS93" s="491"/>
      <c r="CIT93" s="491"/>
      <c r="CIU93" s="491"/>
      <c r="CIV93" s="491"/>
      <c r="CIW93" s="491"/>
      <c r="CIX93" s="491"/>
      <c r="CIY93" s="491"/>
      <c r="CIZ93" s="491"/>
      <c r="CJA93" s="491"/>
      <c r="CJB93" s="491"/>
      <c r="CJC93" s="491"/>
      <c r="CJD93" s="491"/>
      <c r="CJE93" s="491"/>
      <c r="CJF93" s="491"/>
      <c r="CJG93" s="491"/>
      <c r="CJH93" s="492"/>
      <c r="CJI93" s="492"/>
      <c r="CJJ93" s="492"/>
      <c r="CJK93" s="492"/>
      <c r="CJL93" s="493"/>
      <c r="CJM93" s="493"/>
      <c r="CJN93" s="192"/>
      <c r="CJO93" s="489"/>
      <c r="CJP93" s="489"/>
      <c r="CJQ93" s="490"/>
      <c r="CJR93" s="490"/>
      <c r="CJS93" s="491"/>
      <c r="CJT93" s="491"/>
      <c r="CJU93" s="491"/>
      <c r="CJV93" s="491"/>
      <c r="CJW93" s="491"/>
      <c r="CJX93" s="491"/>
      <c r="CJY93" s="491"/>
      <c r="CJZ93" s="491"/>
      <c r="CKA93" s="491"/>
      <c r="CKB93" s="491"/>
      <c r="CKC93" s="491"/>
      <c r="CKD93" s="491"/>
      <c r="CKE93" s="491"/>
      <c r="CKF93" s="491"/>
      <c r="CKG93" s="491"/>
      <c r="CKH93" s="491"/>
      <c r="CKI93" s="491"/>
      <c r="CKJ93" s="491"/>
      <c r="CKK93" s="491"/>
      <c r="CKL93" s="491"/>
      <c r="CKM93" s="491"/>
      <c r="CKN93" s="491"/>
      <c r="CKO93" s="491"/>
      <c r="CKP93" s="491"/>
      <c r="CKQ93" s="491"/>
      <c r="CKR93" s="491"/>
      <c r="CKS93" s="491"/>
      <c r="CKT93" s="491"/>
      <c r="CKU93" s="491"/>
      <c r="CKV93" s="491"/>
      <c r="CKW93" s="491"/>
      <c r="CKX93" s="491"/>
      <c r="CKY93" s="491"/>
      <c r="CKZ93" s="491"/>
      <c r="CLA93" s="492"/>
      <c r="CLB93" s="492"/>
      <c r="CLC93" s="492"/>
      <c r="CLD93" s="492"/>
      <c r="CLE93" s="493"/>
      <c r="CLF93" s="493"/>
      <c r="CLG93" s="192"/>
      <c r="CLH93" s="489"/>
      <c r="CLI93" s="489"/>
      <c r="CLJ93" s="490"/>
      <c r="CLK93" s="490"/>
      <c r="CLL93" s="491"/>
      <c r="CLM93" s="491"/>
      <c r="CLN93" s="491"/>
      <c r="CLO93" s="491"/>
      <c r="CLP93" s="491"/>
      <c r="CLQ93" s="491"/>
      <c r="CLR93" s="491"/>
      <c r="CLS93" s="491"/>
      <c r="CLT93" s="491"/>
      <c r="CLU93" s="491"/>
      <c r="CLV93" s="491"/>
      <c r="CLW93" s="491"/>
      <c r="CLX93" s="491"/>
      <c r="CLY93" s="491"/>
      <c r="CLZ93" s="491"/>
      <c r="CMA93" s="491"/>
      <c r="CMB93" s="491"/>
      <c r="CMC93" s="491"/>
      <c r="CMD93" s="491"/>
      <c r="CME93" s="491"/>
      <c r="CMF93" s="491"/>
      <c r="CMG93" s="491"/>
      <c r="CMH93" s="491"/>
      <c r="CMI93" s="491"/>
      <c r="CMJ93" s="491"/>
      <c r="CMK93" s="491"/>
      <c r="CML93" s="491"/>
      <c r="CMM93" s="491"/>
      <c r="CMN93" s="491"/>
      <c r="CMO93" s="491"/>
      <c r="CMP93" s="491"/>
      <c r="CMQ93" s="491"/>
      <c r="CMR93" s="491"/>
      <c r="CMS93" s="491"/>
      <c r="CMT93" s="492"/>
      <c r="CMU93" s="492"/>
      <c r="CMV93" s="492"/>
      <c r="CMW93" s="492"/>
      <c r="CMX93" s="493"/>
      <c r="CMY93" s="493"/>
      <c r="CMZ93" s="192"/>
      <c r="CNA93" s="489"/>
      <c r="CNB93" s="489"/>
      <c r="CNC93" s="490"/>
      <c r="CND93" s="490"/>
      <c r="CNE93" s="491"/>
      <c r="CNF93" s="491"/>
      <c r="CNG93" s="491"/>
      <c r="CNH93" s="491"/>
      <c r="CNI93" s="491"/>
      <c r="CNJ93" s="491"/>
      <c r="CNK93" s="491"/>
      <c r="CNL93" s="491"/>
      <c r="CNM93" s="491"/>
      <c r="CNN93" s="491"/>
      <c r="CNO93" s="491"/>
      <c r="CNP93" s="491"/>
      <c r="CNQ93" s="491"/>
      <c r="CNR93" s="491"/>
      <c r="CNS93" s="491"/>
      <c r="CNT93" s="491"/>
      <c r="CNU93" s="491"/>
      <c r="CNV93" s="491"/>
      <c r="CNW93" s="491"/>
      <c r="CNX93" s="491"/>
      <c r="CNY93" s="491"/>
      <c r="CNZ93" s="491"/>
      <c r="COA93" s="491"/>
      <c r="COB93" s="491"/>
      <c r="COC93" s="491"/>
      <c r="COD93" s="491"/>
      <c r="COE93" s="491"/>
      <c r="COF93" s="491"/>
      <c r="COG93" s="491"/>
      <c r="COH93" s="491"/>
      <c r="COI93" s="491"/>
      <c r="COJ93" s="491"/>
      <c r="COK93" s="491"/>
      <c r="COL93" s="491"/>
      <c r="COM93" s="492"/>
      <c r="CON93" s="492"/>
      <c r="COO93" s="492"/>
      <c r="COP93" s="492"/>
      <c r="COQ93" s="493"/>
      <c r="COR93" s="493"/>
      <c r="COS93" s="192"/>
      <c r="COT93" s="489"/>
      <c r="COU93" s="489"/>
      <c r="COV93" s="490"/>
      <c r="COW93" s="490"/>
      <c r="COX93" s="491"/>
      <c r="COY93" s="491"/>
      <c r="COZ93" s="491"/>
      <c r="CPA93" s="491"/>
      <c r="CPB93" s="491"/>
      <c r="CPC93" s="491"/>
      <c r="CPD93" s="491"/>
      <c r="CPE93" s="491"/>
      <c r="CPF93" s="491"/>
      <c r="CPG93" s="491"/>
      <c r="CPH93" s="491"/>
      <c r="CPI93" s="491"/>
      <c r="CPJ93" s="491"/>
      <c r="CPK93" s="491"/>
      <c r="CPL93" s="491"/>
      <c r="CPM93" s="491"/>
      <c r="CPN93" s="491"/>
      <c r="CPO93" s="491"/>
      <c r="CPP93" s="491"/>
      <c r="CPQ93" s="491"/>
      <c r="CPR93" s="491"/>
      <c r="CPS93" s="491"/>
      <c r="CPT93" s="491"/>
      <c r="CPU93" s="491"/>
      <c r="CPV93" s="491"/>
      <c r="CPW93" s="491"/>
      <c r="CPX93" s="491"/>
      <c r="CPY93" s="491"/>
      <c r="CPZ93" s="491"/>
      <c r="CQA93" s="491"/>
      <c r="CQB93" s="491"/>
      <c r="CQC93" s="491"/>
      <c r="CQD93" s="491"/>
      <c r="CQE93" s="491"/>
      <c r="CQF93" s="492"/>
      <c r="CQG93" s="492"/>
      <c r="CQH93" s="492"/>
      <c r="CQI93" s="492"/>
      <c r="CQJ93" s="493"/>
      <c r="CQK93" s="493"/>
      <c r="CQL93" s="192"/>
      <c r="CQM93" s="489"/>
      <c r="CQN93" s="489"/>
      <c r="CQO93" s="490"/>
      <c r="CQP93" s="490"/>
      <c r="CQQ93" s="491"/>
      <c r="CQR93" s="491"/>
      <c r="CQS93" s="491"/>
      <c r="CQT93" s="491"/>
      <c r="CQU93" s="491"/>
      <c r="CQV93" s="491"/>
      <c r="CQW93" s="491"/>
      <c r="CQX93" s="491"/>
      <c r="CQY93" s="491"/>
      <c r="CQZ93" s="491"/>
      <c r="CRA93" s="491"/>
      <c r="CRB93" s="491"/>
      <c r="CRC93" s="491"/>
      <c r="CRD93" s="491"/>
      <c r="CRE93" s="491"/>
      <c r="CRF93" s="491"/>
      <c r="CRG93" s="491"/>
      <c r="CRH93" s="491"/>
      <c r="CRI93" s="491"/>
      <c r="CRJ93" s="491"/>
      <c r="CRK93" s="491"/>
      <c r="CRL93" s="491"/>
      <c r="CRM93" s="491"/>
      <c r="CRN93" s="491"/>
      <c r="CRO93" s="491"/>
      <c r="CRP93" s="491"/>
      <c r="CRQ93" s="491"/>
      <c r="CRR93" s="491"/>
      <c r="CRS93" s="491"/>
      <c r="CRT93" s="491"/>
      <c r="CRU93" s="491"/>
      <c r="CRV93" s="491"/>
      <c r="CRW93" s="491"/>
      <c r="CRX93" s="491"/>
      <c r="CRY93" s="492"/>
      <c r="CRZ93" s="492"/>
      <c r="CSA93" s="492"/>
      <c r="CSB93" s="492"/>
      <c r="CSC93" s="493"/>
      <c r="CSD93" s="493"/>
      <c r="CSE93" s="192"/>
      <c r="CSF93" s="489"/>
      <c r="CSG93" s="489"/>
      <c r="CSH93" s="490"/>
      <c r="CSI93" s="490"/>
      <c r="CSJ93" s="491"/>
      <c r="CSK93" s="491"/>
      <c r="CSL93" s="491"/>
      <c r="CSM93" s="491"/>
      <c r="CSN93" s="491"/>
      <c r="CSO93" s="491"/>
      <c r="CSP93" s="491"/>
      <c r="CSQ93" s="491"/>
      <c r="CSR93" s="491"/>
      <c r="CSS93" s="491"/>
      <c r="CST93" s="491"/>
      <c r="CSU93" s="491"/>
      <c r="CSV93" s="491"/>
      <c r="CSW93" s="491"/>
      <c r="CSX93" s="491"/>
      <c r="CSY93" s="491"/>
      <c r="CSZ93" s="491"/>
      <c r="CTA93" s="491"/>
      <c r="CTB93" s="491"/>
      <c r="CTC93" s="491"/>
      <c r="CTD93" s="491"/>
      <c r="CTE93" s="491"/>
      <c r="CTF93" s="491"/>
      <c r="CTG93" s="491"/>
      <c r="CTH93" s="491"/>
      <c r="CTI93" s="491"/>
      <c r="CTJ93" s="491"/>
      <c r="CTK93" s="491"/>
      <c r="CTL93" s="491"/>
      <c r="CTM93" s="491"/>
      <c r="CTN93" s="491"/>
      <c r="CTO93" s="491"/>
      <c r="CTP93" s="491"/>
      <c r="CTQ93" s="491"/>
      <c r="CTR93" s="492"/>
      <c r="CTS93" s="492"/>
      <c r="CTT93" s="492"/>
      <c r="CTU93" s="492"/>
      <c r="CTV93" s="493"/>
      <c r="CTW93" s="493"/>
      <c r="CTX93" s="192"/>
      <c r="CTY93" s="489"/>
      <c r="CTZ93" s="489"/>
      <c r="CUA93" s="490"/>
      <c r="CUB93" s="490"/>
      <c r="CUC93" s="491"/>
      <c r="CUD93" s="491"/>
      <c r="CUE93" s="491"/>
      <c r="CUF93" s="491"/>
      <c r="CUG93" s="491"/>
      <c r="CUH93" s="491"/>
      <c r="CUI93" s="491"/>
      <c r="CUJ93" s="491"/>
      <c r="CUK93" s="491"/>
      <c r="CUL93" s="491"/>
      <c r="CUM93" s="491"/>
      <c r="CUN93" s="491"/>
      <c r="CUO93" s="491"/>
      <c r="CUP93" s="491"/>
      <c r="CUQ93" s="491"/>
      <c r="CUR93" s="491"/>
      <c r="CUS93" s="491"/>
      <c r="CUT93" s="491"/>
      <c r="CUU93" s="491"/>
      <c r="CUV93" s="491"/>
      <c r="CUW93" s="491"/>
      <c r="CUX93" s="491"/>
      <c r="CUY93" s="491"/>
      <c r="CUZ93" s="491"/>
      <c r="CVA93" s="491"/>
      <c r="CVB93" s="491"/>
      <c r="CVC93" s="491"/>
      <c r="CVD93" s="491"/>
      <c r="CVE93" s="491"/>
      <c r="CVF93" s="491"/>
      <c r="CVG93" s="491"/>
      <c r="CVH93" s="491"/>
      <c r="CVI93" s="491"/>
      <c r="CVJ93" s="491"/>
      <c r="CVK93" s="492"/>
      <c r="CVL93" s="492"/>
      <c r="CVM93" s="492"/>
      <c r="CVN93" s="492"/>
      <c r="CVO93" s="493"/>
      <c r="CVP93" s="493"/>
      <c r="CVQ93" s="192"/>
      <c r="CVR93" s="489"/>
      <c r="CVS93" s="489"/>
      <c r="CVT93" s="490"/>
      <c r="CVU93" s="490"/>
      <c r="CVV93" s="491"/>
      <c r="CVW93" s="491"/>
      <c r="CVX93" s="491"/>
      <c r="CVY93" s="491"/>
      <c r="CVZ93" s="491"/>
      <c r="CWA93" s="491"/>
      <c r="CWB93" s="491"/>
      <c r="CWC93" s="491"/>
      <c r="CWD93" s="491"/>
      <c r="CWE93" s="491"/>
      <c r="CWF93" s="491"/>
      <c r="CWG93" s="491"/>
      <c r="CWH93" s="491"/>
      <c r="CWI93" s="491"/>
      <c r="CWJ93" s="491"/>
      <c r="CWK93" s="491"/>
      <c r="CWL93" s="491"/>
      <c r="CWM93" s="491"/>
      <c r="CWN93" s="491"/>
      <c r="CWO93" s="491"/>
      <c r="CWP93" s="491"/>
      <c r="CWQ93" s="491"/>
      <c r="CWR93" s="491"/>
      <c r="CWS93" s="491"/>
      <c r="CWT93" s="491"/>
      <c r="CWU93" s="491"/>
      <c r="CWV93" s="491"/>
      <c r="CWW93" s="491"/>
      <c r="CWX93" s="491"/>
      <c r="CWY93" s="491"/>
      <c r="CWZ93" s="491"/>
      <c r="CXA93" s="491"/>
      <c r="CXB93" s="491"/>
      <c r="CXC93" s="491"/>
      <c r="CXD93" s="492"/>
      <c r="CXE93" s="492"/>
      <c r="CXF93" s="492"/>
      <c r="CXG93" s="492"/>
      <c r="CXH93" s="493"/>
      <c r="CXI93" s="493"/>
      <c r="CXJ93" s="192"/>
      <c r="CXK93" s="489"/>
      <c r="CXL93" s="489"/>
      <c r="CXM93" s="490"/>
      <c r="CXN93" s="490"/>
      <c r="CXO93" s="491"/>
      <c r="CXP93" s="491"/>
      <c r="CXQ93" s="491"/>
      <c r="CXR93" s="491"/>
      <c r="CXS93" s="491"/>
      <c r="CXT93" s="491"/>
      <c r="CXU93" s="491"/>
      <c r="CXV93" s="491"/>
      <c r="CXW93" s="491"/>
      <c r="CXX93" s="491"/>
      <c r="CXY93" s="491"/>
      <c r="CXZ93" s="491"/>
      <c r="CYA93" s="491"/>
      <c r="CYB93" s="491"/>
      <c r="CYC93" s="491"/>
      <c r="CYD93" s="491"/>
      <c r="CYE93" s="491"/>
      <c r="CYF93" s="491"/>
      <c r="CYG93" s="491"/>
      <c r="CYH93" s="491"/>
      <c r="CYI93" s="491"/>
      <c r="CYJ93" s="491"/>
      <c r="CYK93" s="491"/>
      <c r="CYL93" s="491"/>
      <c r="CYM93" s="491"/>
      <c r="CYN93" s="491"/>
      <c r="CYO93" s="491"/>
      <c r="CYP93" s="491"/>
      <c r="CYQ93" s="491"/>
      <c r="CYR93" s="491"/>
      <c r="CYS93" s="491"/>
      <c r="CYT93" s="491"/>
      <c r="CYU93" s="491"/>
      <c r="CYV93" s="491"/>
      <c r="CYW93" s="492"/>
      <c r="CYX93" s="492"/>
      <c r="CYY93" s="492"/>
      <c r="CYZ93" s="492"/>
      <c r="CZA93" s="493"/>
      <c r="CZB93" s="493"/>
      <c r="CZC93" s="192"/>
      <c r="CZD93" s="489"/>
      <c r="CZE93" s="489"/>
      <c r="CZF93" s="490"/>
      <c r="CZG93" s="490"/>
      <c r="CZH93" s="491"/>
      <c r="CZI93" s="491"/>
      <c r="CZJ93" s="491"/>
      <c r="CZK93" s="491"/>
      <c r="CZL93" s="491"/>
      <c r="CZM93" s="491"/>
      <c r="CZN93" s="491"/>
      <c r="CZO93" s="491"/>
      <c r="CZP93" s="491"/>
      <c r="CZQ93" s="491"/>
      <c r="CZR93" s="491"/>
      <c r="CZS93" s="491"/>
      <c r="CZT93" s="491"/>
      <c r="CZU93" s="491"/>
      <c r="CZV93" s="491"/>
      <c r="CZW93" s="491"/>
      <c r="CZX93" s="491"/>
      <c r="CZY93" s="491"/>
      <c r="CZZ93" s="491"/>
      <c r="DAA93" s="491"/>
      <c r="DAB93" s="491"/>
      <c r="DAC93" s="491"/>
      <c r="DAD93" s="491"/>
      <c r="DAE93" s="491"/>
      <c r="DAF93" s="491"/>
      <c r="DAG93" s="491"/>
      <c r="DAH93" s="491"/>
      <c r="DAI93" s="491"/>
      <c r="DAJ93" s="491"/>
      <c r="DAK93" s="491"/>
      <c r="DAL93" s="491"/>
      <c r="DAM93" s="491"/>
      <c r="DAN93" s="491"/>
      <c r="DAO93" s="491"/>
      <c r="DAP93" s="492"/>
      <c r="DAQ93" s="492"/>
      <c r="DAR93" s="492"/>
      <c r="DAS93" s="492"/>
      <c r="DAT93" s="493"/>
      <c r="DAU93" s="493"/>
      <c r="DAV93" s="192"/>
      <c r="DAW93" s="489"/>
      <c r="DAX93" s="489"/>
      <c r="DAY93" s="490"/>
      <c r="DAZ93" s="490"/>
      <c r="DBA93" s="491"/>
      <c r="DBB93" s="491"/>
      <c r="DBC93" s="491"/>
      <c r="DBD93" s="491"/>
      <c r="DBE93" s="491"/>
      <c r="DBF93" s="491"/>
      <c r="DBG93" s="491"/>
      <c r="DBH93" s="491"/>
      <c r="DBI93" s="491"/>
      <c r="DBJ93" s="491"/>
      <c r="DBK93" s="491"/>
      <c r="DBL93" s="491"/>
      <c r="DBM93" s="491"/>
      <c r="DBN93" s="491"/>
      <c r="DBO93" s="491"/>
      <c r="DBP93" s="491"/>
      <c r="DBQ93" s="491"/>
      <c r="DBR93" s="491"/>
      <c r="DBS93" s="491"/>
      <c r="DBT93" s="491"/>
      <c r="DBU93" s="491"/>
      <c r="DBV93" s="491"/>
      <c r="DBW93" s="491"/>
      <c r="DBX93" s="491"/>
      <c r="DBY93" s="491"/>
      <c r="DBZ93" s="491"/>
      <c r="DCA93" s="491"/>
      <c r="DCB93" s="491"/>
      <c r="DCC93" s="491"/>
      <c r="DCD93" s="491"/>
      <c r="DCE93" s="491"/>
      <c r="DCF93" s="491"/>
      <c r="DCG93" s="491"/>
      <c r="DCH93" s="491"/>
      <c r="DCI93" s="492"/>
      <c r="DCJ93" s="492"/>
      <c r="DCK93" s="492"/>
      <c r="DCL93" s="492"/>
      <c r="DCM93" s="493"/>
      <c r="DCN93" s="493"/>
      <c r="DCO93" s="192"/>
      <c r="DCP93" s="489"/>
      <c r="DCQ93" s="489"/>
      <c r="DCR93" s="490"/>
      <c r="DCS93" s="490"/>
      <c r="DCT93" s="491"/>
      <c r="DCU93" s="491"/>
      <c r="DCV93" s="491"/>
      <c r="DCW93" s="491"/>
      <c r="DCX93" s="491"/>
      <c r="DCY93" s="491"/>
      <c r="DCZ93" s="491"/>
      <c r="DDA93" s="491"/>
      <c r="DDB93" s="491"/>
      <c r="DDC93" s="491"/>
      <c r="DDD93" s="491"/>
      <c r="DDE93" s="491"/>
      <c r="DDF93" s="491"/>
      <c r="DDG93" s="491"/>
      <c r="DDH93" s="491"/>
      <c r="DDI93" s="491"/>
      <c r="DDJ93" s="491"/>
      <c r="DDK93" s="491"/>
      <c r="DDL93" s="491"/>
      <c r="DDM93" s="491"/>
      <c r="DDN93" s="491"/>
      <c r="DDO93" s="491"/>
      <c r="DDP93" s="491"/>
      <c r="DDQ93" s="491"/>
      <c r="DDR93" s="491"/>
      <c r="DDS93" s="491"/>
      <c r="DDT93" s="491"/>
      <c r="DDU93" s="491"/>
      <c r="DDV93" s="491"/>
      <c r="DDW93" s="491"/>
      <c r="DDX93" s="491"/>
      <c r="DDY93" s="491"/>
      <c r="DDZ93" s="491"/>
      <c r="DEA93" s="491"/>
      <c r="DEB93" s="492"/>
      <c r="DEC93" s="492"/>
      <c r="DED93" s="492"/>
      <c r="DEE93" s="492"/>
      <c r="DEF93" s="493"/>
      <c r="DEG93" s="493"/>
      <c r="DEH93" s="192"/>
      <c r="DEI93" s="489"/>
      <c r="DEJ93" s="489"/>
      <c r="DEK93" s="490"/>
      <c r="DEL93" s="490"/>
      <c r="DEM93" s="491"/>
      <c r="DEN93" s="491"/>
      <c r="DEO93" s="491"/>
      <c r="DEP93" s="491"/>
      <c r="DEQ93" s="491"/>
      <c r="DER93" s="491"/>
      <c r="DES93" s="491"/>
      <c r="DET93" s="491"/>
      <c r="DEU93" s="491"/>
      <c r="DEV93" s="491"/>
      <c r="DEW93" s="491"/>
      <c r="DEX93" s="491"/>
      <c r="DEY93" s="491"/>
      <c r="DEZ93" s="491"/>
      <c r="DFA93" s="491"/>
      <c r="DFB93" s="491"/>
      <c r="DFC93" s="491"/>
      <c r="DFD93" s="491"/>
      <c r="DFE93" s="491"/>
      <c r="DFF93" s="491"/>
      <c r="DFG93" s="491"/>
      <c r="DFH93" s="491"/>
      <c r="DFI93" s="491"/>
      <c r="DFJ93" s="491"/>
      <c r="DFK93" s="491"/>
      <c r="DFL93" s="491"/>
      <c r="DFM93" s="491"/>
      <c r="DFN93" s="491"/>
      <c r="DFO93" s="491"/>
      <c r="DFP93" s="491"/>
      <c r="DFQ93" s="491"/>
      <c r="DFR93" s="491"/>
      <c r="DFS93" s="491"/>
      <c r="DFT93" s="491"/>
      <c r="DFU93" s="492"/>
      <c r="DFV93" s="492"/>
      <c r="DFW93" s="492"/>
      <c r="DFX93" s="492"/>
      <c r="DFY93" s="493"/>
      <c r="DFZ93" s="493"/>
      <c r="DGA93" s="192"/>
      <c r="DGB93" s="489"/>
      <c r="DGC93" s="489"/>
      <c r="DGD93" s="490"/>
      <c r="DGE93" s="490"/>
      <c r="DGF93" s="491"/>
      <c r="DGG93" s="491"/>
      <c r="DGH93" s="491"/>
      <c r="DGI93" s="491"/>
      <c r="DGJ93" s="491"/>
      <c r="DGK93" s="491"/>
      <c r="DGL93" s="491"/>
      <c r="DGM93" s="491"/>
      <c r="DGN93" s="491"/>
      <c r="DGO93" s="491"/>
      <c r="DGP93" s="491"/>
      <c r="DGQ93" s="491"/>
      <c r="DGR93" s="491"/>
      <c r="DGS93" s="491"/>
      <c r="DGT93" s="491"/>
      <c r="DGU93" s="491"/>
      <c r="DGV93" s="491"/>
      <c r="DGW93" s="491"/>
      <c r="DGX93" s="491"/>
      <c r="DGY93" s="491"/>
      <c r="DGZ93" s="491"/>
      <c r="DHA93" s="491"/>
      <c r="DHB93" s="491"/>
      <c r="DHC93" s="491"/>
      <c r="DHD93" s="491"/>
      <c r="DHE93" s="491"/>
      <c r="DHF93" s="491"/>
      <c r="DHG93" s="491"/>
      <c r="DHH93" s="491"/>
      <c r="DHI93" s="491"/>
      <c r="DHJ93" s="491"/>
      <c r="DHK93" s="491"/>
      <c r="DHL93" s="491"/>
      <c r="DHM93" s="491"/>
      <c r="DHN93" s="492"/>
      <c r="DHO93" s="492"/>
      <c r="DHP93" s="492"/>
      <c r="DHQ93" s="492"/>
      <c r="DHR93" s="493"/>
      <c r="DHS93" s="493"/>
      <c r="DHT93" s="192"/>
      <c r="DHU93" s="489"/>
      <c r="DHV93" s="489"/>
      <c r="DHW93" s="490"/>
      <c r="DHX93" s="490"/>
      <c r="DHY93" s="491"/>
      <c r="DHZ93" s="491"/>
      <c r="DIA93" s="491"/>
      <c r="DIB93" s="491"/>
      <c r="DIC93" s="491"/>
      <c r="DID93" s="491"/>
      <c r="DIE93" s="491"/>
      <c r="DIF93" s="491"/>
      <c r="DIG93" s="491"/>
      <c r="DIH93" s="491"/>
      <c r="DII93" s="491"/>
      <c r="DIJ93" s="491"/>
      <c r="DIK93" s="491"/>
      <c r="DIL93" s="491"/>
      <c r="DIM93" s="491"/>
      <c r="DIN93" s="491"/>
      <c r="DIO93" s="491"/>
      <c r="DIP93" s="491"/>
      <c r="DIQ93" s="491"/>
      <c r="DIR93" s="491"/>
      <c r="DIS93" s="491"/>
      <c r="DIT93" s="491"/>
      <c r="DIU93" s="491"/>
      <c r="DIV93" s="491"/>
      <c r="DIW93" s="491"/>
      <c r="DIX93" s="491"/>
      <c r="DIY93" s="491"/>
      <c r="DIZ93" s="491"/>
      <c r="DJA93" s="491"/>
      <c r="DJB93" s="491"/>
      <c r="DJC93" s="491"/>
      <c r="DJD93" s="491"/>
      <c r="DJE93" s="491"/>
      <c r="DJF93" s="491"/>
      <c r="DJG93" s="492"/>
      <c r="DJH93" s="492"/>
      <c r="DJI93" s="492"/>
      <c r="DJJ93" s="492"/>
      <c r="DJK93" s="493"/>
      <c r="DJL93" s="493"/>
      <c r="DJM93" s="192"/>
      <c r="DJN93" s="489"/>
      <c r="DJO93" s="489"/>
      <c r="DJP93" s="490"/>
      <c r="DJQ93" s="490"/>
      <c r="DJR93" s="491"/>
      <c r="DJS93" s="491"/>
      <c r="DJT93" s="491"/>
      <c r="DJU93" s="491"/>
      <c r="DJV93" s="491"/>
      <c r="DJW93" s="491"/>
      <c r="DJX93" s="491"/>
      <c r="DJY93" s="491"/>
      <c r="DJZ93" s="491"/>
      <c r="DKA93" s="491"/>
      <c r="DKB93" s="491"/>
      <c r="DKC93" s="491"/>
      <c r="DKD93" s="491"/>
      <c r="DKE93" s="491"/>
      <c r="DKF93" s="491"/>
      <c r="DKG93" s="491"/>
      <c r="DKH93" s="491"/>
      <c r="DKI93" s="491"/>
      <c r="DKJ93" s="491"/>
      <c r="DKK93" s="491"/>
      <c r="DKL93" s="491"/>
      <c r="DKM93" s="491"/>
      <c r="DKN93" s="491"/>
      <c r="DKO93" s="491"/>
      <c r="DKP93" s="491"/>
      <c r="DKQ93" s="491"/>
      <c r="DKR93" s="491"/>
      <c r="DKS93" s="491"/>
      <c r="DKT93" s="491"/>
      <c r="DKU93" s="491"/>
      <c r="DKV93" s="491"/>
      <c r="DKW93" s="491"/>
      <c r="DKX93" s="491"/>
      <c r="DKY93" s="491"/>
      <c r="DKZ93" s="492"/>
      <c r="DLA93" s="492"/>
      <c r="DLB93" s="492"/>
      <c r="DLC93" s="492"/>
      <c r="DLD93" s="493"/>
      <c r="DLE93" s="493"/>
      <c r="DLF93" s="192"/>
      <c r="DLG93" s="489"/>
      <c r="DLH93" s="489"/>
      <c r="DLI93" s="490"/>
      <c r="DLJ93" s="490"/>
      <c r="DLK93" s="491"/>
      <c r="DLL93" s="491"/>
      <c r="DLM93" s="491"/>
      <c r="DLN93" s="491"/>
      <c r="DLO93" s="491"/>
      <c r="DLP93" s="491"/>
      <c r="DLQ93" s="491"/>
      <c r="DLR93" s="491"/>
      <c r="DLS93" s="491"/>
      <c r="DLT93" s="491"/>
      <c r="DLU93" s="491"/>
      <c r="DLV93" s="491"/>
      <c r="DLW93" s="491"/>
      <c r="DLX93" s="491"/>
      <c r="DLY93" s="491"/>
      <c r="DLZ93" s="491"/>
      <c r="DMA93" s="491"/>
      <c r="DMB93" s="491"/>
      <c r="DMC93" s="491"/>
      <c r="DMD93" s="491"/>
      <c r="DME93" s="491"/>
      <c r="DMF93" s="491"/>
      <c r="DMG93" s="491"/>
      <c r="DMH93" s="491"/>
      <c r="DMI93" s="491"/>
      <c r="DMJ93" s="491"/>
      <c r="DMK93" s="491"/>
      <c r="DML93" s="491"/>
      <c r="DMM93" s="491"/>
      <c r="DMN93" s="491"/>
      <c r="DMO93" s="491"/>
      <c r="DMP93" s="491"/>
      <c r="DMQ93" s="491"/>
      <c r="DMR93" s="491"/>
      <c r="DMS93" s="492"/>
      <c r="DMT93" s="492"/>
      <c r="DMU93" s="492"/>
      <c r="DMV93" s="492"/>
      <c r="DMW93" s="493"/>
      <c r="DMX93" s="493"/>
      <c r="DMY93" s="192"/>
      <c r="DMZ93" s="489"/>
      <c r="DNA93" s="489"/>
      <c r="DNB93" s="490"/>
      <c r="DNC93" s="490"/>
      <c r="DND93" s="491"/>
      <c r="DNE93" s="491"/>
      <c r="DNF93" s="491"/>
      <c r="DNG93" s="491"/>
      <c r="DNH93" s="491"/>
      <c r="DNI93" s="491"/>
      <c r="DNJ93" s="491"/>
      <c r="DNK93" s="491"/>
      <c r="DNL93" s="491"/>
      <c r="DNM93" s="491"/>
      <c r="DNN93" s="491"/>
      <c r="DNO93" s="491"/>
      <c r="DNP93" s="491"/>
      <c r="DNQ93" s="491"/>
      <c r="DNR93" s="491"/>
      <c r="DNS93" s="491"/>
      <c r="DNT93" s="491"/>
      <c r="DNU93" s="491"/>
      <c r="DNV93" s="491"/>
      <c r="DNW93" s="491"/>
      <c r="DNX93" s="491"/>
      <c r="DNY93" s="491"/>
      <c r="DNZ93" s="491"/>
      <c r="DOA93" s="491"/>
      <c r="DOB93" s="491"/>
      <c r="DOC93" s="491"/>
      <c r="DOD93" s="491"/>
      <c r="DOE93" s="491"/>
      <c r="DOF93" s="491"/>
      <c r="DOG93" s="491"/>
      <c r="DOH93" s="491"/>
      <c r="DOI93" s="491"/>
      <c r="DOJ93" s="491"/>
      <c r="DOK93" s="491"/>
      <c r="DOL93" s="492"/>
      <c r="DOM93" s="492"/>
      <c r="DON93" s="492"/>
      <c r="DOO93" s="492"/>
      <c r="DOP93" s="493"/>
      <c r="DOQ93" s="493"/>
      <c r="DOR93" s="192"/>
      <c r="DOS93" s="489"/>
      <c r="DOT93" s="489"/>
      <c r="DOU93" s="490"/>
      <c r="DOV93" s="490"/>
      <c r="DOW93" s="491"/>
      <c r="DOX93" s="491"/>
      <c r="DOY93" s="491"/>
      <c r="DOZ93" s="491"/>
      <c r="DPA93" s="491"/>
      <c r="DPB93" s="491"/>
      <c r="DPC93" s="491"/>
      <c r="DPD93" s="491"/>
      <c r="DPE93" s="491"/>
      <c r="DPF93" s="491"/>
      <c r="DPG93" s="491"/>
      <c r="DPH93" s="491"/>
      <c r="DPI93" s="491"/>
      <c r="DPJ93" s="491"/>
      <c r="DPK93" s="491"/>
      <c r="DPL93" s="491"/>
      <c r="DPM93" s="491"/>
      <c r="DPN93" s="491"/>
      <c r="DPO93" s="491"/>
      <c r="DPP93" s="491"/>
      <c r="DPQ93" s="491"/>
      <c r="DPR93" s="491"/>
      <c r="DPS93" s="491"/>
      <c r="DPT93" s="491"/>
      <c r="DPU93" s="491"/>
      <c r="DPV93" s="491"/>
      <c r="DPW93" s="491"/>
      <c r="DPX93" s="491"/>
      <c r="DPY93" s="491"/>
      <c r="DPZ93" s="491"/>
      <c r="DQA93" s="491"/>
      <c r="DQB93" s="491"/>
      <c r="DQC93" s="491"/>
      <c r="DQD93" s="491"/>
      <c r="DQE93" s="492"/>
      <c r="DQF93" s="492"/>
      <c r="DQG93" s="492"/>
      <c r="DQH93" s="492"/>
      <c r="DQI93" s="493"/>
      <c r="DQJ93" s="493"/>
      <c r="DQK93" s="192"/>
      <c r="DQL93" s="489"/>
      <c r="DQM93" s="489"/>
      <c r="DQN93" s="490"/>
      <c r="DQO93" s="490"/>
      <c r="DQP93" s="491"/>
      <c r="DQQ93" s="491"/>
      <c r="DQR93" s="491"/>
      <c r="DQS93" s="491"/>
      <c r="DQT93" s="491"/>
      <c r="DQU93" s="491"/>
      <c r="DQV93" s="491"/>
      <c r="DQW93" s="491"/>
      <c r="DQX93" s="491"/>
      <c r="DQY93" s="491"/>
      <c r="DQZ93" s="491"/>
      <c r="DRA93" s="491"/>
      <c r="DRB93" s="491"/>
      <c r="DRC93" s="491"/>
      <c r="DRD93" s="491"/>
      <c r="DRE93" s="491"/>
      <c r="DRF93" s="491"/>
      <c r="DRG93" s="491"/>
      <c r="DRH93" s="491"/>
      <c r="DRI93" s="491"/>
      <c r="DRJ93" s="491"/>
      <c r="DRK93" s="491"/>
      <c r="DRL93" s="491"/>
      <c r="DRM93" s="491"/>
      <c r="DRN93" s="491"/>
      <c r="DRO93" s="491"/>
      <c r="DRP93" s="491"/>
      <c r="DRQ93" s="491"/>
      <c r="DRR93" s="491"/>
      <c r="DRS93" s="491"/>
      <c r="DRT93" s="491"/>
      <c r="DRU93" s="491"/>
      <c r="DRV93" s="491"/>
      <c r="DRW93" s="491"/>
      <c r="DRX93" s="492"/>
      <c r="DRY93" s="492"/>
      <c r="DRZ93" s="492"/>
      <c r="DSA93" s="492"/>
      <c r="DSB93" s="493"/>
      <c r="DSC93" s="493"/>
      <c r="DSD93" s="192"/>
      <c r="DSE93" s="489"/>
      <c r="DSF93" s="489"/>
      <c r="DSG93" s="490"/>
      <c r="DSH93" s="490"/>
      <c r="DSI93" s="491"/>
      <c r="DSJ93" s="491"/>
      <c r="DSK93" s="491"/>
      <c r="DSL93" s="491"/>
      <c r="DSM93" s="491"/>
      <c r="DSN93" s="491"/>
      <c r="DSO93" s="491"/>
      <c r="DSP93" s="491"/>
      <c r="DSQ93" s="491"/>
      <c r="DSR93" s="491"/>
      <c r="DSS93" s="491"/>
      <c r="DST93" s="491"/>
      <c r="DSU93" s="491"/>
      <c r="DSV93" s="491"/>
      <c r="DSW93" s="491"/>
      <c r="DSX93" s="491"/>
      <c r="DSY93" s="491"/>
      <c r="DSZ93" s="491"/>
      <c r="DTA93" s="491"/>
      <c r="DTB93" s="491"/>
      <c r="DTC93" s="491"/>
      <c r="DTD93" s="491"/>
      <c r="DTE93" s="491"/>
      <c r="DTF93" s="491"/>
      <c r="DTG93" s="491"/>
      <c r="DTH93" s="491"/>
      <c r="DTI93" s="491"/>
      <c r="DTJ93" s="491"/>
      <c r="DTK93" s="491"/>
      <c r="DTL93" s="491"/>
      <c r="DTM93" s="491"/>
      <c r="DTN93" s="491"/>
      <c r="DTO93" s="491"/>
      <c r="DTP93" s="491"/>
      <c r="DTQ93" s="492"/>
      <c r="DTR93" s="492"/>
      <c r="DTS93" s="492"/>
      <c r="DTT93" s="492"/>
      <c r="DTU93" s="493"/>
      <c r="DTV93" s="493"/>
      <c r="DTW93" s="192"/>
      <c r="DTX93" s="489"/>
      <c r="DTY93" s="489"/>
      <c r="DTZ93" s="490"/>
      <c r="DUA93" s="490"/>
      <c r="DUB93" s="491"/>
      <c r="DUC93" s="491"/>
      <c r="DUD93" s="491"/>
      <c r="DUE93" s="491"/>
      <c r="DUF93" s="491"/>
      <c r="DUG93" s="491"/>
      <c r="DUH93" s="491"/>
      <c r="DUI93" s="491"/>
      <c r="DUJ93" s="491"/>
      <c r="DUK93" s="491"/>
      <c r="DUL93" s="491"/>
      <c r="DUM93" s="491"/>
      <c r="DUN93" s="491"/>
      <c r="DUO93" s="491"/>
      <c r="DUP93" s="491"/>
      <c r="DUQ93" s="491"/>
      <c r="DUR93" s="491"/>
      <c r="DUS93" s="491"/>
      <c r="DUT93" s="491"/>
      <c r="DUU93" s="491"/>
      <c r="DUV93" s="491"/>
      <c r="DUW93" s="491"/>
      <c r="DUX93" s="491"/>
      <c r="DUY93" s="491"/>
      <c r="DUZ93" s="491"/>
      <c r="DVA93" s="491"/>
      <c r="DVB93" s="491"/>
      <c r="DVC93" s="491"/>
      <c r="DVD93" s="491"/>
      <c r="DVE93" s="491"/>
      <c r="DVF93" s="491"/>
      <c r="DVG93" s="491"/>
      <c r="DVH93" s="491"/>
      <c r="DVI93" s="491"/>
      <c r="DVJ93" s="492"/>
      <c r="DVK93" s="492"/>
      <c r="DVL93" s="492"/>
      <c r="DVM93" s="492"/>
      <c r="DVN93" s="493"/>
      <c r="DVO93" s="493"/>
      <c r="DVP93" s="192"/>
      <c r="DVQ93" s="489"/>
      <c r="DVR93" s="489"/>
      <c r="DVS93" s="490"/>
      <c r="DVT93" s="490"/>
      <c r="DVU93" s="491"/>
      <c r="DVV93" s="491"/>
      <c r="DVW93" s="491"/>
      <c r="DVX93" s="491"/>
      <c r="DVY93" s="491"/>
      <c r="DVZ93" s="491"/>
      <c r="DWA93" s="491"/>
      <c r="DWB93" s="491"/>
      <c r="DWC93" s="491"/>
      <c r="DWD93" s="491"/>
      <c r="DWE93" s="491"/>
      <c r="DWF93" s="491"/>
      <c r="DWG93" s="491"/>
      <c r="DWH93" s="491"/>
      <c r="DWI93" s="491"/>
      <c r="DWJ93" s="491"/>
      <c r="DWK93" s="491"/>
      <c r="DWL93" s="491"/>
      <c r="DWM93" s="491"/>
      <c r="DWN93" s="491"/>
      <c r="DWO93" s="491"/>
      <c r="DWP93" s="491"/>
      <c r="DWQ93" s="491"/>
      <c r="DWR93" s="491"/>
      <c r="DWS93" s="491"/>
      <c r="DWT93" s="491"/>
      <c r="DWU93" s="491"/>
      <c r="DWV93" s="491"/>
      <c r="DWW93" s="491"/>
      <c r="DWX93" s="491"/>
      <c r="DWY93" s="491"/>
      <c r="DWZ93" s="491"/>
      <c r="DXA93" s="491"/>
      <c r="DXB93" s="491"/>
      <c r="DXC93" s="492"/>
      <c r="DXD93" s="492"/>
      <c r="DXE93" s="492"/>
      <c r="DXF93" s="492"/>
      <c r="DXG93" s="493"/>
      <c r="DXH93" s="493"/>
      <c r="DXI93" s="192"/>
      <c r="DXJ93" s="489"/>
      <c r="DXK93" s="489"/>
      <c r="DXL93" s="490"/>
      <c r="DXM93" s="490"/>
      <c r="DXN93" s="491"/>
      <c r="DXO93" s="491"/>
      <c r="DXP93" s="491"/>
      <c r="DXQ93" s="491"/>
      <c r="DXR93" s="491"/>
      <c r="DXS93" s="491"/>
      <c r="DXT93" s="491"/>
      <c r="DXU93" s="491"/>
      <c r="DXV93" s="491"/>
      <c r="DXW93" s="491"/>
      <c r="DXX93" s="491"/>
      <c r="DXY93" s="491"/>
      <c r="DXZ93" s="491"/>
      <c r="DYA93" s="491"/>
      <c r="DYB93" s="491"/>
      <c r="DYC93" s="491"/>
      <c r="DYD93" s="491"/>
      <c r="DYE93" s="491"/>
      <c r="DYF93" s="491"/>
      <c r="DYG93" s="491"/>
      <c r="DYH93" s="491"/>
      <c r="DYI93" s="491"/>
      <c r="DYJ93" s="491"/>
      <c r="DYK93" s="491"/>
      <c r="DYL93" s="491"/>
      <c r="DYM93" s="491"/>
      <c r="DYN93" s="491"/>
      <c r="DYO93" s="491"/>
      <c r="DYP93" s="491"/>
      <c r="DYQ93" s="491"/>
      <c r="DYR93" s="491"/>
      <c r="DYS93" s="491"/>
      <c r="DYT93" s="491"/>
      <c r="DYU93" s="491"/>
      <c r="DYV93" s="492"/>
      <c r="DYW93" s="492"/>
      <c r="DYX93" s="492"/>
      <c r="DYY93" s="492"/>
      <c r="DYZ93" s="493"/>
      <c r="DZA93" s="493"/>
      <c r="DZB93" s="192"/>
      <c r="DZC93" s="489"/>
      <c r="DZD93" s="489"/>
      <c r="DZE93" s="490"/>
      <c r="DZF93" s="490"/>
      <c r="DZG93" s="491"/>
      <c r="DZH93" s="491"/>
      <c r="DZI93" s="491"/>
      <c r="DZJ93" s="491"/>
      <c r="DZK93" s="491"/>
      <c r="DZL93" s="491"/>
      <c r="DZM93" s="491"/>
      <c r="DZN93" s="491"/>
      <c r="DZO93" s="491"/>
      <c r="DZP93" s="491"/>
      <c r="DZQ93" s="491"/>
      <c r="DZR93" s="491"/>
      <c r="DZS93" s="491"/>
      <c r="DZT93" s="491"/>
      <c r="DZU93" s="491"/>
      <c r="DZV93" s="491"/>
      <c r="DZW93" s="491"/>
      <c r="DZX93" s="491"/>
      <c r="DZY93" s="491"/>
      <c r="DZZ93" s="491"/>
      <c r="EAA93" s="491"/>
      <c r="EAB93" s="491"/>
      <c r="EAC93" s="491"/>
      <c r="EAD93" s="491"/>
      <c r="EAE93" s="491"/>
      <c r="EAF93" s="491"/>
      <c r="EAG93" s="491"/>
      <c r="EAH93" s="491"/>
      <c r="EAI93" s="491"/>
      <c r="EAJ93" s="491"/>
      <c r="EAK93" s="491"/>
      <c r="EAL93" s="491"/>
      <c r="EAM93" s="491"/>
      <c r="EAN93" s="491"/>
      <c r="EAO93" s="492"/>
      <c r="EAP93" s="492"/>
      <c r="EAQ93" s="492"/>
      <c r="EAR93" s="492"/>
      <c r="EAS93" s="493"/>
      <c r="EAT93" s="493"/>
      <c r="EAU93" s="192"/>
      <c r="EAV93" s="489"/>
      <c r="EAW93" s="489"/>
      <c r="EAX93" s="490"/>
      <c r="EAY93" s="490"/>
      <c r="EAZ93" s="491"/>
      <c r="EBA93" s="491"/>
      <c r="EBB93" s="491"/>
      <c r="EBC93" s="491"/>
      <c r="EBD93" s="491"/>
      <c r="EBE93" s="491"/>
      <c r="EBF93" s="491"/>
      <c r="EBG93" s="491"/>
      <c r="EBH93" s="491"/>
      <c r="EBI93" s="491"/>
      <c r="EBJ93" s="491"/>
      <c r="EBK93" s="491"/>
      <c r="EBL93" s="491"/>
      <c r="EBM93" s="491"/>
      <c r="EBN93" s="491"/>
      <c r="EBO93" s="491"/>
      <c r="EBP93" s="491"/>
      <c r="EBQ93" s="491"/>
      <c r="EBR93" s="491"/>
      <c r="EBS93" s="491"/>
      <c r="EBT93" s="491"/>
      <c r="EBU93" s="491"/>
      <c r="EBV93" s="491"/>
      <c r="EBW93" s="491"/>
      <c r="EBX93" s="491"/>
      <c r="EBY93" s="491"/>
      <c r="EBZ93" s="491"/>
      <c r="ECA93" s="491"/>
      <c r="ECB93" s="491"/>
      <c r="ECC93" s="491"/>
      <c r="ECD93" s="491"/>
      <c r="ECE93" s="491"/>
      <c r="ECF93" s="491"/>
      <c r="ECG93" s="491"/>
      <c r="ECH93" s="492"/>
      <c r="ECI93" s="492"/>
      <c r="ECJ93" s="492"/>
      <c r="ECK93" s="492"/>
      <c r="ECL93" s="493"/>
      <c r="ECM93" s="493"/>
      <c r="ECN93" s="192"/>
      <c r="ECO93" s="489"/>
      <c r="ECP93" s="489"/>
      <c r="ECQ93" s="490"/>
      <c r="ECR93" s="490"/>
      <c r="ECS93" s="491"/>
      <c r="ECT93" s="491"/>
      <c r="ECU93" s="491"/>
      <c r="ECV93" s="491"/>
      <c r="ECW93" s="491"/>
      <c r="ECX93" s="491"/>
      <c r="ECY93" s="491"/>
      <c r="ECZ93" s="491"/>
      <c r="EDA93" s="491"/>
      <c r="EDB93" s="491"/>
      <c r="EDC93" s="491"/>
      <c r="EDD93" s="491"/>
      <c r="EDE93" s="491"/>
      <c r="EDF93" s="491"/>
      <c r="EDG93" s="491"/>
      <c r="EDH93" s="491"/>
      <c r="EDI93" s="491"/>
      <c r="EDJ93" s="491"/>
      <c r="EDK93" s="491"/>
      <c r="EDL93" s="491"/>
      <c r="EDM93" s="491"/>
      <c r="EDN93" s="491"/>
      <c r="EDO93" s="491"/>
      <c r="EDP93" s="491"/>
      <c r="EDQ93" s="491"/>
      <c r="EDR93" s="491"/>
      <c r="EDS93" s="491"/>
      <c r="EDT93" s="491"/>
      <c r="EDU93" s="491"/>
      <c r="EDV93" s="491"/>
      <c r="EDW93" s="491"/>
      <c r="EDX93" s="491"/>
      <c r="EDY93" s="491"/>
      <c r="EDZ93" s="491"/>
      <c r="EEA93" s="492"/>
      <c r="EEB93" s="492"/>
      <c r="EEC93" s="492"/>
      <c r="EED93" s="492"/>
      <c r="EEE93" s="493"/>
      <c r="EEF93" s="493"/>
      <c r="EEG93" s="192"/>
      <c r="EEH93" s="489"/>
      <c r="EEI93" s="489"/>
      <c r="EEJ93" s="490"/>
      <c r="EEK93" s="490"/>
      <c r="EEL93" s="491"/>
      <c r="EEM93" s="491"/>
      <c r="EEN93" s="491"/>
      <c r="EEO93" s="491"/>
      <c r="EEP93" s="491"/>
      <c r="EEQ93" s="491"/>
      <c r="EER93" s="491"/>
      <c r="EES93" s="491"/>
      <c r="EET93" s="491"/>
      <c r="EEU93" s="491"/>
      <c r="EEV93" s="491"/>
      <c r="EEW93" s="491"/>
      <c r="EEX93" s="491"/>
      <c r="EEY93" s="491"/>
      <c r="EEZ93" s="491"/>
      <c r="EFA93" s="491"/>
      <c r="EFB93" s="491"/>
      <c r="EFC93" s="491"/>
      <c r="EFD93" s="491"/>
      <c r="EFE93" s="491"/>
      <c r="EFF93" s="491"/>
      <c r="EFG93" s="491"/>
      <c r="EFH93" s="491"/>
      <c r="EFI93" s="491"/>
      <c r="EFJ93" s="491"/>
      <c r="EFK93" s="491"/>
      <c r="EFL93" s="491"/>
      <c r="EFM93" s="491"/>
      <c r="EFN93" s="491"/>
      <c r="EFO93" s="491"/>
      <c r="EFP93" s="491"/>
      <c r="EFQ93" s="491"/>
      <c r="EFR93" s="491"/>
      <c r="EFS93" s="491"/>
      <c r="EFT93" s="492"/>
      <c r="EFU93" s="492"/>
      <c r="EFV93" s="492"/>
      <c r="EFW93" s="492"/>
      <c r="EFX93" s="493"/>
      <c r="EFY93" s="493"/>
      <c r="EFZ93" s="192"/>
      <c r="EGA93" s="489"/>
      <c r="EGB93" s="489"/>
      <c r="EGC93" s="490"/>
      <c r="EGD93" s="490"/>
      <c r="EGE93" s="491"/>
      <c r="EGF93" s="491"/>
      <c r="EGG93" s="491"/>
      <c r="EGH93" s="491"/>
      <c r="EGI93" s="491"/>
      <c r="EGJ93" s="491"/>
      <c r="EGK93" s="491"/>
      <c r="EGL93" s="491"/>
      <c r="EGM93" s="491"/>
      <c r="EGN93" s="491"/>
      <c r="EGO93" s="491"/>
      <c r="EGP93" s="491"/>
      <c r="EGQ93" s="491"/>
      <c r="EGR93" s="491"/>
      <c r="EGS93" s="491"/>
      <c r="EGT93" s="491"/>
      <c r="EGU93" s="491"/>
      <c r="EGV93" s="491"/>
      <c r="EGW93" s="491"/>
      <c r="EGX93" s="491"/>
      <c r="EGY93" s="491"/>
      <c r="EGZ93" s="491"/>
      <c r="EHA93" s="491"/>
      <c r="EHB93" s="491"/>
      <c r="EHC93" s="491"/>
      <c r="EHD93" s="491"/>
      <c r="EHE93" s="491"/>
      <c r="EHF93" s="491"/>
      <c r="EHG93" s="491"/>
      <c r="EHH93" s="491"/>
      <c r="EHI93" s="491"/>
      <c r="EHJ93" s="491"/>
      <c r="EHK93" s="491"/>
      <c r="EHL93" s="491"/>
      <c r="EHM93" s="492"/>
      <c r="EHN93" s="492"/>
      <c r="EHO93" s="492"/>
      <c r="EHP93" s="492"/>
      <c r="EHQ93" s="493"/>
      <c r="EHR93" s="493"/>
      <c r="EHS93" s="192"/>
      <c r="EHT93" s="489"/>
      <c r="EHU93" s="489"/>
      <c r="EHV93" s="490"/>
      <c r="EHW93" s="490"/>
      <c r="EHX93" s="491"/>
      <c r="EHY93" s="491"/>
      <c r="EHZ93" s="491"/>
      <c r="EIA93" s="491"/>
      <c r="EIB93" s="491"/>
      <c r="EIC93" s="491"/>
      <c r="EID93" s="491"/>
      <c r="EIE93" s="491"/>
      <c r="EIF93" s="491"/>
      <c r="EIG93" s="491"/>
      <c r="EIH93" s="491"/>
      <c r="EII93" s="491"/>
      <c r="EIJ93" s="491"/>
      <c r="EIK93" s="491"/>
      <c r="EIL93" s="491"/>
      <c r="EIM93" s="491"/>
      <c r="EIN93" s="491"/>
      <c r="EIO93" s="491"/>
      <c r="EIP93" s="491"/>
      <c r="EIQ93" s="491"/>
      <c r="EIR93" s="491"/>
      <c r="EIS93" s="491"/>
      <c r="EIT93" s="491"/>
      <c r="EIU93" s="491"/>
      <c r="EIV93" s="491"/>
      <c r="EIW93" s="491"/>
      <c r="EIX93" s="491"/>
      <c r="EIY93" s="491"/>
      <c r="EIZ93" s="491"/>
      <c r="EJA93" s="491"/>
      <c r="EJB93" s="491"/>
      <c r="EJC93" s="491"/>
      <c r="EJD93" s="491"/>
      <c r="EJE93" s="491"/>
      <c r="EJF93" s="492"/>
      <c r="EJG93" s="492"/>
      <c r="EJH93" s="492"/>
      <c r="EJI93" s="492"/>
      <c r="EJJ93" s="493"/>
      <c r="EJK93" s="493"/>
      <c r="EJL93" s="192"/>
      <c r="EJM93" s="489"/>
      <c r="EJN93" s="489"/>
      <c r="EJO93" s="490"/>
      <c r="EJP93" s="490"/>
      <c r="EJQ93" s="491"/>
      <c r="EJR93" s="491"/>
      <c r="EJS93" s="491"/>
      <c r="EJT93" s="491"/>
      <c r="EJU93" s="491"/>
      <c r="EJV93" s="491"/>
      <c r="EJW93" s="491"/>
      <c r="EJX93" s="491"/>
      <c r="EJY93" s="491"/>
      <c r="EJZ93" s="491"/>
      <c r="EKA93" s="491"/>
      <c r="EKB93" s="491"/>
      <c r="EKC93" s="491"/>
      <c r="EKD93" s="491"/>
      <c r="EKE93" s="491"/>
      <c r="EKF93" s="491"/>
      <c r="EKG93" s="491"/>
      <c r="EKH93" s="491"/>
      <c r="EKI93" s="491"/>
      <c r="EKJ93" s="491"/>
      <c r="EKK93" s="491"/>
      <c r="EKL93" s="491"/>
      <c r="EKM93" s="491"/>
      <c r="EKN93" s="491"/>
      <c r="EKO93" s="491"/>
      <c r="EKP93" s="491"/>
      <c r="EKQ93" s="491"/>
      <c r="EKR93" s="491"/>
      <c r="EKS93" s="491"/>
      <c r="EKT93" s="491"/>
      <c r="EKU93" s="491"/>
      <c r="EKV93" s="491"/>
      <c r="EKW93" s="491"/>
      <c r="EKX93" s="491"/>
      <c r="EKY93" s="492"/>
      <c r="EKZ93" s="492"/>
      <c r="ELA93" s="492"/>
      <c r="ELB93" s="492"/>
      <c r="ELC93" s="493"/>
      <c r="ELD93" s="493"/>
      <c r="ELE93" s="192"/>
      <c r="ELF93" s="489"/>
      <c r="ELG93" s="489"/>
      <c r="ELH93" s="490"/>
      <c r="ELI93" s="490"/>
      <c r="ELJ93" s="491"/>
      <c r="ELK93" s="491"/>
      <c r="ELL93" s="491"/>
      <c r="ELM93" s="491"/>
      <c r="ELN93" s="491"/>
      <c r="ELO93" s="491"/>
      <c r="ELP93" s="491"/>
      <c r="ELQ93" s="491"/>
      <c r="ELR93" s="491"/>
      <c r="ELS93" s="491"/>
      <c r="ELT93" s="491"/>
      <c r="ELU93" s="491"/>
      <c r="ELV93" s="491"/>
      <c r="ELW93" s="491"/>
      <c r="ELX93" s="491"/>
      <c r="ELY93" s="491"/>
      <c r="ELZ93" s="491"/>
      <c r="EMA93" s="491"/>
      <c r="EMB93" s="491"/>
      <c r="EMC93" s="491"/>
      <c r="EMD93" s="491"/>
      <c r="EME93" s="491"/>
      <c r="EMF93" s="491"/>
      <c r="EMG93" s="491"/>
      <c r="EMH93" s="491"/>
      <c r="EMI93" s="491"/>
      <c r="EMJ93" s="491"/>
      <c r="EMK93" s="491"/>
      <c r="EML93" s="491"/>
      <c r="EMM93" s="491"/>
      <c r="EMN93" s="491"/>
      <c r="EMO93" s="491"/>
      <c r="EMP93" s="491"/>
      <c r="EMQ93" s="491"/>
      <c r="EMR93" s="492"/>
      <c r="EMS93" s="492"/>
      <c r="EMT93" s="492"/>
      <c r="EMU93" s="492"/>
      <c r="EMV93" s="493"/>
      <c r="EMW93" s="493"/>
      <c r="EMX93" s="192"/>
      <c r="EMY93" s="489"/>
      <c r="EMZ93" s="489"/>
      <c r="ENA93" s="490"/>
      <c r="ENB93" s="490"/>
      <c r="ENC93" s="491"/>
      <c r="END93" s="491"/>
      <c r="ENE93" s="491"/>
      <c r="ENF93" s="491"/>
      <c r="ENG93" s="491"/>
      <c r="ENH93" s="491"/>
      <c r="ENI93" s="491"/>
      <c r="ENJ93" s="491"/>
      <c r="ENK93" s="491"/>
      <c r="ENL93" s="491"/>
      <c r="ENM93" s="491"/>
      <c r="ENN93" s="491"/>
      <c r="ENO93" s="491"/>
      <c r="ENP93" s="491"/>
      <c r="ENQ93" s="491"/>
      <c r="ENR93" s="491"/>
      <c r="ENS93" s="491"/>
      <c r="ENT93" s="491"/>
      <c r="ENU93" s="491"/>
      <c r="ENV93" s="491"/>
      <c r="ENW93" s="491"/>
      <c r="ENX93" s="491"/>
      <c r="ENY93" s="491"/>
      <c r="ENZ93" s="491"/>
      <c r="EOA93" s="491"/>
      <c r="EOB93" s="491"/>
      <c r="EOC93" s="491"/>
      <c r="EOD93" s="491"/>
      <c r="EOE93" s="491"/>
      <c r="EOF93" s="491"/>
      <c r="EOG93" s="491"/>
      <c r="EOH93" s="491"/>
      <c r="EOI93" s="491"/>
      <c r="EOJ93" s="491"/>
      <c r="EOK93" s="492"/>
      <c r="EOL93" s="492"/>
      <c r="EOM93" s="492"/>
      <c r="EON93" s="492"/>
      <c r="EOO93" s="493"/>
      <c r="EOP93" s="493"/>
      <c r="EOQ93" s="192"/>
      <c r="EOR93" s="489"/>
      <c r="EOS93" s="489"/>
      <c r="EOT93" s="490"/>
      <c r="EOU93" s="490"/>
      <c r="EOV93" s="491"/>
      <c r="EOW93" s="491"/>
      <c r="EOX93" s="491"/>
      <c r="EOY93" s="491"/>
      <c r="EOZ93" s="491"/>
      <c r="EPA93" s="491"/>
      <c r="EPB93" s="491"/>
      <c r="EPC93" s="491"/>
      <c r="EPD93" s="491"/>
      <c r="EPE93" s="491"/>
      <c r="EPF93" s="491"/>
      <c r="EPG93" s="491"/>
      <c r="EPH93" s="491"/>
      <c r="EPI93" s="491"/>
      <c r="EPJ93" s="491"/>
      <c r="EPK93" s="491"/>
      <c r="EPL93" s="491"/>
      <c r="EPM93" s="491"/>
      <c r="EPN93" s="491"/>
      <c r="EPO93" s="491"/>
      <c r="EPP93" s="491"/>
      <c r="EPQ93" s="491"/>
      <c r="EPR93" s="491"/>
      <c r="EPS93" s="491"/>
      <c r="EPT93" s="491"/>
      <c r="EPU93" s="491"/>
      <c r="EPV93" s="491"/>
      <c r="EPW93" s="491"/>
      <c r="EPX93" s="491"/>
      <c r="EPY93" s="491"/>
      <c r="EPZ93" s="491"/>
      <c r="EQA93" s="491"/>
      <c r="EQB93" s="491"/>
      <c r="EQC93" s="491"/>
      <c r="EQD93" s="492"/>
      <c r="EQE93" s="492"/>
      <c r="EQF93" s="492"/>
      <c r="EQG93" s="492"/>
      <c r="EQH93" s="493"/>
      <c r="EQI93" s="493"/>
      <c r="EQJ93" s="192"/>
      <c r="EQK93" s="489"/>
      <c r="EQL93" s="489"/>
      <c r="EQM93" s="490"/>
      <c r="EQN93" s="490"/>
      <c r="EQO93" s="491"/>
      <c r="EQP93" s="491"/>
      <c r="EQQ93" s="491"/>
      <c r="EQR93" s="491"/>
      <c r="EQS93" s="491"/>
      <c r="EQT93" s="491"/>
      <c r="EQU93" s="491"/>
      <c r="EQV93" s="491"/>
      <c r="EQW93" s="491"/>
      <c r="EQX93" s="491"/>
      <c r="EQY93" s="491"/>
      <c r="EQZ93" s="491"/>
      <c r="ERA93" s="491"/>
      <c r="ERB93" s="491"/>
      <c r="ERC93" s="491"/>
      <c r="ERD93" s="491"/>
      <c r="ERE93" s="491"/>
      <c r="ERF93" s="491"/>
      <c r="ERG93" s="491"/>
      <c r="ERH93" s="491"/>
      <c r="ERI93" s="491"/>
      <c r="ERJ93" s="491"/>
      <c r="ERK93" s="491"/>
      <c r="ERL93" s="491"/>
      <c r="ERM93" s="491"/>
      <c r="ERN93" s="491"/>
      <c r="ERO93" s="491"/>
      <c r="ERP93" s="491"/>
      <c r="ERQ93" s="491"/>
      <c r="ERR93" s="491"/>
      <c r="ERS93" s="491"/>
      <c r="ERT93" s="491"/>
      <c r="ERU93" s="491"/>
      <c r="ERV93" s="491"/>
      <c r="ERW93" s="492"/>
      <c r="ERX93" s="492"/>
      <c r="ERY93" s="492"/>
      <c r="ERZ93" s="492"/>
      <c r="ESA93" s="493"/>
      <c r="ESB93" s="493"/>
      <c r="ESC93" s="192"/>
      <c r="ESD93" s="489"/>
      <c r="ESE93" s="489"/>
      <c r="ESF93" s="490"/>
      <c r="ESG93" s="490"/>
      <c r="ESH93" s="491"/>
      <c r="ESI93" s="491"/>
      <c r="ESJ93" s="491"/>
      <c r="ESK93" s="491"/>
      <c r="ESL93" s="491"/>
      <c r="ESM93" s="491"/>
      <c r="ESN93" s="491"/>
      <c r="ESO93" s="491"/>
      <c r="ESP93" s="491"/>
      <c r="ESQ93" s="491"/>
      <c r="ESR93" s="491"/>
      <c r="ESS93" s="491"/>
      <c r="EST93" s="491"/>
      <c r="ESU93" s="491"/>
      <c r="ESV93" s="491"/>
      <c r="ESW93" s="491"/>
      <c r="ESX93" s="491"/>
      <c r="ESY93" s="491"/>
      <c r="ESZ93" s="491"/>
      <c r="ETA93" s="491"/>
      <c r="ETB93" s="491"/>
      <c r="ETC93" s="491"/>
      <c r="ETD93" s="491"/>
      <c r="ETE93" s="491"/>
      <c r="ETF93" s="491"/>
      <c r="ETG93" s="491"/>
      <c r="ETH93" s="491"/>
      <c r="ETI93" s="491"/>
      <c r="ETJ93" s="491"/>
      <c r="ETK93" s="491"/>
      <c r="ETL93" s="491"/>
      <c r="ETM93" s="491"/>
      <c r="ETN93" s="491"/>
      <c r="ETO93" s="491"/>
      <c r="ETP93" s="492"/>
      <c r="ETQ93" s="492"/>
      <c r="ETR93" s="492"/>
      <c r="ETS93" s="492"/>
      <c r="ETT93" s="493"/>
      <c r="ETU93" s="493"/>
      <c r="ETV93" s="192"/>
      <c r="ETW93" s="489"/>
      <c r="ETX93" s="489"/>
      <c r="ETY93" s="490"/>
      <c r="ETZ93" s="490"/>
      <c r="EUA93" s="491"/>
      <c r="EUB93" s="491"/>
      <c r="EUC93" s="491"/>
      <c r="EUD93" s="491"/>
      <c r="EUE93" s="491"/>
      <c r="EUF93" s="491"/>
      <c r="EUG93" s="491"/>
      <c r="EUH93" s="491"/>
      <c r="EUI93" s="491"/>
      <c r="EUJ93" s="491"/>
      <c r="EUK93" s="491"/>
      <c r="EUL93" s="491"/>
      <c r="EUM93" s="491"/>
      <c r="EUN93" s="491"/>
      <c r="EUO93" s="491"/>
      <c r="EUP93" s="491"/>
      <c r="EUQ93" s="491"/>
      <c r="EUR93" s="491"/>
      <c r="EUS93" s="491"/>
      <c r="EUT93" s="491"/>
      <c r="EUU93" s="491"/>
      <c r="EUV93" s="491"/>
      <c r="EUW93" s="491"/>
      <c r="EUX93" s="491"/>
      <c r="EUY93" s="491"/>
      <c r="EUZ93" s="491"/>
      <c r="EVA93" s="491"/>
      <c r="EVB93" s="491"/>
      <c r="EVC93" s="491"/>
      <c r="EVD93" s="491"/>
      <c r="EVE93" s="491"/>
      <c r="EVF93" s="491"/>
      <c r="EVG93" s="491"/>
      <c r="EVH93" s="491"/>
      <c r="EVI93" s="492"/>
      <c r="EVJ93" s="492"/>
      <c r="EVK93" s="492"/>
      <c r="EVL93" s="492"/>
      <c r="EVM93" s="493"/>
      <c r="EVN93" s="493"/>
      <c r="EVO93" s="192"/>
      <c r="EVP93" s="489"/>
      <c r="EVQ93" s="489"/>
      <c r="EVR93" s="490"/>
      <c r="EVS93" s="490"/>
      <c r="EVT93" s="491"/>
      <c r="EVU93" s="491"/>
      <c r="EVV93" s="491"/>
      <c r="EVW93" s="491"/>
      <c r="EVX93" s="491"/>
      <c r="EVY93" s="491"/>
      <c r="EVZ93" s="491"/>
      <c r="EWA93" s="491"/>
      <c r="EWB93" s="491"/>
      <c r="EWC93" s="491"/>
      <c r="EWD93" s="491"/>
      <c r="EWE93" s="491"/>
      <c r="EWF93" s="491"/>
      <c r="EWG93" s="491"/>
      <c r="EWH93" s="491"/>
      <c r="EWI93" s="491"/>
      <c r="EWJ93" s="491"/>
      <c r="EWK93" s="491"/>
      <c r="EWL93" s="491"/>
      <c r="EWM93" s="491"/>
      <c r="EWN93" s="491"/>
      <c r="EWO93" s="491"/>
      <c r="EWP93" s="491"/>
      <c r="EWQ93" s="491"/>
      <c r="EWR93" s="491"/>
      <c r="EWS93" s="491"/>
      <c r="EWT93" s="491"/>
      <c r="EWU93" s="491"/>
      <c r="EWV93" s="491"/>
      <c r="EWW93" s="491"/>
      <c r="EWX93" s="491"/>
      <c r="EWY93" s="491"/>
      <c r="EWZ93" s="491"/>
      <c r="EXA93" s="491"/>
      <c r="EXB93" s="492"/>
      <c r="EXC93" s="492"/>
      <c r="EXD93" s="492"/>
      <c r="EXE93" s="492"/>
      <c r="EXF93" s="493"/>
      <c r="EXG93" s="493"/>
      <c r="EXH93" s="192"/>
      <c r="EXI93" s="489"/>
      <c r="EXJ93" s="489"/>
      <c r="EXK93" s="490"/>
      <c r="EXL93" s="490"/>
      <c r="EXM93" s="491"/>
      <c r="EXN93" s="491"/>
      <c r="EXO93" s="491"/>
      <c r="EXP93" s="491"/>
      <c r="EXQ93" s="491"/>
      <c r="EXR93" s="491"/>
      <c r="EXS93" s="491"/>
      <c r="EXT93" s="491"/>
      <c r="EXU93" s="491"/>
      <c r="EXV93" s="491"/>
      <c r="EXW93" s="491"/>
      <c r="EXX93" s="491"/>
      <c r="EXY93" s="491"/>
      <c r="EXZ93" s="491"/>
      <c r="EYA93" s="491"/>
      <c r="EYB93" s="491"/>
      <c r="EYC93" s="491"/>
      <c r="EYD93" s="491"/>
      <c r="EYE93" s="491"/>
      <c r="EYF93" s="491"/>
      <c r="EYG93" s="491"/>
      <c r="EYH93" s="491"/>
      <c r="EYI93" s="491"/>
      <c r="EYJ93" s="491"/>
      <c r="EYK93" s="491"/>
      <c r="EYL93" s="491"/>
      <c r="EYM93" s="491"/>
      <c r="EYN93" s="491"/>
      <c r="EYO93" s="491"/>
      <c r="EYP93" s="491"/>
      <c r="EYQ93" s="491"/>
      <c r="EYR93" s="491"/>
      <c r="EYS93" s="491"/>
      <c r="EYT93" s="491"/>
      <c r="EYU93" s="492"/>
      <c r="EYV93" s="492"/>
      <c r="EYW93" s="492"/>
      <c r="EYX93" s="492"/>
      <c r="EYY93" s="493"/>
      <c r="EYZ93" s="493"/>
      <c r="EZA93" s="192"/>
      <c r="EZB93" s="489"/>
      <c r="EZC93" s="489"/>
      <c r="EZD93" s="490"/>
      <c r="EZE93" s="490"/>
      <c r="EZF93" s="491"/>
      <c r="EZG93" s="491"/>
      <c r="EZH93" s="491"/>
      <c r="EZI93" s="491"/>
      <c r="EZJ93" s="491"/>
      <c r="EZK93" s="491"/>
      <c r="EZL93" s="491"/>
      <c r="EZM93" s="491"/>
      <c r="EZN93" s="491"/>
      <c r="EZO93" s="491"/>
      <c r="EZP93" s="491"/>
      <c r="EZQ93" s="491"/>
      <c r="EZR93" s="491"/>
      <c r="EZS93" s="491"/>
      <c r="EZT93" s="491"/>
      <c r="EZU93" s="491"/>
      <c r="EZV93" s="491"/>
      <c r="EZW93" s="491"/>
      <c r="EZX93" s="491"/>
      <c r="EZY93" s="491"/>
      <c r="EZZ93" s="491"/>
      <c r="FAA93" s="491"/>
      <c r="FAB93" s="491"/>
      <c r="FAC93" s="491"/>
      <c r="FAD93" s="491"/>
      <c r="FAE93" s="491"/>
      <c r="FAF93" s="491"/>
      <c r="FAG93" s="491"/>
      <c r="FAH93" s="491"/>
      <c r="FAI93" s="491"/>
      <c r="FAJ93" s="491"/>
      <c r="FAK93" s="491"/>
      <c r="FAL93" s="491"/>
      <c r="FAM93" s="491"/>
      <c r="FAN93" s="492"/>
      <c r="FAO93" s="492"/>
      <c r="FAP93" s="492"/>
      <c r="FAQ93" s="492"/>
      <c r="FAR93" s="493"/>
      <c r="FAS93" s="493"/>
      <c r="FAT93" s="192"/>
      <c r="FAU93" s="489"/>
      <c r="FAV93" s="489"/>
      <c r="FAW93" s="490"/>
      <c r="FAX93" s="490"/>
      <c r="FAY93" s="491"/>
      <c r="FAZ93" s="491"/>
      <c r="FBA93" s="491"/>
      <c r="FBB93" s="491"/>
      <c r="FBC93" s="491"/>
      <c r="FBD93" s="491"/>
      <c r="FBE93" s="491"/>
      <c r="FBF93" s="491"/>
      <c r="FBG93" s="491"/>
      <c r="FBH93" s="491"/>
      <c r="FBI93" s="491"/>
      <c r="FBJ93" s="491"/>
      <c r="FBK93" s="491"/>
      <c r="FBL93" s="491"/>
      <c r="FBM93" s="491"/>
      <c r="FBN93" s="491"/>
      <c r="FBO93" s="491"/>
      <c r="FBP93" s="491"/>
      <c r="FBQ93" s="491"/>
      <c r="FBR93" s="491"/>
      <c r="FBS93" s="491"/>
      <c r="FBT93" s="491"/>
      <c r="FBU93" s="491"/>
      <c r="FBV93" s="491"/>
      <c r="FBW93" s="491"/>
      <c r="FBX93" s="491"/>
      <c r="FBY93" s="491"/>
      <c r="FBZ93" s="491"/>
      <c r="FCA93" s="491"/>
      <c r="FCB93" s="491"/>
      <c r="FCC93" s="491"/>
      <c r="FCD93" s="491"/>
      <c r="FCE93" s="491"/>
      <c r="FCF93" s="491"/>
      <c r="FCG93" s="492"/>
      <c r="FCH93" s="492"/>
      <c r="FCI93" s="492"/>
      <c r="FCJ93" s="492"/>
      <c r="FCK93" s="493"/>
      <c r="FCL93" s="493"/>
      <c r="FCM93" s="192"/>
      <c r="FCN93" s="489"/>
      <c r="FCO93" s="489"/>
      <c r="FCP93" s="490"/>
      <c r="FCQ93" s="490"/>
      <c r="FCR93" s="491"/>
      <c r="FCS93" s="491"/>
      <c r="FCT93" s="491"/>
      <c r="FCU93" s="491"/>
      <c r="FCV93" s="491"/>
      <c r="FCW93" s="491"/>
      <c r="FCX93" s="491"/>
      <c r="FCY93" s="491"/>
      <c r="FCZ93" s="491"/>
      <c r="FDA93" s="491"/>
      <c r="FDB93" s="491"/>
      <c r="FDC93" s="491"/>
      <c r="FDD93" s="491"/>
      <c r="FDE93" s="491"/>
      <c r="FDF93" s="491"/>
      <c r="FDG93" s="491"/>
      <c r="FDH93" s="491"/>
      <c r="FDI93" s="491"/>
      <c r="FDJ93" s="491"/>
      <c r="FDK93" s="491"/>
      <c r="FDL93" s="491"/>
      <c r="FDM93" s="491"/>
      <c r="FDN93" s="491"/>
      <c r="FDO93" s="491"/>
      <c r="FDP93" s="491"/>
      <c r="FDQ93" s="491"/>
      <c r="FDR93" s="491"/>
      <c r="FDS93" s="491"/>
      <c r="FDT93" s="491"/>
      <c r="FDU93" s="491"/>
      <c r="FDV93" s="491"/>
      <c r="FDW93" s="491"/>
      <c r="FDX93" s="491"/>
      <c r="FDY93" s="491"/>
      <c r="FDZ93" s="492"/>
      <c r="FEA93" s="492"/>
      <c r="FEB93" s="492"/>
      <c r="FEC93" s="492"/>
      <c r="FED93" s="493"/>
      <c r="FEE93" s="493"/>
      <c r="FEF93" s="192"/>
      <c r="FEG93" s="489"/>
      <c r="FEH93" s="489"/>
      <c r="FEI93" s="490"/>
      <c r="FEJ93" s="490"/>
      <c r="FEK93" s="491"/>
      <c r="FEL93" s="491"/>
      <c r="FEM93" s="491"/>
      <c r="FEN93" s="491"/>
      <c r="FEO93" s="491"/>
      <c r="FEP93" s="491"/>
      <c r="FEQ93" s="491"/>
      <c r="FER93" s="491"/>
      <c r="FES93" s="491"/>
      <c r="FET93" s="491"/>
      <c r="FEU93" s="491"/>
      <c r="FEV93" s="491"/>
      <c r="FEW93" s="491"/>
      <c r="FEX93" s="491"/>
      <c r="FEY93" s="491"/>
      <c r="FEZ93" s="491"/>
      <c r="FFA93" s="491"/>
      <c r="FFB93" s="491"/>
      <c r="FFC93" s="491"/>
      <c r="FFD93" s="491"/>
      <c r="FFE93" s="491"/>
      <c r="FFF93" s="491"/>
      <c r="FFG93" s="491"/>
      <c r="FFH93" s="491"/>
      <c r="FFI93" s="491"/>
      <c r="FFJ93" s="491"/>
      <c r="FFK93" s="491"/>
      <c r="FFL93" s="491"/>
      <c r="FFM93" s="491"/>
      <c r="FFN93" s="491"/>
      <c r="FFO93" s="491"/>
      <c r="FFP93" s="491"/>
      <c r="FFQ93" s="491"/>
      <c r="FFR93" s="491"/>
      <c r="FFS93" s="492"/>
      <c r="FFT93" s="492"/>
      <c r="FFU93" s="492"/>
      <c r="FFV93" s="492"/>
      <c r="FFW93" s="493"/>
      <c r="FFX93" s="493"/>
      <c r="FFY93" s="192"/>
      <c r="FFZ93" s="489"/>
      <c r="FGA93" s="489"/>
      <c r="FGB93" s="490"/>
      <c r="FGC93" s="490"/>
      <c r="FGD93" s="491"/>
      <c r="FGE93" s="491"/>
      <c r="FGF93" s="491"/>
      <c r="FGG93" s="491"/>
      <c r="FGH93" s="491"/>
      <c r="FGI93" s="491"/>
      <c r="FGJ93" s="491"/>
      <c r="FGK93" s="491"/>
      <c r="FGL93" s="491"/>
      <c r="FGM93" s="491"/>
      <c r="FGN93" s="491"/>
      <c r="FGO93" s="491"/>
      <c r="FGP93" s="491"/>
      <c r="FGQ93" s="491"/>
      <c r="FGR93" s="491"/>
      <c r="FGS93" s="491"/>
      <c r="FGT93" s="491"/>
      <c r="FGU93" s="491"/>
      <c r="FGV93" s="491"/>
      <c r="FGW93" s="491"/>
      <c r="FGX93" s="491"/>
      <c r="FGY93" s="491"/>
      <c r="FGZ93" s="491"/>
      <c r="FHA93" s="491"/>
      <c r="FHB93" s="491"/>
      <c r="FHC93" s="491"/>
      <c r="FHD93" s="491"/>
      <c r="FHE93" s="491"/>
      <c r="FHF93" s="491"/>
      <c r="FHG93" s="491"/>
      <c r="FHH93" s="491"/>
      <c r="FHI93" s="491"/>
      <c r="FHJ93" s="491"/>
      <c r="FHK93" s="491"/>
      <c r="FHL93" s="492"/>
      <c r="FHM93" s="492"/>
      <c r="FHN93" s="492"/>
      <c r="FHO93" s="492"/>
      <c r="FHP93" s="493"/>
      <c r="FHQ93" s="493"/>
      <c r="FHR93" s="192"/>
      <c r="FHS93" s="489"/>
      <c r="FHT93" s="489"/>
      <c r="FHU93" s="490"/>
      <c r="FHV93" s="490"/>
      <c r="FHW93" s="491"/>
      <c r="FHX93" s="491"/>
      <c r="FHY93" s="491"/>
      <c r="FHZ93" s="491"/>
      <c r="FIA93" s="491"/>
      <c r="FIB93" s="491"/>
      <c r="FIC93" s="491"/>
      <c r="FID93" s="491"/>
      <c r="FIE93" s="491"/>
      <c r="FIF93" s="491"/>
      <c r="FIG93" s="491"/>
      <c r="FIH93" s="491"/>
      <c r="FII93" s="491"/>
      <c r="FIJ93" s="491"/>
      <c r="FIK93" s="491"/>
      <c r="FIL93" s="491"/>
      <c r="FIM93" s="491"/>
      <c r="FIN93" s="491"/>
      <c r="FIO93" s="491"/>
      <c r="FIP93" s="491"/>
      <c r="FIQ93" s="491"/>
      <c r="FIR93" s="491"/>
      <c r="FIS93" s="491"/>
      <c r="FIT93" s="491"/>
      <c r="FIU93" s="491"/>
      <c r="FIV93" s="491"/>
      <c r="FIW93" s="491"/>
      <c r="FIX93" s="491"/>
      <c r="FIY93" s="491"/>
      <c r="FIZ93" s="491"/>
      <c r="FJA93" s="491"/>
      <c r="FJB93" s="491"/>
      <c r="FJC93" s="491"/>
      <c r="FJD93" s="491"/>
      <c r="FJE93" s="492"/>
      <c r="FJF93" s="492"/>
      <c r="FJG93" s="492"/>
      <c r="FJH93" s="492"/>
      <c r="FJI93" s="493"/>
      <c r="FJJ93" s="493"/>
      <c r="FJK93" s="192"/>
      <c r="FJL93" s="489"/>
      <c r="FJM93" s="489"/>
      <c r="FJN93" s="490"/>
      <c r="FJO93" s="490"/>
      <c r="FJP93" s="491"/>
      <c r="FJQ93" s="491"/>
      <c r="FJR93" s="491"/>
      <c r="FJS93" s="491"/>
      <c r="FJT93" s="491"/>
      <c r="FJU93" s="491"/>
      <c r="FJV93" s="491"/>
      <c r="FJW93" s="491"/>
      <c r="FJX93" s="491"/>
      <c r="FJY93" s="491"/>
      <c r="FJZ93" s="491"/>
      <c r="FKA93" s="491"/>
      <c r="FKB93" s="491"/>
      <c r="FKC93" s="491"/>
      <c r="FKD93" s="491"/>
      <c r="FKE93" s="491"/>
      <c r="FKF93" s="491"/>
      <c r="FKG93" s="491"/>
      <c r="FKH93" s="491"/>
      <c r="FKI93" s="491"/>
      <c r="FKJ93" s="491"/>
      <c r="FKK93" s="491"/>
      <c r="FKL93" s="491"/>
      <c r="FKM93" s="491"/>
      <c r="FKN93" s="491"/>
      <c r="FKO93" s="491"/>
      <c r="FKP93" s="491"/>
      <c r="FKQ93" s="491"/>
      <c r="FKR93" s="491"/>
      <c r="FKS93" s="491"/>
      <c r="FKT93" s="491"/>
      <c r="FKU93" s="491"/>
      <c r="FKV93" s="491"/>
      <c r="FKW93" s="491"/>
      <c r="FKX93" s="492"/>
      <c r="FKY93" s="492"/>
      <c r="FKZ93" s="492"/>
      <c r="FLA93" s="492"/>
      <c r="FLB93" s="493"/>
      <c r="FLC93" s="493"/>
      <c r="FLD93" s="192"/>
      <c r="FLE93" s="489"/>
      <c r="FLF93" s="489"/>
      <c r="FLG93" s="490"/>
      <c r="FLH93" s="490"/>
      <c r="FLI93" s="491"/>
      <c r="FLJ93" s="491"/>
      <c r="FLK93" s="491"/>
      <c r="FLL93" s="491"/>
      <c r="FLM93" s="491"/>
      <c r="FLN93" s="491"/>
      <c r="FLO93" s="491"/>
      <c r="FLP93" s="491"/>
      <c r="FLQ93" s="491"/>
      <c r="FLR93" s="491"/>
      <c r="FLS93" s="491"/>
      <c r="FLT93" s="491"/>
      <c r="FLU93" s="491"/>
      <c r="FLV93" s="491"/>
      <c r="FLW93" s="491"/>
      <c r="FLX93" s="491"/>
      <c r="FLY93" s="491"/>
      <c r="FLZ93" s="491"/>
      <c r="FMA93" s="491"/>
      <c r="FMB93" s="491"/>
      <c r="FMC93" s="491"/>
      <c r="FMD93" s="491"/>
      <c r="FME93" s="491"/>
      <c r="FMF93" s="491"/>
      <c r="FMG93" s="491"/>
      <c r="FMH93" s="491"/>
      <c r="FMI93" s="491"/>
      <c r="FMJ93" s="491"/>
      <c r="FMK93" s="491"/>
      <c r="FML93" s="491"/>
      <c r="FMM93" s="491"/>
      <c r="FMN93" s="491"/>
      <c r="FMO93" s="491"/>
      <c r="FMP93" s="491"/>
      <c r="FMQ93" s="492"/>
      <c r="FMR93" s="492"/>
      <c r="FMS93" s="492"/>
      <c r="FMT93" s="492"/>
      <c r="FMU93" s="493"/>
      <c r="FMV93" s="493"/>
      <c r="FMW93" s="192"/>
      <c r="FMX93" s="489"/>
      <c r="FMY93" s="489"/>
      <c r="FMZ93" s="490"/>
      <c r="FNA93" s="490"/>
      <c r="FNB93" s="491"/>
      <c r="FNC93" s="491"/>
      <c r="FND93" s="491"/>
      <c r="FNE93" s="491"/>
      <c r="FNF93" s="491"/>
      <c r="FNG93" s="491"/>
      <c r="FNH93" s="491"/>
      <c r="FNI93" s="491"/>
      <c r="FNJ93" s="491"/>
      <c r="FNK93" s="491"/>
      <c r="FNL93" s="491"/>
      <c r="FNM93" s="491"/>
      <c r="FNN93" s="491"/>
      <c r="FNO93" s="491"/>
      <c r="FNP93" s="491"/>
      <c r="FNQ93" s="491"/>
      <c r="FNR93" s="491"/>
      <c r="FNS93" s="491"/>
      <c r="FNT93" s="491"/>
      <c r="FNU93" s="491"/>
      <c r="FNV93" s="491"/>
      <c r="FNW93" s="491"/>
      <c r="FNX93" s="491"/>
      <c r="FNY93" s="491"/>
      <c r="FNZ93" s="491"/>
      <c r="FOA93" s="491"/>
      <c r="FOB93" s="491"/>
      <c r="FOC93" s="491"/>
      <c r="FOD93" s="491"/>
      <c r="FOE93" s="491"/>
      <c r="FOF93" s="491"/>
      <c r="FOG93" s="491"/>
      <c r="FOH93" s="491"/>
      <c r="FOI93" s="491"/>
      <c r="FOJ93" s="492"/>
      <c r="FOK93" s="492"/>
      <c r="FOL93" s="492"/>
      <c r="FOM93" s="492"/>
      <c r="FON93" s="493"/>
      <c r="FOO93" s="493"/>
      <c r="FOP93" s="192"/>
      <c r="FOQ93" s="489"/>
      <c r="FOR93" s="489"/>
      <c r="FOS93" s="490"/>
      <c r="FOT93" s="490"/>
      <c r="FOU93" s="491"/>
      <c r="FOV93" s="491"/>
      <c r="FOW93" s="491"/>
      <c r="FOX93" s="491"/>
      <c r="FOY93" s="491"/>
      <c r="FOZ93" s="491"/>
      <c r="FPA93" s="491"/>
      <c r="FPB93" s="491"/>
      <c r="FPC93" s="491"/>
      <c r="FPD93" s="491"/>
      <c r="FPE93" s="491"/>
      <c r="FPF93" s="491"/>
      <c r="FPG93" s="491"/>
      <c r="FPH93" s="491"/>
      <c r="FPI93" s="491"/>
      <c r="FPJ93" s="491"/>
      <c r="FPK93" s="491"/>
      <c r="FPL93" s="491"/>
      <c r="FPM93" s="491"/>
      <c r="FPN93" s="491"/>
      <c r="FPO93" s="491"/>
      <c r="FPP93" s="491"/>
      <c r="FPQ93" s="491"/>
      <c r="FPR93" s="491"/>
      <c r="FPS93" s="491"/>
      <c r="FPT93" s="491"/>
      <c r="FPU93" s="491"/>
      <c r="FPV93" s="491"/>
      <c r="FPW93" s="491"/>
      <c r="FPX93" s="491"/>
      <c r="FPY93" s="491"/>
      <c r="FPZ93" s="491"/>
      <c r="FQA93" s="491"/>
      <c r="FQB93" s="491"/>
      <c r="FQC93" s="492"/>
      <c r="FQD93" s="492"/>
      <c r="FQE93" s="492"/>
      <c r="FQF93" s="492"/>
      <c r="FQG93" s="493"/>
      <c r="FQH93" s="493"/>
      <c r="FQI93" s="192"/>
      <c r="FQJ93" s="489"/>
      <c r="FQK93" s="489"/>
      <c r="FQL93" s="490"/>
      <c r="FQM93" s="490"/>
      <c r="FQN93" s="491"/>
      <c r="FQO93" s="491"/>
      <c r="FQP93" s="491"/>
      <c r="FQQ93" s="491"/>
      <c r="FQR93" s="491"/>
      <c r="FQS93" s="491"/>
      <c r="FQT93" s="491"/>
      <c r="FQU93" s="491"/>
      <c r="FQV93" s="491"/>
      <c r="FQW93" s="491"/>
      <c r="FQX93" s="491"/>
      <c r="FQY93" s="491"/>
      <c r="FQZ93" s="491"/>
      <c r="FRA93" s="491"/>
      <c r="FRB93" s="491"/>
      <c r="FRC93" s="491"/>
      <c r="FRD93" s="491"/>
      <c r="FRE93" s="491"/>
      <c r="FRF93" s="491"/>
      <c r="FRG93" s="491"/>
      <c r="FRH93" s="491"/>
      <c r="FRI93" s="491"/>
      <c r="FRJ93" s="491"/>
      <c r="FRK93" s="491"/>
      <c r="FRL93" s="491"/>
      <c r="FRM93" s="491"/>
      <c r="FRN93" s="491"/>
      <c r="FRO93" s="491"/>
      <c r="FRP93" s="491"/>
      <c r="FRQ93" s="491"/>
      <c r="FRR93" s="491"/>
      <c r="FRS93" s="491"/>
      <c r="FRT93" s="491"/>
      <c r="FRU93" s="491"/>
      <c r="FRV93" s="492"/>
      <c r="FRW93" s="492"/>
      <c r="FRX93" s="492"/>
      <c r="FRY93" s="492"/>
      <c r="FRZ93" s="493"/>
      <c r="FSA93" s="493"/>
      <c r="FSB93" s="192"/>
      <c r="FSC93" s="489"/>
      <c r="FSD93" s="489"/>
      <c r="FSE93" s="490"/>
      <c r="FSF93" s="490"/>
      <c r="FSG93" s="491"/>
      <c r="FSH93" s="491"/>
      <c r="FSI93" s="491"/>
      <c r="FSJ93" s="491"/>
      <c r="FSK93" s="491"/>
      <c r="FSL93" s="491"/>
      <c r="FSM93" s="491"/>
      <c r="FSN93" s="491"/>
      <c r="FSO93" s="491"/>
      <c r="FSP93" s="491"/>
      <c r="FSQ93" s="491"/>
      <c r="FSR93" s="491"/>
      <c r="FSS93" s="491"/>
      <c r="FST93" s="491"/>
      <c r="FSU93" s="491"/>
      <c r="FSV93" s="491"/>
      <c r="FSW93" s="491"/>
      <c r="FSX93" s="491"/>
      <c r="FSY93" s="491"/>
      <c r="FSZ93" s="491"/>
      <c r="FTA93" s="491"/>
      <c r="FTB93" s="491"/>
      <c r="FTC93" s="491"/>
      <c r="FTD93" s="491"/>
      <c r="FTE93" s="491"/>
      <c r="FTF93" s="491"/>
      <c r="FTG93" s="491"/>
      <c r="FTH93" s="491"/>
      <c r="FTI93" s="491"/>
      <c r="FTJ93" s="491"/>
      <c r="FTK93" s="491"/>
      <c r="FTL93" s="491"/>
      <c r="FTM93" s="491"/>
      <c r="FTN93" s="491"/>
      <c r="FTO93" s="492"/>
      <c r="FTP93" s="492"/>
      <c r="FTQ93" s="492"/>
      <c r="FTR93" s="492"/>
      <c r="FTS93" s="493"/>
      <c r="FTT93" s="493"/>
      <c r="FTU93" s="192"/>
      <c r="FTV93" s="489"/>
      <c r="FTW93" s="489"/>
      <c r="FTX93" s="490"/>
      <c r="FTY93" s="490"/>
      <c r="FTZ93" s="491"/>
      <c r="FUA93" s="491"/>
      <c r="FUB93" s="491"/>
      <c r="FUC93" s="491"/>
      <c r="FUD93" s="491"/>
      <c r="FUE93" s="491"/>
      <c r="FUF93" s="491"/>
      <c r="FUG93" s="491"/>
      <c r="FUH93" s="491"/>
      <c r="FUI93" s="491"/>
      <c r="FUJ93" s="491"/>
      <c r="FUK93" s="491"/>
      <c r="FUL93" s="491"/>
      <c r="FUM93" s="491"/>
      <c r="FUN93" s="491"/>
      <c r="FUO93" s="491"/>
      <c r="FUP93" s="491"/>
      <c r="FUQ93" s="491"/>
      <c r="FUR93" s="491"/>
      <c r="FUS93" s="491"/>
      <c r="FUT93" s="491"/>
      <c r="FUU93" s="491"/>
      <c r="FUV93" s="491"/>
      <c r="FUW93" s="491"/>
      <c r="FUX93" s="491"/>
      <c r="FUY93" s="491"/>
      <c r="FUZ93" s="491"/>
      <c r="FVA93" s="491"/>
      <c r="FVB93" s="491"/>
      <c r="FVC93" s="491"/>
      <c r="FVD93" s="491"/>
      <c r="FVE93" s="491"/>
      <c r="FVF93" s="491"/>
      <c r="FVG93" s="491"/>
      <c r="FVH93" s="492"/>
      <c r="FVI93" s="492"/>
      <c r="FVJ93" s="492"/>
      <c r="FVK93" s="492"/>
      <c r="FVL93" s="493"/>
      <c r="FVM93" s="493"/>
      <c r="FVN93" s="192"/>
      <c r="FVO93" s="489"/>
      <c r="FVP93" s="489"/>
      <c r="FVQ93" s="490"/>
      <c r="FVR93" s="490"/>
      <c r="FVS93" s="491"/>
      <c r="FVT93" s="491"/>
      <c r="FVU93" s="491"/>
      <c r="FVV93" s="491"/>
      <c r="FVW93" s="491"/>
      <c r="FVX93" s="491"/>
      <c r="FVY93" s="491"/>
      <c r="FVZ93" s="491"/>
      <c r="FWA93" s="491"/>
      <c r="FWB93" s="491"/>
      <c r="FWC93" s="491"/>
      <c r="FWD93" s="491"/>
      <c r="FWE93" s="491"/>
      <c r="FWF93" s="491"/>
      <c r="FWG93" s="491"/>
      <c r="FWH93" s="491"/>
      <c r="FWI93" s="491"/>
      <c r="FWJ93" s="491"/>
      <c r="FWK93" s="491"/>
      <c r="FWL93" s="491"/>
      <c r="FWM93" s="491"/>
      <c r="FWN93" s="491"/>
      <c r="FWO93" s="491"/>
      <c r="FWP93" s="491"/>
      <c r="FWQ93" s="491"/>
      <c r="FWR93" s="491"/>
      <c r="FWS93" s="491"/>
      <c r="FWT93" s="491"/>
      <c r="FWU93" s="491"/>
      <c r="FWV93" s="491"/>
      <c r="FWW93" s="491"/>
      <c r="FWX93" s="491"/>
      <c r="FWY93" s="491"/>
      <c r="FWZ93" s="491"/>
      <c r="FXA93" s="492"/>
      <c r="FXB93" s="492"/>
      <c r="FXC93" s="492"/>
      <c r="FXD93" s="492"/>
      <c r="FXE93" s="493"/>
      <c r="FXF93" s="493"/>
      <c r="FXG93" s="192"/>
      <c r="FXH93" s="489"/>
      <c r="FXI93" s="489"/>
      <c r="FXJ93" s="490"/>
      <c r="FXK93" s="490"/>
      <c r="FXL93" s="491"/>
      <c r="FXM93" s="491"/>
      <c r="FXN93" s="491"/>
      <c r="FXO93" s="491"/>
      <c r="FXP93" s="491"/>
      <c r="FXQ93" s="491"/>
      <c r="FXR93" s="491"/>
      <c r="FXS93" s="491"/>
      <c r="FXT93" s="491"/>
      <c r="FXU93" s="491"/>
      <c r="FXV93" s="491"/>
      <c r="FXW93" s="491"/>
      <c r="FXX93" s="491"/>
      <c r="FXY93" s="491"/>
      <c r="FXZ93" s="491"/>
      <c r="FYA93" s="491"/>
      <c r="FYB93" s="491"/>
      <c r="FYC93" s="491"/>
      <c r="FYD93" s="491"/>
      <c r="FYE93" s="491"/>
      <c r="FYF93" s="491"/>
      <c r="FYG93" s="491"/>
      <c r="FYH93" s="491"/>
      <c r="FYI93" s="491"/>
      <c r="FYJ93" s="491"/>
      <c r="FYK93" s="491"/>
      <c r="FYL93" s="491"/>
      <c r="FYM93" s="491"/>
      <c r="FYN93" s="491"/>
      <c r="FYO93" s="491"/>
      <c r="FYP93" s="491"/>
      <c r="FYQ93" s="491"/>
      <c r="FYR93" s="491"/>
      <c r="FYS93" s="491"/>
      <c r="FYT93" s="492"/>
      <c r="FYU93" s="492"/>
      <c r="FYV93" s="492"/>
      <c r="FYW93" s="492"/>
      <c r="FYX93" s="493"/>
      <c r="FYY93" s="493"/>
      <c r="FYZ93" s="192"/>
      <c r="FZA93" s="489"/>
      <c r="FZB93" s="489"/>
      <c r="FZC93" s="490"/>
      <c r="FZD93" s="490"/>
      <c r="FZE93" s="491"/>
      <c r="FZF93" s="491"/>
      <c r="FZG93" s="491"/>
      <c r="FZH93" s="491"/>
      <c r="FZI93" s="491"/>
      <c r="FZJ93" s="491"/>
      <c r="FZK93" s="491"/>
      <c r="FZL93" s="491"/>
      <c r="FZM93" s="491"/>
      <c r="FZN93" s="491"/>
      <c r="FZO93" s="491"/>
      <c r="FZP93" s="491"/>
      <c r="FZQ93" s="491"/>
      <c r="FZR93" s="491"/>
      <c r="FZS93" s="491"/>
      <c r="FZT93" s="491"/>
      <c r="FZU93" s="491"/>
      <c r="FZV93" s="491"/>
      <c r="FZW93" s="491"/>
      <c r="FZX93" s="491"/>
      <c r="FZY93" s="491"/>
      <c r="FZZ93" s="491"/>
      <c r="GAA93" s="491"/>
      <c r="GAB93" s="491"/>
      <c r="GAC93" s="491"/>
      <c r="GAD93" s="491"/>
      <c r="GAE93" s="491"/>
      <c r="GAF93" s="491"/>
      <c r="GAG93" s="491"/>
      <c r="GAH93" s="491"/>
      <c r="GAI93" s="491"/>
      <c r="GAJ93" s="491"/>
      <c r="GAK93" s="491"/>
      <c r="GAL93" s="491"/>
      <c r="GAM93" s="492"/>
      <c r="GAN93" s="492"/>
      <c r="GAO93" s="492"/>
      <c r="GAP93" s="492"/>
      <c r="GAQ93" s="493"/>
      <c r="GAR93" s="493"/>
      <c r="GAS93" s="192"/>
      <c r="GAT93" s="489"/>
      <c r="GAU93" s="489"/>
      <c r="GAV93" s="490"/>
      <c r="GAW93" s="490"/>
      <c r="GAX93" s="491"/>
      <c r="GAY93" s="491"/>
      <c r="GAZ93" s="491"/>
      <c r="GBA93" s="491"/>
      <c r="GBB93" s="491"/>
      <c r="GBC93" s="491"/>
      <c r="GBD93" s="491"/>
      <c r="GBE93" s="491"/>
      <c r="GBF93" s="491"/>
      <c r="GBG93" s="491"/>
      <c r="GBH93" s="491"/>
      <c r="GBI93" s="491"/>
      <c r="GBJ93" s="491"/>
      <c r="GBK93" s="491"/>
      <c r="GBL93" s="491"/>
      <c r="GBM93" s="491"/>
      <c r="GBN93" s="491"/>
      <c r="GBO93" s="491"/>
      <c r="GBP93" s="491"/>
      <c r="GBQ93" s="491"/>
      <c r="GBR93" s="491"/>
      <c r="GBS93" s="491"/>
      <c r="GBT93" s="491"/>
      <c r="GBU93" s="491"/>
      <c r="GBV93" s="491"/>
      <c r="GBW93" s="491"/>
      <c r="GBX93" s="491"/>
      <c r="GBY93" s="491"/>
      <c r="GBZ93" s="491"/>
      <c r="GCA93" s="491"/>
      <c r="GCB93" s="491"/>
      <c r="GCC93" s="491"/>
      <c r="GCD93" s="491"/>
      <c r="GCE93" s="491"/>
      <c r="GCF93" s="492"/>
      <c r="GCG93" s="492"/>
      <c r="GCH93" s="492"/>
      <c r="GCI93" s="492"/>
      <c r="GCJ93" s="493"/>
      <c r="GCK93" s="493"/>
      <c r="GCL93" s="192"/>
      <c r="GCM93" s="489"/>
      <c r="GCN93" s="489"/>
      <c r="GCO93" s="490"/>
      <c r="GCP93" s="490"/>
      <c r="GCQ93" s="491"/>
      <c r="GCR93" s="491"/>
      <c r="GCS93" s="491"/>
      <c r="GCT93" s="491"/>
      <c r="GCU93" s="491"/>
      <c r="GCV93" s="491"/>
      <c r="GCW93" s="491"/>
      <c r="GCX93" s="491"/>
      <c r="GCY93" s="491"/>
      <c r="GCZ93" s="491"/>
      <c r="GDA93" s="491"/>
      <c r="GDB93" s="491"/>
      <c r="GDC93" s="491"/>
      <c r="GDD93" s="491"/>
      <c r="GDE93" s="491"/>
      <c r="GDF93" s="491"/>
      <c r="GDG93" s="491"/>
      <c r="GDH93" s="491"/>
      <c r="GDI93" s="491"/>
      <c r="GDJ93" s="491"/>
      <c r="GDK93" s="491"/>
      <c r="GDL93" s="491"/>
      <c r="GDM93" s="491"/>
      <c r="GDN93" s="491"/>
      <c r="GDO93" s="491"/>
      <c r="GDP93" s="491"/>
      <c r="GDQ93" s="491"/>
      <c r="GDR93" s="491"/>
      <c r="GDS93" s="491"/>
      <c r="GDT93" s="491"/>
      <c r="GDU93" s="491"/>
      <c r="GDV93" s="491"/>
      <c r="GDW93" s="491"/>
      <c r="GDX93" s="491"/>
      <c r="GDY93" s="492"/>
      <c r="GDZ93" s="492"/>
      <c r="GEA93" s="492"/>
      <c r="GEB93" s="492"/>
      <c r="GEC93" s="493"/>
      <c r="GED93" s="493"/>
      <c r="GEE93" s="192"/>
      <c r="GEF93" s="489"/>
      <c r="GEG93" s="489"/>
      <c r="GEH93" s="490"/>
      <c r="GEI93" s="490"/>
      <c r="GEJ93" s="491"/>
      <c r="GEK93" s="491"/>
      <c r="GEL93" s="491"/>
      <c r="GEM93" s="491"/>
      <c r="GEN93" s="491"/>
      <c r="GEO93" s="491"/>
      <c r="GEP93" s="491"/>
      <c r="GEQ93" s="491"/>
      <c r="GER93" s="491"/>
      <c r="GES93" s="491"/>
      <c r="GET93" s="491"/>
      <c r="GEU93" s="491"/>
      <c r="GEV93" s="491"/>
      <c r="GEW93" s="491"/>
      <c r="GEX93" s="491"/>
      <c r="GEY93" s="491"/>
      <c r="GEZ93" s="491"/>
      <c r="GFA93" s="491"/>
      <c r="GFB93" s="491"/>
      <c r="GFC93" s="491"/>
      <c r="GFD93" s="491"/>
      <c r="GFE93" s="491"/>
      <c r="GFF93" s="491"/>
      <c r="GFG93" s="491"/>
      <c r="GFH93" s="491"/>
      <c r="GFI93" s="491"/>
      <c r="GFJ93" s="491"/>
      <c r="GFK93" s="491"/>
      <c r="GFL93" s="491"/>
      <c r="GFM93" s="491"/>
      <c r="GFN93" s="491"/>
      <c r="GFO93" s="491"/>
      <c r="GFP93" s="491"/>
      <c r="GFQ93" s="491"/>
      <c r="GFR93" s="492"/>
      <c r="GFS93" s="492"/>
      <c r="GFT93" s="492"/>
      <c r="GFU93" s="492"/>
      <c r="GFV93" s="493"/>
      <c r="GFW93" s="493"/>
      <c r="GFX93" s="192"/>
      <c r="GFY93" s="489"/>
      <c r="GFZ93" s="489"/>
      <c r="GGA93" s="490"/>
      <c r="GGB93" s="490"/>
      <c r="GGC93" s="491"/>
      <c r="GGD93" s="491"/>
      <c r="GGE93" s="491"/>
      <c r="GGF93" s="491"/>
      <c r="GGG93" s="491"/>
      <c r="GGH93" s="491"/>
      <c r="GGI93" s="491"/>
      <c r="GGJ93" s="491"/>
      <c r="GGK93" s="491"/>
      <c r="GGL93" s="491"/>
      <c r="GGM93" s="491"/>
      <c r="GGN93" s="491"/>
      <c r="GGO93" s="491"/>
      <c r="GGP93" s="491"/>
      <c r="GGQ93" s="491"/>
      <c r="GGR93" s="491"/>
      <c r="GGS93" s="491"/>
      <c r="GGT93" s="491"/>
      <c r="GGU93" s="491"/>
      <c r="GGV93" s="491"/>
      <c r="GGW93" s="491"/>
      <c r="GGX93" s="491"/>
      <c r="GGY93" s="491"/>
      <c r="GGZ93" s="491"/>
      <c r="GHA93" s="491"/>
      <c r="GHB93" s="491"/>
      <c r="GHC93" s="491"/>
      <c r="GHD93" s="491"/>
      <c r="GHE93" s="491"/>
      <c r="GHF93" s="491"/>
      <c r="GHG93" s="491"/>
      <c r="GHH93" s="491"/>
      <c r="GHI93" s="491"/>
      <c r="GHJ93" s="491"/>
      <c r="GHK93" s="492"/>
      <c r="GHL93" s="492"/>
      <c r="GHM93" s="492"/>
      <c r="GHN93" s="492"/>
      <c r="GHO93" s="493"/>
      <c r="GHP93" s="493"/>
      <c r="GHQ93" s="192"/>
      <c r="GHR93" s="489"/>
      <c r="GHS93" s="489"/>
      <c r="GHT93" s="490"/>
      <c r="GHU93" s="490"/>
      <c r="GHV93" s="491"/>
      <c r="GHW93" s="491"/>
      <c r="GHX93" s="491"/>
      <c r="GHY93" s="491"/>
      <c r="GHZ93" s="491"/>
      <c r="GIA93" s="491"/>
      <c r="GIB93" s="491"/>
      <c r="GIC93" s="491"/>
      <c r="GID93" s="491"/>
      <c r="GIE93" s="491"/>
      <c r="GIF93" s="491"/>
      <c r="GIG93" s="491"/>
      <c r="GIH93" s="491"/>
      <c r="GII93" s="491"/>
      <c r="GIJ93" s="491"/>
      <c r="GIK93" s="491"/>
      <c r="GIL93" s="491"/>
      <c r="GIM93" s="491"/>
      <c r="GIN93" s="491"/>
      <c r="GIO93" s="491"/>
      <c r="GIP93" s="491"/>
      <c r="GIQ93" s="491"/>
      <c r="GIR93" s="491"/>
      <c r="GIS93" s="491"/>
      <c r="GIT93" s="491"/>
      <c r="GIU93" s="491"/>
      <c r="GIV93" s="491"/>
      <c r="GIW93" s="491"/>
      <c r="GIX93" s="491"/>
      <c r="GIY93" s="491"/>
      <c r="GIZ93" s="491"/>
      <c r="GJA93" s="491"/>
      <c r="GJB93" s="491"/>
      <c r="GJC93" s="491"/>
      <c r="GJD93" s="492"/>
      <c r="GJE93" s="492"/>
      <c r="GJF93" s="492"/>
      <c r="GJG93" s="492"/>
      <c r="GJH93" s="493"/>
      <c r="GJI93" s="493"/>
      <c r="GJJ93" s="192"/>
      <c r="GJK93" s="489"/>
      <c r="GJL93" s="489"/>
      <c r="GJM93" s="490"/>
      <c r="GJN93" s="490"/>
      <c r="GJO93" s="491"/>
      <c r="GJP93" s="491"/>
      <c r="GJQ93" s="491"/>
      <c r="GJR93" s="491"/>
      <c r="GJS93" s="491"/>
      <c r="GJT93" s="491"/>
      <c r="GJU93" s="491"/>
      <c r="GJV93" s="491"/>
      <c r="GJW93" s="491"/>
      <c r="GJX93" s="491"/>
      <c r="GJY93" s="491"/>
      <c r="GJZ93" s="491"/>
      <c r="GKA93" s="491"/>
      <c r="GKB93" s="491"/>
      <c r="GKC93" s="491"/>
      <c r="GKD93" s="491"/>
      <c r="GKE93" s="491"/>
      <c r="GKF93" s="491"/>
      <c r="GKG93" s="491"/>
      <c r="GKH93" s="491"/>
      <c r="GKI93" s="491"/>
      <c r="GKJ93" s="491"/>
      <c r="GKK93" s="491"/>
      <c r="GKL93" s="491"/>
      <c r="GKM93" s="491"/>
      <c r="GKN93" s="491"/>
      <c r="GKO93" s="491"/>
      <c r="GKP93" s="491"/>
      <c r="GKQ93" s="491"/>
      <c r="GKR93" s="491"/>
      <c r="GKS93" s="491"/>
      <c r="GKT93" s="491"/>
      <c r="GKU93" s="491"/>
      <c r="GKV93" s="491"/>
      <c r="GKW93" s="492"/>
      <c r="GKX93" s="492"/>
      <c r="GKY93" s="492"/>
      <c r="GKZ93" s="492"/>
      <c r="GLA93" s="493"/>
      <c r="GLB93" s="493"/>
      <c r="GLC93" s="192"/>
      <c r="GLD93" s="489"/>
      <c r="GLE93" s="489"/>
      <c r="GLF93" s="490"/>
      <c r="GLG93" s="490"/>
      <c r="GLH93" s="491"/>
      <c r="GLI93" s="491"/>
      <c r="GLJ93" s="491"/>
      <c r="GLK93" s="491"/>
      <c r="GLL93" s="491"/>
      <c r="GLM93" s="491"/>
      <c r="GLN93" s="491"/>
      <c r="GLO93" s="491"/>
      <c r="GLP93" s="491"/>
      <c r="GLQ93" s="491"/>
      <c r="GLR93" s="491"/>
      <c r="GLS93" s="491"/>
      <c r="GLT93" s="491"/>
      <c r="GLU93" s="491"/>
      <c r="GLV93" s="491"/>
      <c r="GLW93" s="491"/>
      <c r="GLX93" s="491"/>
      <c r="GLY93" s="491"/>
      <c r="GLZ93" s="491"/>
      <c r="GMA93" s="491"/>
      <c r="GMB93" s="491"/>
      <c r="GMC93" s="491"/>
      <c r="GMD93" s="491"/>
      <c r="GME93" s="491"/>
      <c r="GMF93" s="491"/>
      <c r="GMG93" s="491"/>
      <c r="GMH93" s="491"/>
      <c r="GMI93" s="491"/>
      <c r="GMJ93" s="491"/>
      <c r="GMK93" s="491"/>
      <c r="GML93" s="491"/>
      <c r="GMM93" s="491"/>
      <c r="GMN93" s="491"/>
      <c r="GMO93" s="491"/>
      <c r="GMP93" s="492"/>
      <c r="GMQ93" s="492"/>
      <c r="GMR93" s="492"/>
      <c r="GMS93" s="492"/>
      <c r="GMT93" s="493"/>
      <c r="GMU93" s="493"/>
      <c r="GMV93" s="192"/>
      <c r="GMW93" s="489"/>
      <c r="GMX93" s="489"/>
      <c r="GMY93" s="490"/>
      <c r="GMZ93" s="490"/>
      <c r="GNA93" s="491"/>
      <c r="GNB93" s="491"/>
      <c r="GNC93" s="491"/>
      <c r="GND93" s="491"/>
      <c r="GNE93" s="491"/>
      <c r="GNF93" s="491"/>
      <c r="GNG93" s="491"/>
      <c r="GNH93" s="491"/>
      <c r="GNI93" s="491"/>
      <c r="GNJ93" s="491"/>
      <c r="GNK93" s="491"/>
      <c r="GNL93" s="491"/>
      <c r="GNM93" s="491"/>
      <c r="GNN93" s="491"/>
      <c r="GNO93" s="491"/>
      <c r="GNP93" s="491"/>
      <c r="GNQ93" s="491"/>
      <c r="GNR93" s="491"/>
      <c r="GNS93" s="491"/>
      <c r="GNT93" s="491"/>
      <c r="GNU93" s="491"/>
      <c r="GNV93" s="491"/>
      <c r="GNW93" s="491"/>
      <c r="GNX93" s="491"/>
      <c r="GNY93" s="491"/>
      <c r="GNZ93" s="491"/>
      <c r="GOA93" s="491"/>
      <c r="GOB93" s="491"/>
      <c r="GOC93" s="491"/>
      <c r="GOD93" s="491"/>
      <c r="GOE93" s="491"/>
      <c r="GOF93" s="491"/>
      <c r="GOG93" s="491"/>
      <c r="GOH93" s="491"/>
      <c r="GOI93" s="492"/>
      <c r="GOJ93" s="492"/>
      <c r="GOK93" s="492"/>
      <c r="GOL93" s="492"/>
      <c r="GOM93" s="493"/>
      <c r="GON93" s="493"/>
      <c r="GOO93" s="192"/>
      <c r="GOP93" s="489"/>
      <c r="GOQ93" s="489"/>
      <c r="GOR93" s="490"/>
      <c r="GOS93" s="490"/>
      <c r="GOT93" s="491"/>
      <c r="GOU93" s="491"/>
      <c r="GOV93" s="491"/>
      <c r="GOW93" s="491"/>
      <c r="GOX93" s="491"/>
      <c r="GOY93" s="491"/>
      <c r="GOZ93" s="491"/>
      <c r="GPA93" s="491"/>
      <c r="GPB93" s="491"/>
      <c r="GPC93" s="491"/>
      <c r="GPD93" s="491"/>
      <c r="GPE93" s="491"/>
      <c r="GPF93" s="491"/>
      <c r="GPG93" s="491"/>
      <c r="GPH93" s="491"/>
      <c r="GPI93" s="491"/>
      <c r="GPJ93" s="491"/>
      <c r="GPK93" s="491"/>
      <c r="GPL93" s="491"/>
      <c r="GPM93" s="491"/>
      <c r="GPN93" s="491"/>
      <c r="GPO93" s="491"/>
      <c r="GPP93" s="491"/>
      <c r="GPQ93" s="491"/>
      <c r="GPR93" s="491"/>
      <c r="GPS93" s="491"/>
      <c r="GPT93" s="491"/>
      <c r="GPU93" s="491"/>
      <c r="GPV93" s="491"/>
      <c r="GPW93" s="491"/>
      <c r="GPX93" s="491"/>
      <c r="GPY93" s="491"/>
      <c r="GPZ93" s="491"/>
      <c r="GQA93" s="491"/>
      <c r="GQB93" s="492"/>
      <c r="GQC93" s="492"/>
      <c r="GQD93" s="492"/>
      <c r="GQE93" s="492"/>
      <c r="GQF93" s="493"/>
      <c r="GQG93" s="493"/>
      <c r="GQH93" s="192"/>
      <c r="GQI93" s="489"/>
      <c r="GQJ93" s="489"/>
      <c r="GQK93" s="490"/>
      <c r="GQL93" s="490"/>
      <c r="GQM93" s="491"/>
      <c r="GQN93" s="491"/>
      <c r="GQO93" s="491"/>
      <c r="GQP93" s="491"/>
      <c r="GQQ93" s="491"/>
      <c r="GQR93" s="491"/>
      <c r="GQS93" s="491"/>
      <c r="GQT93" s="491"/>
      <c r="GQU93" s="491"/>
      <c r="GQV93" s="491"/>
      <c r="GQW93" s="491"/>
      <c r="GQX93" s="491"/>
      <c r="GQY93" s="491"/>
      <c r="GQZ93" s="491"/>
      <c r="GRA93" s="491"/>
      <c r="GRB93" s="491"/>
      <c r="GRC93" s="491"/>
      <c r="GRD93" s="491"/>
      <c r="GRE93" s="491"/>
      <c r="GRF93" s="491"/>
      <c r="GRG93" s="491"/>
      <c r="GRH93" s="491"/>
      <c r="GRI93" s="491"/>
      <c r="GRJ93" s="491"/>
      <c r="GRK93" s="491"/>
      <c r="GRL93" s="491"/>
      <c r="GRM93" s="491"/>
      <c r="GRN93" s="491"/>
      <c r="GRO93" s="491"/>
      <c r="GRP93" s="491"/>
      <c r="GRQ93" s="491"/>
      <c r="GRR93" s="491"/>
      <c r="GRS93" s="491"/>
      <c r="GRT93" s="491"/>
      <c r="GRU93" s="492"/>
      <c r="GRV93" s="492"/>
      <c r="GRW93" s="492"/>
      <c r="GRX93" s="492"/>
      <c r="GRY93" s="493"/>
      <c r="GRZ93" s="493"/>
      <c r="GSA93" s="192"/>
      <c r="GSB93" s="489"/>
      <c r="GSC93" s="489"/>
      <c r="GSD93" s="490"/>
      <c r="GSE93" s="490"/>
      <c r="GSF93" s="491"/>
      <c r="GSG93" s="491"/>
      <c r="GSH93" s="491"/>
      <c r="GSI93" s="491"/>
      <c r="GSJ93" s="491"/>
      <c r="GSK93" s="491"/>
      <c r="GSL93" s="491"/>
      <c r="GSM93" s="491"/>
      <c r="GSN93" s="491"/>
      <c r="GSO93" s="491"/>
      <c r="GSP93" s="491"/>
      <c r="GSQ93" s="491"/>
      <c r="GSR93" s="491"/>
      <c r="GSS93" s="491"/>
      <c r="GST93" s="491"/>
      <c r="GSU93" s="491"/>
      <c r="GSV93" s="491"/>
      <c r="GSW93" s="491"/>
      <c r="GSX93" s="491"/>
      <c r="GSY93" s="491"/>
      <c r="GSZ93" s="491"/>
      <c r="GTA93" s="491"/>
      <c r="GTB93" s="491"/>
      <c r="GTC93" s="491"/>
      <c r="GTD93" s="491"/>
      <c r="GTE93" s="491"/>
      <c r="GTF93" s="491"/>
      <c r="GTG93" s="491"/>
      <c r="GTH93" s="491"/>
      <c r="GTI93" s="491"/>
      <c r="GTJ93" s="491"/>
      <c r="GTK93" s="491"/>
      <c r="GTL93" s="491"/>
      <c r="GTM93" s="491"/>
      <c r="GTN93" s="492"/>
      <c r="GTO93" s="492"/>
      <c r="GTP93" s="492"/>
      <c r="GTQ93" s="492"/>
      <c r="GTR93" s="493"/>
      <c r="GTS93" s="493"/>
      <c r="GTT93" s="192"/>
      <c r="GTU93" s="489"/>
      <c r="GTV93" s="489"/>
      <c r="GTW93" s="490"/>
      <c r="GTX93" s="490"/>
      <c r="GTY93" s="491"/>
      <c r="GTZ93" s="491"/>
      <c r="GUA93" s="491"/>
      <c r="GUB93" s="491"/>
      <c r="GUC93" s="491"/>
      <c r="GUD93" s="491"/>
      <c r="GUE93" s="491"/>
      <c r="GUF93" s="491"/>
      <c r="GUG93" s="491"/>
      <c r="GUH93" s="491"/>
      <c r="GUI93" s="491"/>
      <c r="GUJ93" s="491"/>
      <c r="GUK93" s="491"/>
      <c r="GUL93" s="491"/>
      <c r="GUM93" s="491"/>
      <c r="GUN93" s="491"/>
      <c r="GUO93" s="491"/>
      <c r="GUP93" s="491"/>
      <c r="GUQ93" s="491"/>
      <c r="GUR93" s="491"/>
      <c r="GUS93" s="491"/>
      <c r="GUT93" s="491"/>
      <c r="GUU93" s="491"/>
      <c r="GUV93" s="491"/>
      <c r="GUW93" s="491"/>
      <c r="GUX93" s="491"/>
      <c r="GUY93" s="491"/>
      <c r="GUZ93" s="491"/>
      <c r="GVA93" s="491"/>
      <c r="GVB93" s="491"/>
      <c r="GVC93" s="491"/>
      <c r="GVD93" s="491"/>
      <c r="GVE93" s="491"/>
      <c r="GVF93" s="491"/>
      <c r="GVG93" s="492"/>
      <c r="GVH93" s="492"/>
      <c r="GVI93" s="492"/>
      <c r="GVJ93" s="492"/>
      <c r="GVK93" s="493"/>
      <c r="GVL93" s="493"/>
      <c r="GVM93" s="192"/>
      <c r="GVN93" s="489"/>
      <c r="GVO93" s="489"/>
      <c r="GVP93" s="490"/>
      <c r="GVQ93" s="490"/>
      <c r="GVR93" s="491"/>
      <c r="GVS93" s="491"/>
      <c r="GVT93" s="491"/>
      <c r="GVU93" s="491"/>
      <c r="GVV93" s="491"/>
      <c r="GVW93" s="491"/>
      <c r="GVX93" s="491"/>
      <c r="GVY93" s="491"/>
      <c r="GVZ93" s="491"/>
      <c r="GWA93" s="491"/>
      <c r="GWB93" s="491"/>
      <c r="GWC93" s="491"/>
      <c r="GWD93" s="491"/>
      <c r="GWE93" s="491"/>
      <c r="GWF93" s="491"/>
      <c r="GWG93" s="491"/>
      <c r="GWH93" s="491"/>
      <c r="GWI93" s="491"/>
      <c r="GWJ93" s="491"/>
      <c r="GWK93" s="491"/>
      <c r="GWL93" s="491"/>
      <c r="GWM93" s="491"/>
      <c r="GWN93" s="491"/>
      <c r="GWO93" s="491"/>
      <c r="GWP93" s="491"/>
      <c r="GWQ93" s="491"/>
      <c r="GWR93" s="491"/>
      <c r="GWS93" s="491"/>
      <c r="GWT93" s="491"/>
      <c r="GWU93" s="491"/>
      <c r="GWV93" s="491"/>
      <c r="GWW93" s="491"/>
      <c r="GWX93" s="491"/>
      <c r="GWY93" s="491"/>
      <c r="GWZ93" s="492"/>
      <c r="GXA93" s="492"/>
      <c r="GXB93" s="492"/>
      <c r="GXC93" s="492"/>
      <c r="GXD93" s="493"/>
      <c r="GXE93" s="493"/>
      <c r="GXF93" s="192"/>
      <c r="GXG93" s="489"/>
      <c r="GXH93" s="489"/>
      <c r="GXI93" s="490"/>
      <c r="GXJ93" s="490"/>
      <c r="GXK93" s="491"/>
      <c r="GXL93" s="491"/>
      <c r="GXM93" s="491"/>
      <c r="GXN93" s="491"/>
      <c r="GXO93" s="491"/>
      <c r="GXP93" s="491"/>
      <c r="GXQ93" s="491"/>
      <c r="GXR93" s="491"/>
      <c r="GXS93" s="491"/>
      <c r="GXT93" s="491"/>
      <c r="GXU93" s="491"/>
      <c r="GXV93" s="491"/>
      <c r="GXW93" s="491"/>
      <c r="GXX93" s="491"/>
      <c r="GXY93" s="491"/>
      <c r="GXZ93" s="491"/>
      <c r="GYA93" s="491"/>
      <c r="GYB93" s="491"/>
      <c r="GYC93" s="491"/>
      <c r="GYD93" s="491"/>
      <c r="GYE93" s="491"/>
      <c r="GYF93" s="491"/>
      <c r="GYG93" s="491"/>
      <c r="GYH93" s="491"/>
      <c r="GYI93" s="491"/>
      <c r="GYJ93" s="491"/>
      <c r="GYK93" s="491"/>
      <c r="GYL93" s="491"/>
      <c r="GYM93" s="491"/>
      <c r="GYN93" s="491"/>
      <c r="GYO93" s="491"/>
      <c r="GYP93" s="491"/>
      <c r="GYQ93" s="491"/>
      <c r="GYR93" s="491"/>
      <c r="GYS93" s="492"/>
      <c r="GYT93" s="492"/>
      <c r="GYU93" s="492"/>
      <c r="GYV93" s="492"/>
      <c r="GYW93" s="493"/>
      <c r="GYX93" s="493"/>
      <c r="GYY93" s="192"/>
      <c r="GYZ93" s="489"/>
      <c r="GZA93" s="489"/>
      <c r="GZB93" s="490"/>
      <c r="GZC93" s="490"/>
      <c r="GZD93" s="491"/>
      <c r="GZE93" s="491"/>
      <c r="GZF93" s="491"/>
      <c r="GZG93" s="491"/>
      <c r="GZH93" s="491"/>
      <c r="GZI93" s="491"/>
      <c r="GZJ93" s="491"/>
      <c r="GZK93" s="491"/>
      <c r="GZL93" s="491"/>
      <c r="GZM93" s="491"/>
      <c r="GZN93" s="491"/>
      <c r="GZO93" s="491"/>
      <c r="GZP93" s="491"/>
      <c r="GZQ93" s="491"/>
      <c r="GZR93" s="491"/>
      <c r="GZS93" s="491"/>
      <c r="GZT93" s="491"/>
      <c r="GZU93" s="491"/>
      <c r="GZV93" s="491"/>
      <c r="GZW93" s="491"/>
      <c r="GZX93" s="491"/>
      <c r="GZY93" s="491"/>
      <c r="GZZ93" s="491"/>
      <c r="HAA93" s="491"/>
      <c r="HAB93" s="491"/>
      <c r="HAC93" s="491"/>
      <c r="HAD93" s="491"/>
      <c r="HAE93" s="491"/>
      <c r="HAF93" s="491"/>
      <c r="HAG93" s="491"/>
      <c r="HAH93" s="491"/>
      <c r="HAI93" s="491"/>
      <c r="HAJ93" s="491"/>
      <c r="HAK93" s="491"/>
      <c r="HAL93" s="492"/>
      <c r="HAM93" s="492"/>
      <c r="HAN93" s="492"/>
      <c r="HAO93" s="492"/>
      <c r="HAP93" s="493"/>
      <c r="HAQ93" s="493"/>
      <c r="HAR93" s="192"/>
      <c r="HAS93" s="489"/>
      <c r="HAT93" s="489"/>
      <c r="HAU93" s="490"/>
      <c r="HAV93" s="490"/>
      <c r="HAW93" s="491"/>
      <c r="HAX93" s="491"/>
      <c r="HAY93" s="491"/>
      <c r="HAZ93" s="491"/>
      <c r="HBA93" s="491"/>
      <c r="HBB93" s="491"/>
      <c r="HBC93" s="491"/>
      <c r="HBD93" s="491"/>
      <c r="HBE93" s="491"/>
      <c r="HBF93" s="491"/>
      <c r="HBG93" s="491"/>
      <c r="HBH93" s="491"/>
      <c r="HBI93" s="491"/>
      <c r="HBJ93" s="491"/>
      <c r="HBK93" s="491"/>
      <c r="HBL93" s="491"/>
      <c r="HBM93" s="491"/>
      <c r="HBN93" s="491"/>
      <c r="HBO93" s="491"/>
      <c r="HBP93" s="491"/>
      <c r="HBQ93" s="491"/>
      <c r="HBR93" s="491"/>
      <c r="HBS93" s="491"/>
      <c r="HBT93" s="491"/>
      <c r="HBU93" s="491"/>
      <c r="HBV93" s="491"/>
      <c r="HBW93" s="491"/>
      <c r="HBX93" s="491"/>
      <c r="HBY93" s="491"/>
      <c r="HBZ93" s="491"/>
      <c r="HCA93" s="491"/>
      <c r="HCB93" s="491"/>
      <c r="HCC93" s="491"/>
      <c r="HCD93" s="491"/>
      <c r="HCE93" s="492"/>
      <c r="HCF93" s="492"/>
      <c r="HCG93" s="492"/>
      <c r="HCH93" s="492"/>
      <c r="HCI93" s="493"/>
      <c r="HCJ93" s="493"/>
      <c r="HCK93" s="192"/>
      <c r="HCL93" s="489"/>
      <c r="HCM93" s="489"/>
      <c r="HCN93" s="490"/>
      <c r="HCO93" s="490"/>
      <c r="HCP93" s="491"/>
      <c r="HCQ93" s="491"/>
      <c r="HCR93" s="491"/>
      <c r="HCS93" s="491"/>
      <c r="HCT93" s="491"/>
      <c r="HCU93" s="491"/>
      <c r="HCV93" s="491"/>
      <c r="HCW93" s="491"/>
      <c r="HCX93" s="491"/>
      <c r="HCY93" s="491"/>
      <c r="HCZ93" s="491"/>
      <c r="HDA93" s="491"/>
      <c r="HDB93" s="491"/>
      <c r="HDC93" s="491"/>
      <c r="HDD93" s="491"/>
      <c r="HDE93" s="491"/>
      <c r="HDF93" s="491"/>
      <c r="HDG93" s="491"/>
      <c r="HDH93" s="491"/>
      <c r="HDI93" s="491"/>
      <c r="HDJ93" s="491"/>
      <c r="HDK93" s="491"/>
      <c r="HDL93" s="491"/>
      <c r="HDM93" s="491"/>
      <c r="HDN93" s="491"/>
      <c r="HDO93" s="491"/>
      <c r="HDP93" s="491"/>
      <c r="HDQ93" s="491"/>
      <c r="HDR93" s="491"/>
      <c r="HDS93" s="491"/>
      <c r="HDT93" s="491"/>
      <c r="HDU93" s="491"/>
      <c r="HDV93" s="491"/>
      <c r="HDW93" s="491"/>
      <c r="HDX93" s="492"/>
      <c r="HDY93" s="492"/>
      <c r="HDZ93" s="492"/>
      <c r="HEA93" s="492"/>
      <c r="HEB93" s="493"/>
      <c r="HEC93" s="493"/>
      <c r="HED93" s="192"/>
      <c r="HEE93" s="489"/>
      <c r="HEF93" s="489"/>
      <c r="HEG93" s="490"/>
      <c r="HEH93" s="490"/>
      <c r="HEI93" s="491"/>
      <c r="HEJ93" s="491"/>
      <c r="HEK93" s="491"/>
      <c r="HEL93" s="491"/>
      <c r="HEM93" s="491"/>
      <c r="HEN93" s="491"/>
      <c r="HEO93" s="491"/>
      <c r="HEP93" s="491"/>
      <c r="HEQ93" s="491"/>
      <c r="HER93" s="491"/>
      <c r="HES93" s="491"/>
      <c r="HET93" s="491"/>
      <c r="HEU93" s="491"/>
      <c r="HEV93" s="491"/>
      <c r="HEW93" s="491"/>
      <c r="HEX93" s="491"/>
      <c r="HEY93" s="491"/>
      <c r="HEZ93" s="491"/>
      <c r="HFA93" s="491"/>
      <c r="HFB93" s="491"/>
      <c r="HFC93" s="491"/>
      <c r="HFD93" s="491"/>
      <c r="HFE93" s="491"/>
      <c r="HFF93" s="491"/>
      <c r="HFG93" s="491"/>
      <c r="HFH93" s="491"/>
      <c r="HFI93" s="491"/>
      <c r="HFJ93" s="491"/>
      <c r="HFK93" s="491"/>
      <c r="HFL93" s="491"/>
      <c r="HFM93" s="491"/>
      <c r="HFN93" s="491"/>
      <c r="HFO93" s="491"/>
      <c r="HFP93" s="491"/>
      <c r="HFQ93" s="492"/>
      <c r="HFR93" s="492"/>
      <c r="HFS93" s="492"/>
      <c r="HFT93" s="492"/>
      <c r="HFU93" s="493"/>
      <c r="HFV93" s="493"/>
      <c r="HFW93" s="192"/>
      <c r="HFX93" s="489"/>
      <c r="HFY93" s="489"/>
      <c r="HFZ93" s="490"/>
      <c r="HGA93" s="490"/>
      <c r="HGB93" s="491"/>
      <c r="HGC93" s="491"/>
      <c r="HGD93" s="491"/>
      <c r="HGE93" s="491"/>
      <c r="HGF93" s="491"/>
      <c r="HGG93" s="491"/>
      <c r="HGH93" s="491"/>
      <c r="HGI93" s="491"/>
      <c r="HGJ93" s="491"/>
      <c r="HGK93" s="491"/>
      <c r="HGL93" s="491"/>
      <c r="HGM93" s="491"/>
      <c r="HGN93" s="491"/>
      <c r="HGO93" s="491"/>
      <c r="HGP93" s="491"/>
      <c r="HGQ93" s="491"/>
      <c r="HGR93" s="491"/>
      <c r="HGS93" s="491"/>
      <c r="HGT93" s="491"/>
      <c r="HGU93" s="491"/>
      <c r="HGV93" s="491"/>
      <c r="HGW93" s="491"/>
      <c r="HGX93" s="491"/>
      <c r="HGY93" s="491"/>
      <c r="HGZ93" s="491"/>
      <c r="HHA93" s="491"/>
      <c r="HHB93" s="491"/>
      <c r="HHC93" s="491"/>
      <c r="HHD93" s="491"/>
      <c r="HHE93" s="491"/>
      <c r="HHF93" s="491"/>
      <c r="HHG93" s="491"/>
      <c r="HHH93" s="491"/>
      <c r="HHI93" s="491"/>
      <c r="HHJ93" s="492"/>
      <c r="HHK93" s="492"/>
      <c r="HHL93" s="492"/>
      <c r="HHM93" s="492"/>
      <c r="HHN93" s="493"/>
      <c r="HHO93" s="493"/>
      <c r="HHP93" s="192"/>
      <c r="HHQ93" s="489"/>
      <c r="HHR93" s="489"/>
      <c r="HHS93" s="490"/>
      <c r="HHT93" s="490"/>
      <c r="HHU93" s="491"/>
      <c r="HHV93" s="491"/>
      <c r="HHW93" s="491"/>
      <c r="HHX93" s="491"/>
      <c r="HHY93" s="491"/>
      <c r="HHZ93" s="491"/>
      <c r="HIA93" s="491"/>
      <c r="HIB93" s="491"/>
      <c r="HIC93" s="491"/>
      <c r="HID93" s="491"/>
      <c r="HIE93" s="491"/>
      <c r="HIF93" s="491"/>
      <c r="HIG93" s="491"/>
      <c r="HIH93" s="491"/>
      <c r="HII93" s="491"/>
      <c r="HIJ93" s="491"/>
      <c r="HIK93" s="491"/>
      <c r="HIL93" s="491"/>
      <c r="HIM93" s="491"/>
      <c r="HIN93" s="491"/>
      <c r="HIO93" s="491"/>
      <c r="HIP93" s="491"/>
      <c r="HIQ93" s="491"/>
      <c r="HIR93" s="491"/>
      <c r="HIS93" s="491"/>
      <c r="HIT93" s="491"/>
      <c r="HIU93" s="491"/>
      <c r="HIV93" s="491"/>
      <c r="HIW93" s="491"/>
      <c r="HIX93" s="491"/>
      <c r="HIY93" s="491"/>
      <c r="HIZ93" s="491"/>
      <c r="HJA93" s="491"/>
      <c r="HJB93" s="491"/>
      <c r="HJC93" s="492"/>
      <c r="HJD93" s="492"/>
      <c r="HJE93" s="492"/>
      <c r="HJF93" s="492"/>
      <c r="HJG93" s="493"/>
      <c r="HJH93" s="493"/>
      <c r="HJI93" s="192"/>
      <c r="HJJ93" s="489"/>
      <c r="HJK93" s="489"/>
      <c r="HJL93" s="490"/>
      <c r="HJM93" s="490"/>
      <c r="HJN93" s="491"/>
      <c r="HJO93" s="491"/>
      <c r="HJP93" s="491"/>
      <c r="HJQ93" s="491"/>
      <c r="HJR93" s="491"/>
      <c r="HJS93" s="491"/>
      <c r="HJT93" s="491"/>
      <c r="HJU93" s="491"/>
      <c r="HJV93" s="491"/>
      <c r="HJW93" s="491"/>
      <c r="HJX93" s="491"/>
      <c r="HJY93" s="491"/>
      <c r="HJZ93" s="491"/>
      <c r="HKA93" s="491"/>
      <c r="HKB93" s="491"/>
      <c r="HKC93" s="491"/>
      <c r="HKD93" s="491"/>
      <c r="HKE93" s="491"/>
      <c r="HKF93" s="491"/>
      <c r="HKG93" s="491"/>
      <c r="HKH93" s="491"/>
      <c r="HKI93" s="491"/>
      <c r="HKJ93" s="491"/>
      <c r="HKK93" s="491"/>
      <c r="HKL93" s="491"/>
      <c r="HKM93" s="491"/>
      <c r="HKN93" s="491"/>
      <c r="HKO93" s="491"/>
      <c r="HKP93" s="491"/>
      <c r="HKQ93" s="491"/>
      <c r="HKR93" s="491"/>
      <c r="HKS93" s="491"/>
      <c r="HKT93" s="491"/>
      <c r="HKU93" s="491"/>
      <c r="HKV93" s="492"/>
      <c r="HKW93" s="492"/>
      <c r="HKX93" s="492"/>
      <c r="HKY93" s="492"/>
      <c r="HKZ93" s="493"/>
      <c r="HLA93" s="493"/>
      <c r="HLB93" s="192"/>
      <c r="HLC93" s="489"/>
      <c r="HLD93" s="489"/>
      <c r="HLE93" s="490"/>
      <c r="HLF93" s="490"/>
      <c r="HLG93" s="491"/>
      <c r="HLH93" s="491"/>
      <c r="HLI93" s="491"/>
      <c r="HLJ93" s="491"/>
      <c r="HLK93" s="491"/>
      <c r="HLL93" s="491"/>
      <c r="HLM93" s="491"/>
      <c r="HLN93" s="491"/>
      <c r="HLO93" s="491"/>
      <c r="HLP93" s="491"/>
      <c r="HLQ93" s="491"/>
      <c r="HLR93" s="491"/>
      <c r="HLS93" s="491"/>
      <c r="HLT93" s="491"/>
      <c r="HLU93" s="491"/>
      <c r="HLV93" s="491"/>
      <c r="HLW93" s="491"/>
      <c r="HLX93" s="491"/>
      <c r="HLY93" s="491"/>
      <c r="HLZ93" s="491"/>
      <c r="HMA93" s="491"/>
      <c r="HMB93" s="491"/>
      <c r="HMC93" s="491"/>
      <c r="HMD93" s="491"/>
      <c r="HME93" s="491"/>
      <c r="HMF93" s="491"/>
      <c r="HMG93" s="491"/>
      <c r="HMH93" s="491"/>
      <c r="HMI93" s="491"/>
      <c r="HMJ93" s="491"/>
      <c r="HMK93" s="491"/>
      <c r="HML93" s="491"/>
      <c r="HMM93" s="491"/>
      <c r="HMN93" s="491"/>
      <c r="HMO93" s="492"/>
      <c r="HMP93" s="492"/>
      <c r="HMQ93" s="492"/>
      <c r="HMR93" s="492"/>
      <c r="HMS93" s="493"/>
      <c r="HMT93" s="493"/>
      <c r="HMU93" s="192"/>
      <c r="HMV93" s="489"/>
      <c r="HMW93" s="489"/>
      <c r="HMX93" s="490"/>
      <c r="HMY93" s="490"/>
      <c r="HMZ93" s="491"/>
      <c r="HNA93" s="491"/>
      <c r="HNB93" s="491"/>
      <c r="HNC93" s="491"/>
      <c r="HND93" s="491"/>
      <c r="HNE93" s="491"/>
      <c r="HNF93" s="491"/>
      <c r="HNG93" s="491"/>
      <c r="HNH93" s="491"/>
      <c r="HNI93" s="491"/>
      <c r="HNJ93" s="491"/>
      <c r="HNK93" s="491"/>
      <c r="HNL93" s="491"/>
      <c r="HNM93" s="491"/>
      <c r="HNN93" s="491"/>
      <c r="HNO93" s="491"/>
      <c r="HNP93" s="491"/>
      <c r="HNQ93" s="491"/>
      <c r="HNR93" s="491"/>
      <c r="HNS93" s="491"/>
      <c r="HNT93" s="491"/>
      <c r="HNU93" s="491"/>
      <c r="HNV93" s="491"/>
      <c r="HNW93" s="491"/>
      <c r="HNX93" s="491"/>
      <c r="HNY93" s="491"/>
      <c r="HNZ93" s="491"/>
      <c r="HOA93" s="491"/>
      <c r="HOB93" s="491"/>
      <c r="HOC93" s="491"/>
      <c r="HOD93" s="491"/>
      <c r="HOE93" s="491"/>
      <c r="HOF93" s="491"/>
      <c r="HOG93" s="491"/>
      <c r="HOH93" s="492"/>
      <c r="HOI93" s="492"/>
      <c r="HOJ93" s="492"/>
      <c r="HOK93" s="492"/>
      <c r="HOL93" s="493"/>
      <c r="HOM93" s="493"/>
      <c r="HON93" s="192"/>
      <c r="HOO93" s="489"/>
      <c r="HOP93" s="489"/>
      <c r="HOQ93" s="490"/>
      <c r="HOR93" s="490"/>
      <c r="HOS93" s="491"/>
      <c r="HOT93" s="491"/>
      <c r="HOU93" s="491"/>
      <c r="HOV93" s="491"/>
      <c r="HOW93" s="491"/>
      <c r="HOX93" s="491"/>
      <c r="HOY93" s="491"/>
      <c r="HOZ93" s="491"/>
      <c r="HPA93" s="491"/>
      <c r="HPB93" s="491"/>
      <c r="HPC93" s="491"/>
      <c r="HPD93" s="491"/>
      <c r="HPE93" s="491"/>
      <c r="HPF93" s="491"/>
      <c r="HPG93" s="491"/>
      <c r="HPH93" s="491"/>
      <c r="HPI93" s="491"/>
      <c r="HPJ93" s="491"/>
      <c r="HPK93" s="491"/>
      <c r="HPL93" s="491"/>
      <c r="HPM93" s="491"/>
      <c r="HPN93" s="491"/>
      <c r="HPO93" s="491"/>
      <c r="HPP93" s="491"/>
      <c r="HPQ93" s="491"/>
      <c r="HPR93" s="491"/>
      <c r="HPS93" s="491"/>
      <c r="HPT93" s="491"/>
      <c r="HPU93" s="491"/>
      <c r="HPV93" s="491"/>
      <c r="HPW93" s="491"/>
      <c r="HPX93" s="491"/>
      <c r="HPY93" s="491"/>
      <c r="HPZ93" s="491"/>
      <c r="HQA93" s="492"/>
      <c r="HQB93" s="492"/>
      <c r="HQC93" s="492"/>
      <c r="HQD93" s="492"/>
      <c r="HQE93" s="493"/>
      <c r="HQF93" s="493"/>
      <c r="HQG93" s="192"/>
      <c r="HQH93" s="489"/>
      <c r="HQI93" s="489"/>
      <c r="HQJ93" s="490"/>
      <c r="HQK93" s="490"/>
      <c r="HQL93" s="491"/>
      <c r="HQM93" s="491"/>
      <c r="HQN93" s="491"/>
      <c r="HQO93" s="491"/>
      <c r="HQP93" s="491"/>
      <c r="HQQ93" s="491"/>
      <c r="HQR93" s="491"/>
      <c r="HQS93" s="491"/>
      <c r="HQT93" s="491"/>
      <c r="HQU93" s="491"/>
      <c r="HQV93" s="491"/>
      <c r="HQW93" s="491"/>
      <c r="HQX93" s="491"/>
      <c r="HQY93" s="491"/>
      <c r="HQZ93" s="491"/>
      <c r="HRA93" s="491"/>
      <c r="HRB93" s="491"/>
      <c r="HRC93" s="491"/>
      <c r="HRD93" s="491"/>
      <c r="HRE93" s="491"/>
      <c r="HRF93" s="491"/>
      <c r="HRG93" s="491"/>
      <c r="HRH93" s="491"/>
      <c r="HRI93" s="491"/>
      <c r="HRJ93" s="491"/>
      <c r="HRK93" s="491"/>
      <c r="HRL93" s="491"/>
      <c r="HRM93" s="491"/>
      <c r="HRN93" s="491"/>
      <c r="HRO93" s="491"/>
      <c r="HRP93" s="491"/>
      <c r="HRQ93" s="491"/>
      <c r="HRR93" s="491"/>
      <c r="HRS93" s="491"/>
      <c r="HRT93" s="492"/>
      <c r="HRU93" s="492"/>
      <c r="HRV93" s="492"/>
      <c r="HRW93" s="492"/>
      <c r="HRX93" s="493"/>
      <c r="HRY93" s="493"/>
      <c r="HRZ93" s="192"/>
      <c r="HSA93" s="489"/>
      <c r="HSB93" s="489"/>
      <c r="HSC93" s="490"/>
      <c r="HSD93" s="490"/>
      <c r="HSE93" s="491"/>
      <c r="HSF93" s="491"/>
      <c r="HSG93" s="491"/>
      <c r="HSH93" s="491"/>
      <c r="HSI93" s="491"/>
      <c r="HSJ93" s="491"/>
      <c r="HSK93" s="491"/>
      <c r="HSL93" s="491"/>
      <c r="HSM93" s="491"/>
      <c r="HSN93" s="491"/>
      <c r="HSO93" s="491"/>
      <c r="HSP93" s="491"/>
      <c r="HSQ93" s="491"/>
      <c r="HSR93" s="491"/>
      <c r="HSS93" s="491"/>
      <c r="HST93" s="491"/>
      <c r="HSU93" s="491"/>
      <c r="HSV93" s="491"/>
      <c r="HSW93" s="491"/>
      <c r="HSX93" s="491"/>
      <c r="HSY93" s="491"/>
      <c r="HSZ93" s="491"/>
      <c r="HTA93" s="491"/>
      <c r="HTB93" s="491"/>
      <c r="HTC93" s="491"/>
      <c r="HTD93" s="491"/>
      <c r="HTE93" s="491"/>
      <c r="HTF93" s="491"/>
      <c r="HTG93" s="491"/>
      <c r="HTH93" s="491"/>
      <c r="HTI93" s="491"/>
      <c r="HTJ93" s="491"/>
      <c r="HTK93" s="491"/>
      <c r="HTL93" s="491"/>
      <c r="HTM93" s="492"/>
      <c r="HTN93" s="492"/>
      <c r="HTO93" s="492"/>
      <c r="HTP93" s="492"/>
      <c r="HTQ93" s="493"/>
      <c r="HTR93" s="493"/>
      <c r="HTS93" s="192"/>
      <c r="HTT93" s="489"/>
      <c r="HTU93" s="489"/>
      <c r="HTV93" s="490"/>
      <c r="HTW93" s="490"/>
      <c r="HTX93" s="491"/>
      <c r="HTY93" s="491"/>
      <c r="HTZ93" s="491"/>
      <c r="HUA93" s="491"/>
      <c r="HUB93" s="491"/>
      <c r="HUC93" s="491"/>
      <c r="HUD93" s="491"/>
      <c r="HUE93" s="491"/>
      <c r="HUF93" s="491"/>
      <c r="HUG93" s="491"/>
      <c r="HUH93" s="491"/>
      <c r="HUI93" s="491"/>
      <c r="HUJ93" s="491"/>
      <c r="HUK93" s="491"/>
      <c r="HUL93" s="491"/>
      <c r="HUM93" s="491"/>
      <c r="HUN93" s="491"/>
      <c r="HUO93" s="491"/>
      <c r="HUP93" s="491"/>
      <c r="HUQ93" s="491"/>
      <c r="HUR93" s="491"/>
      <c r="HUS93" s="491"/>
      <c r="HUT93" s="491"/>
      <c r="HUU93" s="491"/>
      <c r="HUV93" s="491"/>
      <c r="HUW93" s="491"/>
      <c r="HUX93" s="491"/>
      <c r="HUY93" s="491"/>
      <c r="HUZ93" s="491"/>
      <c r="HVA93" s="491"/>
      <c r="HVB93" s="491"/>
      <c r="HVC93" s="491"/>
      <c r="HVD93" s="491"/>
      <c r="HVE93" s="491"/>
      <c r="HVF93" s="492"/>
      <c r="HVG93" s="492"/>
      <c r="HVH93" s="492"/>
      <c r="HVI93" s="492"/>
      <c r="HVJ93" s="493"/>
      <c r="HVK93" s="493"/>
      <c r="HVL93" s="192"/>
      <c r="HVM93" s="489"/>
      <c r="HVN93" s="489"/>
      <c r="HVO93" s="490"/>
      <c r="HVP93" s="490"/>
      <c r="HVQ93" s="491"/>
      <c r="HVR93" s="491"/>
      <c r="HVS93" s="491"/>
      <c r="HVT93" s="491"/>
      <c r="HVU93" s="491"/>
      <c r="HVV93" s="491"/>
      <c r="HVW93" s="491"/>
      <c r="HVX93" s="491"/>
      <c r="HVY93" s="491"/>
      <c r="HVZ93" s="491"/>
      <c r="HWA93" s="491"/>
      <c r="HWB93" s="491"/>
      <c r="HWC93" s="491"/>
      <c r="HWD93" s="491"/>
      <c r="HWE93" s="491"/>
      <c r="HWF93" s="491"/>
      <c r="HWG93" s="491"/>
      <c r="HWH93" s="491"/>
      <c r="HWI93" s="491"/>
      <c r="HWJ93" s="491"/>
      <c r="HWK93" s="491"/>
      <c r="HWL93" s="491"/>
      <c r="HWM93" s="491"/>
      <c r="HWN93" s="491"/>
      <c r="HWO93" s="491"/>
      <c r="HWP93" s="491"/>
      <c r="HWQ93" s="491"/>
      <c r="HWR93" s="491"/>
      <c r="HWS93" s="491"/>
      <c r="HWT93" s="491"/>
      <c r="HWU93" s="491"/>
      <c r="HWV93" s="491"/>
      <c r="HWW93" s="491"/>
      <c r="HWX93" s="491"/>
      <c r="HWY93" s="492"/>
      <c r="HWZ93" s="492"/>
      <c r="HXA93" s="492"/>
      <c r="HXB93" s="492"/>
      <c r="HXC93" s="493"/>
      <c r="HXD93" s="493"/>
      <c r="HXE93" s="192"/>
      <c r="HXF93" s="489"/>
      <c r="HXG93" s="489"/>
      <c r="HXH93" s="490"/>
      <c r="HXI93" s="490"/>
      <c r="HXJ93" s="491"/>
      <c r="HXK93" s="491"/>
      <c r="HXL93" s="491"/>
      <c r="HXM93" s="491"/>
      <c r="HXN93" s="491"/>
      <c r="HXO93" s="491"/>
      <c r="HXP93" s="491"/>
      <c r="HXQ93" s="491"/>
      <c r="HXR93" s="491"/>
      <c r="HXS93" s="491"/>
      <c r="HXT93" s="491"/>
      <c r="HXU93" s="491"/>
      <c r="HXV93" s="491"/>
      <c r="HXW93" s="491"/>
      <c r="HXX93" s="491"/>
      <c r="HXY93" s="491"/>
      <c r="HXZ93" s="491"/>
      <c r="HYA93" s="491"/>
      <c r="HYB93" s="491"/>
      <c r="HYC93" s="491"/>
      <c r="HYD93" s="491"/>
      <c r="HYE93" s="491"/>
      <c r="HYF93" s="491"/>
      <c r="HYG93" s="491"/>
      <c r="HYH93" s="491"/>
      <c r="HYI93" s="491"/>
      <c r="HYJ93" s="491"/>
      <c r="HYK93" s="491"/>
      <c r="HYL93" s="491"/>
      <c r="HYM93" s="491"/>
      <c r="HYN93" s="491"/>
      <c r="HYO93" s="491"/>
      <c r="HYP93" s="491"/>
      <c r="HYQ93" s="491"/>
      <c r="HYR93" s="492"/>
      <c r="HYS93" s="492"/>
      <c r="HYT93" s="492"/>
      <c r="HYU93" s="492"/>
      <c r="HYV93" s="493"/>
      <c r="HYW93" s="493"/>
      <c r="HYX93" s="192"/>
      <c r="HYY93" s="489"/>
      <c r="HYZ93" s="489"/>
      <c r="HZA93" s="490"/>
      <c r="HZB93" s="490"/>
      <c r="HZC93" s="491"/>
      <c r="HZD93" s="491"/>
      <c r="HZE93" s="491"/>
      <c r="HZF93" s="491"/>
      <c r="HZG93" s="491"/>
      <c r="HZH93" s="491"/>
      <c r="HZI93" s="491"/>
      <c r="HZJ93" s="491"/>
      <c r="HZK93" s="491"/>
      <c r="HZL93" s="491"/>
      <c r="HZM93" s="491"/>
      <c r="HZN93" s="491"/>
      <c r="HZO93" s="491"/>
      <c r="HZP93" s="491"/>
      <c r="HZQ93" s="491"/>
      <c r="HZR93" s="491"/>
      <c r="HZS93" s="491"/>
      <c r="HZT93" s="491"/>
      <c r="HZU93" s="491"/>
      <c r="HZV93" s="491"/>
      <c r="HZW93" s="491"/>
      <c r="HZX93" s="491"/>
      <c r="HZY93" s="491"/>
      <c r="HZZ93" s="491"/>
      <c r="IAA93" s="491"/>
      <c r="IAB93" s="491"/>
      <c r="IAC93" s="491"/>
      <c r="IAD93" s="491"/>
      <c r="IAE93" s="491"/>
      <c r="IAF93" s="491"/>
      <c r="IAG93" s="491"/>
      <c r="IAH93" s="491"/>
      <c r="IAI93" s="491"/>
      <c r="IAJ93" s="491"/>
      <c r="IAK93" s="492"/>
      <c r="IAL93" s="492"/>
      <c r="IAM93" s="492"/>
      <c r="IAN93" s="492"/>
      <c r="IAO93" s="493"/>
      <c r="IAP93" s="493"/>
      <c r="IAQ93" s="192"/>
      <c r="IAR93" s="489"/>
      <c r="IAS93" s="489"/>
      <c r="IAT93" s="490"/>
      <c r="IAU93" s="490"/>
      <c r="IAV93" s="491"/>
      <c r="IAW93" s="491"/>
      <c r="IAX93" s="491"/>
      <c r="IAY93" s="491"/>
      <c r="IAZ93" s="491"/>
      <c r="IBA93" s="491"/>
      <c r="IBB93" s="491"/>
      <c r="IBC93" s="491"/>
      <c r="IBD93" s="491"/>
      <c r="IBE93" s="491"/>
      <c r="IBF93" s="491"/>
      <c r="IBG93" s="491"/>
      <c r="IBH93" s="491"/>
      <c r="IBI93" s="491"/>
      <c r="IBJ93" s="491"/>
      <c r="IBK93" s="491"/>
      <c r="IBL93" s="491"/>
      <c r="IBM93" s="491"/>
      <c r="IBN93" s="491"/>
      <c r="IBO93" s="491"/>
      <c r="IBP93" s="491"/>
      <c r="IBQ93" s="491"/>
      <c r="IBR93" s="491"/>
      <c r="IBS93" s="491"/>
      <c r="IBT93" s="491"/>
      <c r="IBU93" s="491"/>
      <c r="IBV93" s="491"/>
      <c r="IBW93" s="491"/>
      <c r="IBX93" s="491"/>
      <c r="IBY93" s="491"/>
      <c r="IBZ93" s="491"/>
      <c r="ICA93" s="491"/>
      <c r="ICB93" s="491"/>
      <c r="ICC93" s="491"/>
      <c r="ICD93" s="492"/>
      <c r="ICE93" s="492"/>
      <c r="ICF93" s="492"/>
      <c r="ICG93" s="492"/>
      <c r="ICH93" s="493"/>
      <c r="ICI93" s="493"/>
      <c r="ICJ93" s="192"/>
      <c r="ICK93" s="489"/>
      <c r="ICL93" s="489"/>
      <c r="ICM93" s="490"/>
      <c r="ICN93" s="490"/>
      <c r="ICO93" s="491"/>
      <c r="ICP93" s="491"/>
      <c r="ICQ93" s="491"/>
      <c r="ICR93" s="491"/>
      <c r="ICS93" s="491"/>
      <c r="ICT93" s="491"/>
      <c r="ICU93" s="491"/>
      <c r="ICV93" s="491"/>
      <c r="ICW93" s="491"/>
      <c r="ICX93" s="491"/>
      <c r="ICY93" s="491"/>
      <c r="ICZ93" s="491"/>
      <c r="IDA93" s="491"/>
      <c r="IDB93" s="491"/>
      <c r="IDC93" s="491"/>
      <c r="IDD93" s="491"/>
      <c r="IDE93" s="491"/>
      <c r="IDF93" s="491"/>
      <c r="IDG93" s="491"/>
      <c r="IDH93" s="491"/>
      <c r="IDI93" s="491"/>
      <c r="IDJ93" s="491"/>
      <c r="IDK93" s="491"/>
      <c r="IDL93" s="491"/>
      <c r="IDM93" s="491"/>
      <c r="IDN93" s="491"/>
      <c r="IDO93" s="491"/>
      <c r="IDP93" s="491"/>
      <c r="IDQ93" s="491"/>
      <c r="IDR93" s="491"/>
      <c r="IDS93" s="491"/>
      <c r="IDT93" s="491"/>
      <c r="IDU93" s="491"/>
      <c r="IDV93" s="491"/>
      <c r="IDW93" s="492"/>
      <c r="IDX93" s="492"/>
      <c r="IDY93" s="492"/>
      <c r="IDZ93" s="492"/>
      <c r="IEA93" s="493"/>
      <c r="IEB93" s="493"/>
      <c r="IEC93" s="192"/>
      <c r="IED93" s="489"/>
      <c r="IEE93" s="489"/>
      <c r="IEF93" s="490"/>
      <c r="IEG93" s="490"/>
      <c r="IEH93" s="491"/>
      <c r="IEI93" s="491"/>
      <c r="IEJ93" s="491"/>
      <c r="IEK93" s="491"/>
      <c r="IEL93" s="491"/>
      <c r="IEM93" s="491"/>
      <c r="IEN93" s="491"/>
      <c r="IEO93" s="491"/>
      <c r="IEP93" s="491"/>
      <c r="IEQ93" s="491"/>
      <c r="IER93" s="491"/>
      <c r="IES93" s="491"/>
      <c r="IET93" s="491"/>
      <c r="IEU93" s="491"/>
      <c r="IEV93" s="491"/>
      <c r="IEW93" s="491"/>
      <c r="IEX93" s="491"/>
      <c r="IEY93" s="491"/>
      <c r="IEZ93" s="491"/>
      <c r="IFA93" s="491"/>
      <c r="IFB93" s="491"/>
      <c r="IFC93" s="491"/>
      <c r="IFD93" s="491"/>
      <c r="IFE93" s="491"/>
      <c r="IFF93" s="491"/>
      <c r="IFG93" s="491"/>
      <c r="IFH93" s="491"/>
      <c r="IFI93" s="491"/>
      <c r="IFJ93" s="491"/>
      <c r="IFK93" s="491"/>
      <c r="IFL93" s="491"/>
      <c r="IFM93" s="491"/>
      <c r="IFN93" s="491"/>
      <c r="IFO93" s="491"/>
      <c r="IFP93" s="492"/>
      <c r="IFQ93" s="492"/>
      <c r="IFR93" s="492"/>
      <c r="IFS93" s="492"/>
      <c r="IFT93" s="493"/>
      <c r="IFU93" s="493"/>
      <c r="IFV93" s="192"/>
      <c r="IFW93" s="489"/>
      <c r="IFX93" s="489"/>
      <c r="IFY93" s="490"/>
      <c r="IFZ93" s="490"/>
      <c r="IGA93" s="491"/>
      <c r="IGB93" s="491"/>
      <c r="IGC93" s="491"/>
      <c r="IGD93" s="491"/>
      <c r="IGE93" s="491"/>
      <c r="IGF93" s="491"/>
      <c r="IGG93" s="491"/>
      <c r="IGH93" s="491"/>
      <c r="IGI93" s="491"/>
      <c r="IGJ93" s="491"/>
      <c r="IGK93" s="491"/>
      <c r="IGL93" s="491"/>
      <c r="IGM93" s="491"/>
      <c r="IGN93" s="491"/>
      <c r="IGO93" s="491"/>
      <c r="IGP93" s="491"/>
      <c r="IGQ93" s="491"/>
      <c r="IGR93" s="491"/>
      <c r="IGS93" s="491"/>
      <c r="IGT93" s="491"/>
      <c r="IGU93" s="491"/>
      <c r="IGV93" s="491"/>
      <c r="IGW93" s="491"/>
      <c r="IGX93" s="491"/>
      <c r="IGY93" s="491"/>
      <c r="IGZ93" s="491"/>
      <c r="IHA93" s="491"/>
      <c r="IHB93" s="491"/>
      <c r="IHC93" s="491"/>
      <c r="IHD93" s="491"/>
      <c r="IHE93" s="491"/>
      <c r="IHF93" s="491"/>
      <c r="IHG93" s="491"/>
      <c r="IHH93" s="491"/>
      <c r="IHI93" s="492"/>
      <c r="IHJ93" s="492"/>
      <c r="IHK93" s="492"/>
      <c r="IHL93" s="492"/>
      <c r="IHM93" s="493"/>
      <c r="IHN93" s="493"/>
      <c r="IHO93" s="192"/>
      <c r="IHP93" s="489"/>
      <c r="IHQ93" s="489"/>
      <c r="IHR93" s="490"/>
      <c r="IHS93" s="490"/>
      <c r="IHT93" s="491"/>
      <c r="IHU93" s="491"/>
      <c r="IHV93" s="491"/>
      <c r="IHW93" s="491"/>
      <c r="IHX93" s="491"/>
      <c r="IHY93" s="491"/>
      <c r="IHZ93" s="491"/>
      <c r="IIA93" s="491"/>
      <c r="IIB93" s="491"/>
      <c r="IIC93" s="491"/>
      <c r="IID93" s="491"/>
      <c r="IIE93" s="491"/>
      <c r="IIF93" s="491"/>
      <c r="IIG93" s="491"/>
      <c r="IIH93" s="491"/>
      <c r="III93" s="491"/>
      <c r="IIJ93" s="491"/>
      <c r="IIK93" s="491"/>
      <c r="IIL93" s="491"/>
      <c r="IIM93" s="491"/>
      <c r="IIN93" s="491"/>
      <c r="IIO93" s="491"/>
      <c r="IIP93" s="491"/>
      <c r="IIQ93" s="491"/>
      <c r="IIR93" s="491"/>
      <c r="IIS93" s="491"/>
      <c r="IIT93" s="491"/>
      <c r="IIU93" s="491"/>
      <c r="IIV93" s="491"/>
      <c r="IIW93" s="491"/>
      <c r="IIX93" s="491"/>
      <c r="IIY93" s="491"/>
      <c r="IIZ93" s="491"/>
      <c r="IJA93" s="491"/>
      <c r="IJB93" s="492"/>
      <c r="IJC93" s="492"/>
      <c r="IJD93" s="492"/>
      <c r="IJE93" s="492"/>
      <c r="IJF93" s="493"/>
      <c r="IJG93" s="493"/>
      <c r="IJH93" s="192"/>
      <c r="IJI93" s="489"/>
      <c r="IJJ93" s="489"/>
      <c r="IJK93" s="490"/>
      <c r="IJL93" s="490"/>
      <c r="IJM93" s="491"/>
      <c r="IJN93" s="491"/>
      <c r="IJO93" s="491"/>
      <c r="IJP93" s="491"/>
      <c r="IJQ93" s="491"/>
      <c r="IJR93" s="491"/>
      <c r="IJS93" s="491"/>
      <c r="IJT93" s="491"/>
      <c r="IJU93" s="491"/>
      <c r="IJV93" s="491"/>
      <c r="IJW93" s="491"/>
      <c r="IJX93" s="491"/>
      <c r="IJY93" s="491"/>
      <c r="IJZ93" s="491"/>
      <c r="IKA93" s="491"/>
      <c r="IKB93" s="491"/>
      <c r="IKC93" s="491"/>
      <c r="IKD93" s="491"/>
      <c r="IKE93" s="491"/>
      <c r="IKF93" s="491"/>
      <c r="IKG93" s="491"/>
      <c r="IKH93" s="491"/>
      <c r="IKI93" s="491"/>
      <c r="IKJ93" s="491"/>
      <c r="IKK93" s="491"/>
      <c r="IKL93" s="491"/>
      <c r="IKM93" s="491"/>
      <c r="IKN93" s="491"/>
      <c r="IKO93" s="491"/>
      <c r="IKP93" s="491"/>
      <c r="IKQ93" s="491"/>
      <c r="IKR93" s="491"/>
      <c r="IKS93" s="491"/>
      <c r="IKT93" s="491"/>
      <c r="IKU93" s="492"/>
      <c r="IKV93" s="492"/>
      <c r="IKW93" s="492"/>
      <c r="IKX93" s="492"/>
      <c r="IKY93" s="493"/>
      <c r="IKZ93" s="493"/>
      <c r="ILA93" s="192"/>
      <c r="ILB93" s="489"/>
      <c r="ILC93" s="489"/>
      <c r="ILD93" s="490"/>
      <c r="ILE93" s="490"/>
      <c r="ILF93" s="491"/>
      <c r="ILG93" s="491"/>
      <c r="ILH93" s="491"/>
      <c r="ILI93" s="491"/>
      <c r="ILJ93" s="491"/>
      <c r="ILK93" s="491"/>
      <c r="ILL93" s="491"/>
      <c r="ILM93" s="491"/>
      <c r="ILN93" s="491"/>
      <c r="ILO93" s="491"/>
      <c r="ILP93" s="491"/>
      <c r="ILQ93" s="491"/>
      <c r="ILR93" s="491"/>
      <c r="ILS93" s="491"/>
      <c r="ILT93" s="491"/>
      <c r="ILU93" s="491"/>
      <c r="ILV93" s="491"/>
      <c r="ILW93" s="491"/>
      <c r="ILX93" s="491"/>
      <c r="ILY93" s="491"/>
      <c r="ILZ93" s="491"/>
      <c r="IMA93" s="491"/>
      <c r="IMB93" s="491"/>
      <c r="IMC93" s="491"/>
      <c r="IMD93" s="491"/>
      <c r="IME93" s="491"/>
      <c r="IMF93" s="491"/>
      <c r="IMG93" s="491"/>
      <c r="IMH93" s="491"/>
      <c r="IMI93" s="491"/>
      <c r="IMJ93" s="491"/>
      <c r="IMK93" s="491"/>
      <c r="IML93" s="491"/>
      <c r="IMM93" s="491"/>
      <c r="IMN93" s="492"/>
      <c r="IMO93" s="492"/>
      <c r="IMP93" s="492"/>
      <c r="IMQ93" s="492"/>
      <c r="IMR93" s="493"/>
      <c r="IMS93" s="493"/>
      <c r="IMT93" s="192"/>
      <c r="IMU93" s="489"/>
      <c r="IMV93" s="489"/>
      <c r="IMW93" s="490"/>
      <c r="IMX93" s="490"/>
      <c r="IMY93" s="491"/>
      <c r="IMZ93" s="491"/>
      <c r="INA93" s="491"/>
      <c r="INB93" s="491"/>
      <c r="INC93" s="491"/>
      <c r="IND93" s="491"/>
      <c r="INE93" s="491"/>
      <c r="INF93" s="491"/>
      <c r="ING93" s="491"/>
      <c r="INH93" s="491"/>
      <c r="INI93" s="491"/>
      <c r="INJ93" s="491"/>
      <c r="INK93" s="491"/>
      <c r="INL93" s="491"/>
      <c r="INM93" s="491"/>
      <c r="INN93" s="491"/>
      <c r="INO93" s="491"/>
      <c r="INP93" s="491"/>
      <c r="INQ93" s="491"/>
      <c r="INR93" s="491"/>
      <c r="INS93" s="491"/>
      <c r="INT93" s="491"/>
      <c r="INU93" s="491"/>
      <c r="INV93" s="491"/>
      <c r="INW93" s="491"/>
      <c r="INX93" s="491"/>
      <c r="INY93" s="491"/>
      <c r="INZ93" s="491"/>
      <c r="IOA93" s="491"/>
      <c r="IOB93" s="491"/>
      <c r="IOC93" s="491"/>
      <c r="IOD93" s="491"/>
      <c r="IOE93" s="491"/>
      <c r="IOF93" s="491"/>
      <c r="IOG93" s="492"/>
      <c r="IOH93" s="492"/>
      <c r="IOI93" s="492"/>
      <c r="IOJ93" s="492"/>
      <c r="IOK93" s="493"/>
      <c r="IOL93" s="493"/>
      <c r="IOM93" s="192"/>
      <c r="ION93" s="489"/>
      <c r="IOO93" s="489"/>
      <c r="IOP93" s="490"/>
      <c r="IOQ93" s="490"/>
      <c r="IOR93" s="491"/>
      <c r="IOS93" s="491"/>
      <c r="IOT93" s="491"/>
      <c r="IOU93" s="491"/>
      <c r="IOV93" s="491"/>
      <c r="IOW93" s="491"/>
      <c r="IOX93" s="491"/>
      <c r="IOY93" s="491"/>
      <c r="IOZ93" s="491"/>
      <c r="IPA93" s="491"/>
      <c r="IPB93" s="491"/>
      <c r="IPC93" s="491"/>
      <c r="IPD93" s="491"/>
      <c r="IPE93" s="491"/>
      <c r="IPF93" s="491"/>
      <c r="IPG93" s="491"/>
      <c r="IPH93" s="491"/>
      <c r="IPI93" s="491"/>
      <c r="IPJ93" s="491"/>
      <c r="IPK93" s="491"/>
      <c r="IPL93" s="491"/>
      <c r="IPM93" s="491"/>
      <c r="IPN93" s="491"/>
      <c r="IPO93" s="491"/>
      <c r="IPP93" s="491"/>
      <c r="IPQ93" s="491"/>
      <c r="IPR93" s="491"/>
      <c r="IPS93" s="491"/>
      <c r="IPT93" s="491"/>
      <c r="IPU93" s="491"/>
      <c r="IPV93" s="491"/>
      <c r="IPW93" s="491"/>
      <c r="IPX93" s="491"/>
      <c r="IPY93" s="491"/>
      <c r="IPZ93" s="492"/>
      <c r="IQA93" s="492"/>
      <c r="IQB93" s="492"/>
      <c r="IQC93" s="492"/>
      <c r="IQD93" s="493"/>
      <c r="IQE93" s="493"/>
      <c r="IQF93" s="192"/>
      <c r="IQG93" s="489"/>
      <c r="IQH93" s="489"/>
      <c r="IQI93" s="490"/>
      <c r="IQJ93" s="490"/>
      <c r="IQK93" s="491"/>
      <c r="IQL93" s="491"/>
      <c r="IQM93" s="491"/>
      <c r="IQN93" s="491"/>
      <c r="IQO93" s="491"/>
      <c r="IQP93" s="491"/>
      <c r="IQQ93" s="491"/>
      <c r="IQR93" s="491"/>
      <c r="IQS93" s="491"/>
      <c r="IQT93" s="491"/>
      <c r="IQU93" s="491"/>
      <c r="IQV93" s="491"/>
      <c r="IQW93" s="491"/>
      <c r="IQX93" s="491"/>
      <c r="IQY93" s="491"/>
      <c r="IQZ93" s="491"/>
      <c r="IRA93" s="491"/>
      <c r="IRB93" s="491"/>
      <c r="IRC93" s="491"/>
      <c r="IRD93" s="491"/>
      <c r="IRE93" s="491"/>
      <c r="IRF93" s="491"/>
      <c r="IRG93" s="491"/>
      <c r="IRH93" s="491"/>
      <c r="IRI93" s="491"/>
      <c r="IRJ93" s="491"/>
      <c r="IRK93" s="491"/>
      <c r="IRL93" s="491"/>
      <c r="IRM93" s="491"/>
      <c r="IRN93" s="491"/>
      <c r="IRO93" s="491"/>
      <c r="IRP93" s="491"/>
      <c r="IRQ93" s="491"/>
      <c r="IRR93" s="491"/>
      <c r="IRS93" s="492"/>
      <c r="IRT93" s="492"/>
      <c r="IRU93" s="492"/>
      <c r="IRV93" s="492"/>
      <c r="IRW93" s="493"/>
      <c r="IRX93" s="493"/>
      <c r="IRY93" s="192"/>
      <c r="IRZ93" s="489"/>
      <c r="ISA93" s="489"/>
      <c r="ISB93" s="490"/>
      <c r="ISC93" s="490"/>
      <c r="ISD93" s="491"/>
      <c r="ISE93" s="491"/>
      <c r="ISF93" s="491"/>
      <c r="ISG93" s="491"/>
      <c r="ISH93" s="491"/>
      <c r="ISI93" s="491"/>
      <c r="ISJ93" s="491"/>
      <c r="ISK93" s="491"/>
      <c r="ISL93" s="491"/>
      <c r="ISM93" s="491"/>
      <c r="ISN93" s="491"/>
      <c r="ISO93" s="491"/>
      <c r="ISP93" s="491"/>
      <c r="ISQ93" s="491"/>
      <c r="ISR93" s="491"/>
      <c r="ISS93" s="491"/>
      <c r="IST93" s="491"/>
      <c r="ISU93" s="491"/>
      <c r="ISV93" s="491"/>
      <c r="ISW93" s="491"/>
      <c r="ISX93" s="491"/>
      <c r="ISY93" s="491"/>
      <c r="ISZ93" s="491"/>
      <c r="ITA93" s="491"/>
      <c r="ITB93" s="491"/>
      <c r="ITC93" s="491"/>
      <c r="ITD93" s="491"/>
      <c r="ITE93" s="491"/>
      <c r="ITF93" s="491"/>
      <c r="ITG93" s="491"/>
      <c r="ITH93" s="491"/>
      <c r="ITI93" s="491"/>
      <c r="ITJ93" s="491"/>
      <c r="ITK93" s="491"/>
      <c r="ITL93" s="492"/>
      <c r="ITM93" s="492"/>
      <c r="ITN93" s="492"/>
      <c r="ITO93" s="492"/>
      <c r="ITP93" s="493"/>
      <c r="ITQ93" s="493"/>
      <c r="ITR93" s="192"/>
      <c r="ITS93" s="489"/>
      <c r="ITT93" s="489"/>
      <c r="ITU93" s="490"/>
      <c r="ITV93" s="490"/>
      <c r="ITW93" s="491"/>
      <c r="ITX93" s="491"/>
      <c r="ITY93" s="491"/>
      <c r="ITZ93" s="491"/>
      <c r="IUA93" s="491"/>
      <c r="IUB93" s="491"/>
      <c r="IUC93" s="491"/>
      <c r="IUD93" s="491"/>
      <c r="IUE93" s="491"/>
      <c r="IUF93" s="491"/>
      <c r="IUG93" s="491"/>
      <c r="IUH93" s="491"/>
      <c r="IUI93" s="491"/>
      <c r="IUJ93" s="491"/>
      <c r="IUK93" s="491"/>
      <c r="IUL93" s="491"/>
      <c r="IUM93" s="491"/>
      <c r="IUN93" s="491"/>
      <c r="IUO93" s="491"/>
      <c r="IUP93" s="491"/>
      <c r="IUQ93" s="491"/>
      <c r="IUR93" s="491"/>
      <c r="IUS93" s="491"/>
      <c r="IUT93" s="491"/>
      <c r="IUU93" s="491"/>
      <c r="IUV93" s="491"/>
      <c r="IUW93" s="491"/>
      <c r="IUX93" s="491"/>
      <c r="IUY93" s="491"/>
      <c r="IUZ93" s="491"/>
      <c r="IVA93" s="491"/>
      <c r="IVB93" s="491"/>
      <c r="IVC93" s="491"/>
      <c r="IVD93" s="491"/>
      <c r="IVE93" s="492"/>
      <c r="IVF93" s="492"/>
      <c r="IVG93" s="492"/>
      <c r="IVH93" s="492"/>
      <c r="IVI93" s="493"/>
      <c r="IVJ93" s="493"/>
      <c r="IVK93" s="192"/>
      <c r="IVL93" s="489"/>
      <c r="IVM93" s="489"/>
      <c r="IVN93" s="490"/>
      <c r="IVO93" s="490"/>
      <c r="IVP93" s="491"/>
      <c r="IVQ93" s="491"/>
      <c r="IVR93" s="491"/>
      <c r="IVS93" s="491"/>
      <c r="IVT93" s="491"/>
      <c r="IVU93" s="491"/>
      <c r="IVV93" s="491"/>
      <c r="IVW93" s="491"/>
      <c r="IVX93" s="491"/>
      <c r="IVY93" s="491"/>
      <c r="IVZ93" s="491"/>
      <c r="IWA93" s="491"/>
      <c r="IWB93" s="491"/>
      <c r="IWC93" s="491"/>
      <c r="IWD93" s="491"/>
      <c r="IWE93" s="491"/>
      <c r="IWF93" s="491"/>
      <c r="IWG93" s="491"/>
      <c r="IWH93" s="491"/>
      <c r="IWI93" s="491"/>
      <c r="IWJ93" s="491"/>
      <c r="IWK93" s="491"/>
      <c r="IWL93" s="491"/>
      <c r="IWM93" s="491"/>
      <c r="IWN93" s="491"/>
      <c r="IWO93" s="491"/>
      <c r="IWP93" s="491"/>
      <c r="IWQ93" s="491"/>
      <c r="IWR93" s="491"/>
      <c r="IWS93" s="491"/>
      <c r="IWT93" s="491"/>
      <c r="IWU93" s="491"/>
      <c r="IWV93" s="491"/>
      <c r="IWW93" s="491"/>
      <c r="IWX93" s="492"/>
      <c r="IWY93" s="492"/>
      <c r="IWZ93" s="492"/>
      <c r="IXA93" s="492"/>
      <c r="IXB93" s="493"/>
      <c r="IXC93" s="493"/>
      <c r="IXD93" s="192"/>
      <c r="IXE93" s="489"/>
      <c r="IXF93" s="489"/>
      <c r="IXG93" s="490"/>
      <c r="IXH93" s="490"/>
      <c r="IXI93" s="491"/>
      <c r="IXJ93" s="491"/>
      <c r="IXK93" s="491"/>
      <c r="IXL93" s="491"/>
      <c r="IXM93" s="491"/>
      <c r="IXN93" s="491"/>
      <c r="IXO93" s="491"/>
      <c r="IXP93" s="491"/>
      <c r="IXQ93" s="491"/>
      <c r="IXR93" s="491"/>
      <c r="IXS93" s="491"/>
      <c r="IXT93" s="491"/>
      <c r="IXU93" s="491"/>
      <c r="IXV93" s="491"/>
      <c r="IXW93" s="491"/>
      <c r="IXX93" s="491"/>
      <c r="IXY93" s="491"/>
      <c r="IXZ93" s="491"/>
      <c r="IYA93" s="491"/>
      <c r="IYB93" s="491"/>
      <c r="IYC93" s="491"/>
      <c r="IYD93" s="491"/>
      <c r="IYE93" s="491"/>
      <c r="IYF93" s="491"/>
      <c r="IYG93" s="491"/>
      <c r="IYH93" s="491"/>
      <c r="IYI93" s="491"/>
      <c r="IYJ93" s="491"/>
      <c r="IYK93" s="491"/>
      <c r="IYL93" s="491"/>
      <c r="IYM93" s="491"/>
      <c r="IYN93" s="491"/>
      <c r="IYO93" s="491"/>
      <c r="IYP93" s="491"/>
      <c r="IYQ93" s="492"/>
      <c r="IYR93" s="492"/>
      <c r="IYS93" s="492"/>
      <c r="IYT93" s="492"/>
      <c r="IYU93" s="493"/>
      <c r="IYV93" s="493"/>
      <c r="IYW93" s="192"/>
      <c r="IYX93" s="489"/>
      <c r="IYY93" s="489"/>
      <c r="IYZ93" s="490"/>
      <c r="IZA93" s="490"/>
      <c r="IZB93" s="491"/>
      <c r="IZC93" s="491"/>
      <c r="IZD93" s="491"/>
      <c r="IZE93" s="491"/>
      <c r="IZF93" s="491"/>
      <c r="IZG93" s="491"/>
      <c r="IZH93" s="491"/>
      <c r="IZI93" s="491"/>
      <c r="IZJ93" s="491"/>
      <c r="IZK93" s="491"/>
      <c r="IZL93" s="491"/>
      <c r="IZM93" s="491"/>
      <c r="IZN93" s="491"/>
      <c r="IZO93" s="491"/>
      <c r="IZP93" s="491"/>
      <c r="IZQ93" s="491"/>
      <c r="IZR93" s="491"/>
      <c r="IZS93" s="491"/>
      <c r="IZT93" s="491"/>
      <c r="IZU93" s="491"/>
      <c r="IZV93" s="491"/>
      <c r="IZW93" s="491"/>
      <c r="IZX93" s="491"/>
      <c r="IZY93" s="491"/>
      <c r="IZZ93" s="491"/>
      <c r="JAA93" s="491"/>
      <c r="JAB93" s="491"/>
      <c r="JAC93" s="491"/>
      <c r="JAD93" s="491"/>
      <c r="JAE93" s="491"/>
      <c r="JAF93" s="491"/>
      <c r="JAG93" s="491"/>
      <c r="JAH93" s="491"/>
      <c r="JAI93" s="491"/>
      <c r="JAJ93" s="492"/>
      <c r="JAK93" s="492"/>
      <c r="JAL93" s="492"/>
      <c r="JAM93" s="492"/>
      <c r="JAN93" s="493"/>
      <c r="JAO93" s="493"/>
      <c r="JAP93" s="192"/>
      <c r="JAQ93" s="489"/>
      <c r="JAR93" s="489"/>
      <c r="JAS93" s="490"/>
      <c r="JAT93" s="490"/>
      <c r="JAU93" s="491"/>
      <c r="JAV93" s="491"/>
      <c r="JAW93" s="491"/>
      <c r="JAX93" s="491"/>
      <c r="JAY93" s="491"/>
      <c r="JAZ93" s="491"/>
      <c r="JBA93" s="491"/>
      <c r="JBB93" s="491"/>
      <c r="JBC93" s="491"/>
      <c r="JBD93" s="491"/>
      <c r="JBE93" s="491"/>
      <c r="JBF93" s="491"/>
      <c r="JBG93" s="491"/>
      <c r="JBH93" s="491"/>
      <c r="JBI93" s="491"/>
      <c r="JBJ93" s="491"/>
      <c r="JBK93" s="491"/>
      <c r="JBL93" s="491"/>
      <c r="JBM93" s="491"/>
      <c r="JBN93" s="491"/>
      <c r="JBO93" s="491"/>
      <c r="JBP93" s="491"/>
      <c r="JBQ93" s="491"/>
      <c r="JBR93" s="491"/>
      <c r="JBS93" s="491"/>
      <c r="JBT93" s="491"/>
      <c r="JBU93" s="491"/>
      <c r="JBV93" s="491"/>
      <c r="JBW93" s="491"/>
      <c r="JBX93" s="491"/>
      <c r="JBY93" s="491"/>
      <c r="JBZ93" s="491"/>
      <c r="JCA93" s="491"/>
      <c r="JCB93" s="491"/>
      <c r="JCC93" s="492"/>
      <c r="JCD93" s="492"/>
      <c r="JCE93" s="492"/>
      <c r="JCF93" s="492"/>
      <c r="JCG93" s="493"/>
      <c r="JCH93" s="493"/>
      <c r="JCI93" s="192"/>
      <c r="JCJ93" s="489"/>
      <c r="JCK93" s="489"/>
      <c r="JCL93" s="490"/>
      <c r="JCM93" s="490"/>
      <c r="JCN93" s="491"/>
      <c r="JCO93" s="491"/>
      <c r="JCP93" s="491"/>
      <c r="JCQ93" s="491"/>
      <c r="JCR93" s="491"/>
      <c r="JCS93" s="491"/>
      <c r="JCT93" s="491"/>
      <c r="JCU93" s="491"/>
      <c r="JCV93" s="491"/>
      <c r="JCW93" s="491"/>
      <c r="JCX93" s="491"/>
      <c r="JCY93" s="491"/>
      <c r="JCZ93" s="491"/>
      <c r="JDA93" s="491"/>
      <c r="JDB93" s="491"/>
      <c r="JDC93" s="491"/>
      <c r="JDD93" s="491"/>
      <c r="JDE93" s="491"/>
      <c r="JDF93" s="491"/>
      <c r="JDG93" s="491"/>
      <c r="JDH93" s="491"/>
      <c r="JDI93" s="491"/>
      <c r="JDJ93" s="491"/>
      <c r="JDK93" s="491"/>
      <c r="JDL93" s="491"/>
      <c r="JDM93" s="491"/>
      <c r="JDN93" s="491"/>
      <c r="JDO93" s="491"/>
      <c r="JDP93" s="491"/>
      <c r="JDQ93" s="491"/>
      <c r="JDR93" s="491"/>
      <c r="JDS93" s="491"/>
      <c r="JDT93" s="491"/>
      <c r="JDU93" s="491"/>
      <c r="JDV93" s="492"/>
      <c r="JDW93" s="492"/>
      <c r="JDX93" s="492"/>
      <c r="JDY93" s="492"/>
      <c r="JDZ93" s="493"/>
      <c r="JEA93" s="493"/>
      <c r="JEB93" s="192"/>
      <c r="JEC93" s="489"/>
      <c r="JED93" s="489"/>
      <c r="JEE93" s="490"/>
      <c r="JEF93" s="490"/>
      <c r="JEG93" s="491"/>
      <c r="JEH93" s="491"/>
      <c r="JEI93" s="491"/>
      <c r="JEJ93" s="491"/>
      <c r="JEK93" s="491"/>
      <c r="JEL93" s="491"/>
      <c r="JEM93" s="491"/>
      <c r="JEN93" s="491"/>
      <c r="JEO93" s="491"/>
      <c r="JEP93" s="491"/>
      <c r="JEQ93" s="491"/>
      <c r="JER93" s="491"/>
      <c r="JES93" s="491"/>
      <c r="JET93" s="491"/>
      <c r="JEU93" s="491"/>
      <c r="JEV93" s="491"/>
      <c r="JEW93" s="491"/>
      <c r="JEX93" s="491"/>
      <c r="JEY93" s="491"/>
      <c r="JEZ93" s="491"/>
      <c r="JFA93" s="491"/>
      <c r="JFB93" s="491"/>
      <c r="JFC93" s="491"/>
      <c r="JFD93" s="491"/>
      <c r="JFE93" s="491"/>
      <c r="JFF93" s="491"/>
      <c r="JFG93" s="491"/>
      <c r="JFH93" s="491"/>
      <c r="JFI93" s="491"/>
      <c r="JFJ93" s="491"/>
      <c r="JFK93" s="491"/>
      <c r="JFL93" s="491"/>
      <c r="JFM93" s="491"/>
      <c r="JFN93" s="491"/>
      <c r="JFO93" s="492"/>
      <c r="JFP93" s="492"/>
      <c r="JFQ93" s="492"/>
      <c r="JFR93" s="492"/>
      <c r="JFS93" s="493"/>
      <c r="JFT93" s="493"/>
      <c r="JFU93" s="192"/>
      <c r="JFV93" s="489"/>
      <c r="JFW93" s="489"/>
      <c r="JFX93" s="490"/>
      <c r="JFY93" s="490"/>
      <c r="JFZ93" s="491"/>
      <c r="JGA93" s="491"/>
      <c r="JGB93" s="491"/>
      <c r="JGC93" s="491"/>
      <c r="JGD93" s="491"/>
      <c r="JGE93" s="491"/>
      <c r="JGF93" s="491"/>
      <c r="JGG93" s="491"/>
      <c r="JGH93" s="491"/>
      <c r="JGI93" s="491"/>
      <c r="JGJ93" s="491"/>
      <c r="JGK93" s="491"/>
      <c r="JGL93" s="491"/>
      <c r="JGM93" s="491"/>
      <c r="JGN93" s="491"/>
      <c r="JGO93" s="491"/>
      <c r="JGP93" s="491"/>
      <c r="JGQ93" s="491"/>
      <c r="JGR93" s="491"/>
      <c r="JGS93" s="491"/>
      <c r="JGT93" s="491"/>
      <c r="JGU93" s="491"/>
      <c r="JGV93" s="491"/>
      <c r="JGW93" s="491"/>
      <c r="JGX93" s="491"/>
      <c r="JGY93" s="491"/>
      <c r="JGZ93" s="491"/>
      <c r="JHA93" s="491"/>
      <c r="JHB93" s="491"/>
      <c r="JHC93" s="491"/>
      <c r="JHD93" s="491"/>
      <c r="JHE93" s="491"/>
      <c r="JHF93" s="491"/>
      <c r="JHG93" s="491"/>
      <c r="JHH93" s="492"/>
      <c r="JHI93" s="492"/>
      <c r="JHJ93" s="492"/>
      <c r="JHK93" s="492"/>
      <c r="JHL93" s="493"/>
      <c r="JHM93" s="493"/>
      <c r="JHN93" s="192"/>
      <c r="JHO93" s="489"/>
      <c r="JHP93" s="489"/>
      <c r="JHQ93" s="490"/>
      <c r="JHR93" s="490"/>
      <c r="JHS93" s="491"/>
      <c r="JHT93" s="491"/>
      <c r="JHU93" s="491"/>
      <c r="JHV93" s="491"/>
      <c r="JHW93" s="491"/>
      <c r="JHX93" s="491"/>
      <c r="JHY93" s="491"/>
      <c r="JHZ93" s="491"/>
      <c r="JIA93" s="491"/>
      <c r="JIB93" s="491"/>
      <c r="JIC93" s="491"/>
      <c r="JID93" s="491"/>
      <c r="JIE93" s="491"/>
      <c r="JIF93" s="491"/>
      <c r="JIG93" s="491"/>
      <c r="JIH93" s="491"/>
      <c r="JII93" s="491"/>
      <c r="JIJ93" s="491"/>
      <c r="JIK93" s="491"/>
      <c r="JIL93" s="491"/>
      <c r="JIM93" s="491"/>
      <c r="JIN93" s="491"/>
      <c r="JIO93" s="491"/>
      <c r="JIP93" s="491"/>
      <c r="JIQ93" s="491"/>
      <c r="JIR93" s="491"/>
      <c r="JIS93" s="491"/>
      <c r="JIT93" s="491"/>
      <c r="JIU93" s="491"/>
      <c r="JIV93" s="491"/>
      <c r="JIW93" s="491"/>
      <c r="JIX93" s="491"/>
      <c r="JIY93" s="491"/>
      <c r="JIZ93" s="491"/>
      <c r="JJA93" s="492"/>
      <c r="JJB93" s="492"/>
      <c r="JJC93" s="492"/>
      <c r="JJD93" s="492"/>
      <c r="JJE93" s="493"/>
      <c r="JJF93" s="493"/>
      <c r="JJG93" s="192"/>
      <c r="JJH93" s="489"/>
      <c r="JJI93" s="489"/>
      <c r="JJJ93" s="490"/>
      <c r="JJK93" s="490"/>
      <c r="JJL93" s="491"/>
      <c r="JJM93" s="491"/>
      <c r="JJN93" s="491"/>
      <c r="JJO93" s="491"/>
      <c r="JJP93" s="491"/>
      <c r="JJQ93" s="491"/>
      <c r="JJR93" s="491"/>
      <c r="JJS93" s="491"/>
      <c r="JJT93" s="491"/>
      <c r="JJU93" s="491"/>
      <c r="JJV93" s="491"/>
      <c r="JJW93" s="491"/>
      <c r="JJX93" s="491"/>
      <c r="JJY93" s="491"/>
      <c r="JJZ93" s="491"/>
      <c r="JKA93" s="491"/>
      <c r="JKB93" s="491"/>
      <c r="JKC93" s="491"/>
      <c r="JKD93" s="491"/>
      <c r="JKE93" s="491"/>
      <c r="JKF93" s="491"/>
      <c r="JKG93" s="491"/>
      <c r="JKH93" s="491"/>
      <c r="JKI93" s="491"/>
      <c r="JKJ93" s="491"/>
      <c r="JKK93" s="491"/>
      <c r="JKL93" s="491"/>
      <c r="JKM93" s="491"/>
      <c r="JKN93" s="491"/>
      <c r="JKO93" s="491"/>
      <c r="JKP93" s="491"/>
      <c r="JKQ93" s="491"/>
      <c r="JKR93" s="491"/>
      <c r="JKS93" s="491"/>
      <c r="JKT93" s="492"/>
      <c r="JKU93" s="492"/>
      <c r="JKV93" s="492"/>
      <c r="JKW93" s="492"/>
      <c r="JKX93" s="493"/>
      <c r="JKY93" s="493"/>
      <c r="JKZ93" s="192"/>
      <c r="JLA93" s="489"/>
      <c r="JLB93" s="489"/>
      <c r="JLC93" s="490"/>
      <c r="JLD93" s="490"/>
      <c r="JLE93" s="491"/>
      <c r="JLF93" s="491"/>
      <c r="JLG93" s="491"/>
      <c r="JLH93" s="491"/>
      <c r="JLI93" s="491"/>
      <c r="JLJ93" s="491"/>
      <c r="JLK93" s="491"/>
      <c r="JLL93" s="491"/>
      <c r="JLM93" s="491"/>
      <c r="JLN93" s="491"/>
      <c r="JLO93" s="491"/>
      <c r="JLP93" s="491"/>
      <c r="JLQ93" s="491"/>
      <c r="JLR93" s="491"/>
      <c r="JLS93" s="491"/>
      <c r="JLT93" s="491"/>
      <c r="JLU93" s="491"/>
      <c r="JLV93" s="491"/>
      <c r="JLW93" s="491"/>
      <c r="JLX93" s="491"/>
      <c r="JLY93" s="491"/>
      <c r="JLZ93" s="491"/>
      <c r="JMA93" s="491"/>
      <c r="JMB93" s="491"/>
      <c r="JMC93" s="491"/>
      <c r="JMD93" s="491"/>
      <c r="JME93" s="491"/>
      <c r="JMF93" s="491"/>
      <c r="JMG93" s="491"/>
      <c r="JMH93" s="491"/>
      <c r="JMI93" s="491"/>
      <c r="JMJ93" s="491"/>
      <c r="JMK93" s="491"/>
      <c r="JML93" s="491"/>
      <c r="JMM93" s="492"/>
      <c r="JMN93" s="492"/>
      <c r="JMO93" s="492"/>
      <c r="JMP93" s="492"/>
      <c r="JMQ93" s="493"/>
      <c r="JMR93" s="493"/>
      <c r="JMS93" s="192"/>
      <c r="JMT93" s="489"/>
      <c r="JMU93" s="489"/>
      <c r="JMV93" s="490"/>
      <c r="JMW93" s="490"/>
      <c r="JMX93" s="491"/>
      <c r="JMY93" s="491"/>
      <c r="JMZ93" s="491"/>
      <c r="JNA93" s="491"/>
      <c r="JNB93" s="491"/>
      <c r="JNC93" s="491"/>
      <c r="JND93" s="491"/>
      <c r="JNE93" s="491"/>
      <c r="JNF93" s="491"/>
      <c r="JNG93" s="491"/>
      <c r="JNH93" s="491"/>
      <c r="JNI93" s="491"/>
      <c r="JNJ93" s="491"/>
      <c r="JNK93" s="491"/>
      <c r="JNL93" s="491"/>
      <c r="JNM93" s="491"/>
      <c r="JNN93" s="491"/>
      <c r="JNO93" s="491"/>
      <c r="JNP93" s="491"/>
      <c r="JNQ93" s="491"/>
      <c r="JNR93" s="491"/>
      <c r="JNS93" s="491"/>
      <c r="JNT93" s="491"/>
      <c r="JNU93" s="491"/>
      <c r="JNV93" s="491"/>
      <c r="JNW93" s="491"/>
      <c r="JNX93" s="491"/>
      <c r="JNY93" s="491"/>
      <c r="JNZ93" s="491"/>
      <c r="JOA93" s="491"/>
      <c r="JOB93" s="491"/>
      <c r="JOC93" s="491"/>
      <c r="JOD93" s="491"/>
      <c r="JOE93" s="491"/>
      <c r="JOF93" s="492"/>
      <c r="JOG93" s="492"/>
      <c r="JOH93" s="492"/>
      <c r="JOI93" s="492"/>
      <c r="JOJ93" s="493"/>
      <c r="JOK93" s="493"/>
      <c r="JOL93" s="192"/>
      <c r="JOM93" s="489"/>
      <c r="JON93" s="489"/>
      <c r="JOO93" s="490"/>
      <c r="JOP93" s="490"/>
      <c r="JOQ93" s="491"/>
      <c r="JOR93" s="491"/>
      <c r="JOS93" s="491"/>
      <c r="JOT93" s="491"/>
      <c r="JOU93" s="491"/>
      <c r="JOV93" s="491"/>
      <c r="JOW93" s="491"/>
      <c r="JOX93" s="491"/>
      <c r="JOY93" s="491"/>
      <c r="JOZ93" s="491"/>
      <c r="JPA93" s="491"/>
      <c r="JPB93" s="491"/>
      <c r="JPC93" s="491"/>
      <c r="JPD93" s="491"/>
      <c r="JPE93" s="491"/>
      <c r="JPF93" s="491"/>
      <c r="JPG93" s="491"/>
      <c r="JPH93" s="491"/>
      <c r="JPI93" s="491"/>
      <c r="JPJ93" s="491"/>
      <c r="JPK93" s="491"/>
      <c r="JPL93" s="491"/>
      <c r="JPM93" s="491"/>
      <c r="JPN93" s="491"/>
      <c r="JPO93" s="491"/>
      <c r="JPP93" s="491"/>
      <c r="JPQ93" s="491"/>
      <c r="JPR93" s="491"/>
      <c r="JPS93" s="491"/>
      <c r="JPT93" s="491"/>
      <c r="JPU93" s="491"/>
      <c r="JPV93" s="491"/>
      <c r="JPW93" s="491"/>
      <c r="JPX93" s="491"/>
      <c r="JPY93" s="492"/>
      <c r="JPZ93" s="492"/>
      <c r="JQA93" s="492"/>
      <c r="JQB93" s="492"/>
      <c r="JQC93" s="493"/>
      <c r="JQD93" s="493"/>
      <c r="JQE93" s="192"/>
      <c r="JQF93" s="489"/>
      <c r="JQG93" s="489"/>
      <c r="JQH93" s="490"/>
      <c r="JQI93" s="490"/>
      <c r="JQJ93" s="491"/>
      <c r="JQK93" s="491"/>
      <c r="JQL93" s="491"/>
      <c r="JQM93" s="491"/>
      <c r="JQN93" s="491"/>
      <c r="JQO93" s="491"/>
      <c r="JQP93" s="491"/>
      <c r="JQQ93" s="491"/>
      <c r="JQR93" s="491"/>
      <c r="JQS93" s="491"/>
      <c r="JQT93" s="491"/>
      <c r="JQU93" s="491"/>
      <c r="JQV93" s="491"/>
      <c r="JQW93" s="491"/>
      <c r="JQX93" s="491"/>
      <c r="JQY93" s="491"/>
      <c r="JQZ93" s="491"/>
      <c r="JRA93" s="491"/>
      <c r="JRB93" s="491"/>
      <c r="JRC93" s="491"/>
      <c r="JRD93" s="491"/>
      <c r="JRE93" s="491"/>
      <c r="JRF93" s="491"/>
      <c r="JRG93" s="491"/>
      <c r="JRH93" s="491"/>
      <c r="JRI93" s="491"/>
      <c r="JRJ93" s="491"/>
      <c r="JRK93" s="491"/>
      <c r="JRL93" s="491"/>
      <c r="JRM93" s="491"/>
      <c r="JRN93" s="491"/>
      <c r="JRO93" s="491"/>
      <c r="JRP93" s="491"/>
      <c r="JRQ93" s="491"/>
      <c r="JRR93" s="492"/>
      <c r="JRS93" s="492"/>
      <c r="JRT93" s="492"/>
      <c r="JRU93" s="492"/>
      <c r="JRV93" s="493"/>
      <c r="JRW93" s="493"/>
      <c r="JRX93" s="192"/>
      <c r="JRY93" s="489"/>
      <c r="JRZ93" s="489"/>
      <c r="JSA93" s="490"/>
      <c r="JSB93" s="490"/>
      <c r="JSC93" s="491"/>
      <c r="JSD93" s="491"/>
      <c r="JSE93" s="491"/>
      <c r="JSF93" s="491"/>
      <c r="JSG93" s="491"/>
      <c r="JSH93" s="491"/>
      <c r="JSI93" s="491"/>
      <c r="JSJ93" s="491"/>
      <c r="JSK93" s="491"/>
      <c r="JSL93" s="491"/>
      <c r="JSM93" s="491"/>
      <c r="JSN93" s="491"/>
      <c r="JSO93" s="491"/>
      <c r="JSP93" s="491"/>
      <c r="JSQ93" s="491"/>
      <c r="JSR93" s="491"/>
      <c r="JSS93" s="491"/>
      <c r="JST93" s="491"/>
      <c r="JSU93" s="491"/>
      <c r="JSV93" s="491"/>
      <c r="JSW93" s="491"/>
      <c r="JSX93" s="491"/>
      <c r="JSY93" s="491"/>
      <c r="JSZ93" s="491"/>
      <c r="JTA93" s="491"/>
      <c r="JTB93" s="491"/>
      <c r="JTC93" s="491"/>
      <c r="JTD93" s="491"/>
      <c r="JTE93" s="491"/>
      <c r="JTF93" s="491"/>
      <c r="JTG93" s="491"/>
      <c r="JTH93" s="491"/>
      <c r="JTI93" s="491"/>
      <c r="JTJ93" s="491"/>
      <c r="JTK93" s="492"/>
      <c r="JTL93" s="492"/>
      <c r="JTM93" s="492"/>
      <c r="JTN93" s="492"/>
      <c r="JTO93" s="493"/>
      <c r="JTP93" s="493"/>
      <c r="JTQ93" s="192"/>
      <c r="JTR93" s="489"/>
      <c r="JTS93" s="489"/>
      <c r="JTT93" s="490"/>
      <c r="JTU93" s="490"/>
      <c r="JTV93" s="491"/>
      <c r="JTW93" s="491"/>
      <c r="JTX93" s="491"/>
      <c r="JTY93" s="491"/>
      <c r="JTZ93" s="491"/>
      <c r="JUA93" s="491"/>
      <c r="JUB93" s="491"/>
      <c r="JUC93" s="491"/>
      <c r="JUD93" s="491"/>
      <c r="JUE93" s="491"/>
      <c r="JUF93" s="491"/>
      <c r="JUG93" s="491"/>
      <c r="JUH93" s="491"/>
      <c r="JUI93" s="491"/>
      <c r="JUJ93" s="491"/>
      <c r="JUK93" s="491"/>
      <c r="JUL93" s="491"/>
      <c r="JUM93" s="491"/>
      <c r="JUN93" s="491"/>
      <c r="JUO93" s="491"/>
      <c r="JUP93" s="491"/>
      <c r="JUQ93" s="491"/>
      <c r="JUR93" s="491"/>
      <c r="JUS93" s="491"/>
      <c r="JUT93" s="491"/>
      <c r="JUU93" s="491"/>
      <c r="JUV93" s="491"/>
      <c r="JUW93" s="491"/>
      <c r="JUX93" s="491"/>
      <c r="JUY93" s="491"/>
      <c r="JUZ93" s="491"/>
      <c r="JVA93" s="491"/>
      <c r="JVB93" s="491"/>
      <c r="JVC93" s="491"/>
      <c r="JVD93" s="492"/>
      <c r="JVE93" s="492"/>
      <c r="JVF93" s="492"/>
      <c r="JVG93" s="492"/>
      <c r="JVH93" s="493"/>
      <c r="JVI93" s="493"/>
      <c r="JVJ93" s="192"/>
      <c r="JVK93" s="489"/>
      <c r="JVL93" s="489"/>
      <c r="JVM93" s="490"/>
      <c r="JVN93" s="490"/>
      <c r="JVO93" s="491"/>
      <c r="JVP93" s="491"/>
      <c r="JVQ93" s="491"/>
      <c r="JVR93" s="491"/>
      <c r="JVS93" s="491"/>
      <c r="JVT93" s="491"/>
      <c r="JVU93" s="491"/>
      <c r="JVV93" s="491"/>
      <c r="JVW93" s="491"/>
      <c r="JVX93" s="491"/>
      <c r="JVY93" s="491"/>
      <c r="JVZ93" s="491"/>
      <c r="JWA93" s="491"/>
      <c r="JWB93" s="491"/>
      <c r="JWC93" s="491"/>
      <c r="JWD93" s="491"/>
      <c r="JWE93" s="491"/>
      <c r="JWF93" s="491"/>
      <c r="JWG93" s="491"/>
      <c r="JWH93" s="491"/>
      <c r="JWI93" s="491"/>
      <c r="JWJ93" s="491"/>
      <c r="JWK93" s="491"/>
      <c r="JWL93" s="491"/>
      <c r="JWM93" s="491"/>
      <c r="JWN93" s="491"/>
      <c r="JWO93" s="491"/>
      <c r="JWP93" s="491"/>
      <c r="JWQ93" s="491"/>
      <c r="JWR93" s="491"/>
      <c r="JWS93" s="491"/>
      <c r="JWT93" s="491"/>
      <c r="JWU93" s="491"/>
      <c r="JWV93" s="491"/>
      <c r="JWW93" s="492"/>
      <c r="JWX93" s="492"/>
      <c r="JWY93" s="492"/>
      <c r="JWZ93" s="492"/>
      <c r="JXA93" s="493"/>
      <c r="JXB93" s="493"/>
      <c r="JXC93" s="192"/>
      <c r="JXD93" s="489"/>
      <c r="JXE93" s="489"/>
      <c r="JXF93" s="490"/>
      <c r="JXG93" s="490"/>
      <c r="JXH93" s="491"/>
      <c r="JXI93" s="491"/>
      <c r="JXJ93" s="491"/>
      <c r="JXK93" s="491"/>
      <c r="JXL93" s="491"/>
      <c r="JXM93" s="491"/>
      <c r="JXN93" s="491"/>
      <c r="JXO93" s="491"/>
      <c r="JXP93" s="491"/>
      <c r="JXQ93" s="491"/>
      <c r="JXR93" s="491"/>
      <c r="JXS93" s="491"/>
      <c r="JXT93" s="491"/>
      <c r="JXU93" s="491"/>
      <c r="JXV93" s="491"/>
      <c r="JXW93" s="491"/>
      <c r="JXX93" s="491"/>
      <c r="JXY93" s="491"/>
      <c r="JXZ93" s="491"/>
      <c r="JYA93" s="491"/>
      <c r="JYB93" s="491"/>
      <c r="JYC93" s="491"/>
      <c r="JYD93" s="491"/>
      <c r="JYE93" s="491"/>
      <c r="JYF93" s="491"/>
      <c r="JYG93" s="491"/>
      <c r="JYH93" s="491"/>
      <c r="JYI93" s="491"/>
      <c r="JYJ93" s="491"/>
      <c r="JYK93" s="491"/>
      <c r="JYL93" s="491"/>
      <c r="JYM93" s="491"/>
      <c r="JYN93" s="491"/>
      <c r="JYO93" s="491"/>
      <c r="JYP93" s="492"/>
      <c r="JYQ93" s="492"/>
      <c r="JYR93" s="492"/>
      <c r="JYS93" s="492"/>
      <c r="JYT93" s="493"/>
      <c r="JYU93" s="493"/>
      <c r="JYV93" s="192"/>
      <c r="JYW93" s="489"/>
      <c r="JYX93" s="489"/>
      <c r="JYY93" s="490"/>
      <c r="JYZ93" s="490"/>
      <c r="JZA93" s="491"/>
      <c r="JZB93" s="491"/>
      <c r="JZC93" s="491"/>
      <c r="JZD93" s="491"/>
      <c r="JZE93" s="491"/>
      <c r="JZF93" s="491"/>
      <c r="JZG93" s="491"/>
      <c r="JZH93" s="491"/>
      <c r="JZI93" s="491"/>
      <c r="JZJ93" s="491"/>
      <c r="JZK93" s="491"/>
      <c r="JZL93" s="491"/>
      <c r="JZM93" s="491"/>
      <c r="JZN93" s="491"/>
      <c r="JZO93" s="491"/>
      <c r="JZP93" s="491"/>
      <c r="JZQ93" s="491"/>
      <c r="JZR93" s="491"/>
      <c r="JZS93" s="491"/>
      <c r="JZT93" s="491"/>
      <c r="JZU93" s="491"/>
      <c r="JZV93" s="491"/>
      <c r="JZW93" s="491"/>
      <c r="JZX93" s="491"/>
      <c r="JZY93" s="491"/>
      <c r="JZZ93" s="491"/>
      <c r="KAA93" s="491"/>
      <c r="KAB93" s="491"/>
      <c r="KAC93" s="491"/>
      <c r="KAD93" s="491"/>
      <c r="KAE93" s="491"/>
      <c r="KAF93" s="491"/>
      <c r="KAG93" s="491"/>
      <c r="KAH93" s="491"/>
      <c r="KAI93" s="492"/>
      <c r="KAJ93" s="492"/>
      <c r="KAK93" s="492"/>
      <c r="KAL93" s="492"/>
      <c r="KAM93" s="493"/>
      <c r="KAN93" s="493"/>
      <c r="KAO93" s="192"/>
      <c r="KAP93" s="489"/>
      <c r="KAQ93" s="489"/>
      <c r="KAR93" s="490"/>
      <c r="KAS93" s="490"/>
      <c r="KAT93" s="491"/>
      <c r="KAU93" s="491"/>
      <c r="KAV93" s="491"/>
      <c r="KAW93" s="491"/>
      <c r="KAX93" s="491"/>
      <c r="KAY93" s="491"/>
      <c r="KAZ93" s="491"/>
      <c r="KBA93" s="491"/>
      <c r="KBB93" s="491"/>
      <c r="KBC93" s="491"/>
      <c r="KBD93" s="491"/>
      <c r="KBE93" s="491"/>
      <c r="KBF93" s="491"/>
      <c r="KBG93" s="491"/>
      <c r="KBH93" s="491"/>
      <c r="KBI93" s="491"/>
      <c r="KBJ93" s="491"/>
      <c r="KBK93" s="491"/>
      <c r="KBL93" s="491"/>
      <c r="KBM93" s="491"/>
      <c r="KBN93" s="491"/>
      <c r="KBO93" s="491"/>
      <c r="KBP93" s="491"/>
      <c r="KBQ93" s="491"/>
      <c r="KBR93" s="491"/>
      <c r="KBS93" s="491"/>
      <c r="KBT93" s="491"/>
      <c r="KBU93" s="491"/>
      <c r="KBV93" s="491"/>
      <c r="KBW93" s="491"/>
      <c r="KBX93" s="491"/>
      <c r="KBY93" s="491"/>
      <c r="KBZ93" s="491"/>
      <c r="KCA93" s="491"/>
      <c r="KCB93" s="492"/>
      <c r="KCC93" s="492"/>
      <c r="KCD93" s="492"/>
      <c r="KCE93" s="492"/>
      <c r="KCF93" s="493"/>
      <c r="KCG93" s="493"/>
      <c r="KCH93" s="192"/>
      <c r="KCI93" s="489"/>
      <c r="KCJ93" s="489"/>
      <c r="KCK93" s="490"/>
      <c r="KCL93" s="490"/>
      <c r="KCM93" s="491"/>
      <c r="KCN93" s="491"/>
      <c r="KCO93" s="491"/>
      <c r="KCP93" s="491"/>
      <c r="KCQ93" s="491"/>
      <c r="KCR93" s="491"/>
      <c r="KCS93" s="491"/>
      <c r="KCT93" s="491"/>
      <c r="KCU93" s="491"/>
      <c r="KCV93" s="491"/>
      <c r="KCW93" s="491"/>
      <c r="KCX93" s="491"/>
      <c r="KCY93" s="491"/>
      <c r="KCZ93" s="491"/>
      <c r="KDA93" s="491"/>
      <c r="KDB93" s="491"/>
      <c r="KDC93" s="491"/>
      <c r="KDD93" s="491"/>
      <c r="KDE93" s="491"/>
      <c r="KDF93" s="491"/>
      <c r="KDG93" s="491"/>
      <c r="KDH93" s="491"/>
      <c r="KDI93" s="491"/>
      <c r="KDJ93" s="491"/>
      <c r="KDK93" s="491"/>
      <c r="KDL93" s="491"/>
      <c r="KDM93" s="491"/>
      <c r="KDN93" s="491"/>
      <c r="KDO93" s="491"/>
      <c r="KDP93" s="491"/>
      <c r="KDQ93" s="491"/>
      <c r="KDR93" s="491"/>
      <c r="KDS93" s="491"/>
      <c r="KDT93" s="491"/>
      <c r="KDU93" s="492"/>
      <c r="KDV93" s="492"/>
      <c r="KDW93" s="492"/>
      <c r="KDX93" s="492"/>
      <c r="KDY93" s="493"/>
      <c r="KDZ93" s="493"/>
      <c r="KEA93" s="192"/>
      <c r="KEB93" s="489"/>
      <c r="KEC93" s="489"/>
      <c r="KED93" s="490"/>
      <c r="KEE93" s="490"/>
      <c r="KEF93" s="491"/>
      <c r="KEG93" s="491"/>
      <c r="KEH93" s="491"/>
      <c r="KEI93" s="491"/>
      <c r="KEJ93" s="491"/>
      <c r="KEK93" s="491"/>
      <c r="KEL93" s="491"/>
      <c r="KEM93" s="491"/>
      <c r="KEN93" s="491"/>
      <c r="KEO93" s="491"/>
      <c r="KEP93" s="491"/>
      <c r="KEQ93" s="491"/>
      <c r="KER93" s="491"/>
      <c r="KES93" s="491"/>
      <c r="KET93" s="491"/>
      <c r="KEU93" s="491"/>
      <c r="KEV93" s="491"/>
      <c r="KEW93" s="491"/>
      <c r="KEX93" s="491"/>
      <c r="KEY93" s="491"/>
      <c r="KEZ93" s="491"/>
      <c r="KFA93" s="491"/>
      <c r="KFB93" s="491"/>
      <c r="KFC93" s="491"/>
      <c r="KFD93" s="491"/>
      <c r="KFE93" s="491"/>
      <c r="KFF93" s="491"/>
      <c r="KFG93" s="491"/>
      <c r="KFH93" s="491"/>
      <c r="KFI93" s="491"/>
      <c r="KFJ93" s="491"/>
      <c r="KFK93" s="491"/>
      <c r="KFL93" s="491"/>
      <c r="KFM93" s="491"/>
      <c r="KFN93" s="492"/>
      <c r="KFO93" s="492"/>
      <c r="KFP93" s="492"/>
      <c r="KFQ93" s="492"/>
      <c r="KFR93" s="493"/>
      <c r="KFS93" s="493"/>
      <c r="KFT93" s="192"/>
      <c r="KFU93" s="489"/>
      <c r="KFV93" s="489"/>
      <c r="KFW93" s="490"/>
      <c r="KFX93" s="490"/>
      <c r="KFY93" s="491"/>
      <c r="KFZ93" s="491"/>
      <c r="KGA93" s="491"/>
      <c r="KGB93" s="491"/>
      <c r="KGC93" s="491"/>
      <c r="KGD93" s="491"/>
      <c r="KGE93" s="491"/>
      <c r="KGF93" s="491"/>
      <c r="KGG93" s="491"/>
      <c r="KGH93" s="491"/>
      <c r="KGI93" s="491"/>
      <c r="KGJ93" s="491"/>
      <c r="KGK93" s="491"/>
      <c r="KGL93" s="491"/>
      <c r="KGM93" s="491"/>
      <c r="KGN93" s="491"/>
      <c r="KGO93" s="491"/>
      <c r="KGP93" s="491"/>
      <c r="KGQ93" s="491"/>
      <c r="KGR93" s="491"/>
      <c r="KGS93" s="491"/>
      <c r="KGT93" s="491"/>
      <c r="KGU93" s="491"/>
      <c r="KGV93" s="491"/>
      <c r="KGW93" s="491"/>
      <c r="KGX93" s="491"/>
      <c r="KGY93" s="491"/>
      <c r="KGZ93" s="491"/>
      <c r="KHA93" s="491"/>
      <c r="KHB93" s="491"/>
      <c r="KHC93" s="491"/>
      <c r="KHD93" s="491"/>
      <c r="KHE93" s="491"/>
      <c r="KHF93" s="491"/>
      <c r="KHG93" s="492"/>
      <c r="KHH93" s="492"/>
      <c r="KHI93" s="492"/>
      <c r="KHJ93" s="492"/>
      <c r="KHK93" s="493"/>
      <c r="KHL93" s="493"/>
      <c r="KHM93" s="192"/>
      <c r="KHN93" s="489"/>
      <c r="KHO93" s="489"/>
      <c r="KHP93" s="490"/>
      <c r="KHQ93" s="490"/>
      <c r="KHR93" s="491"/>
      <c r="KHS93" s="491"/>
      <c r="KHT93" s="491"/>
      <c r="KHU93" s="491"/>
      <c r="KHV93" s="491"/>
      <c r="KHW93" s="491"/>
      <c r="KHX93" s="491"/>
      <c r="KHY93" s="491"/>
      <c r="KHZ93" s="491"/>
      <c r="KIA93" s="491"/>
      <c r="KIB93" s="491"/>
      <c r="KIC93" s="491"/>
      <c r="KID93" s="491"/>
      <c r="KIE93" s="491"/>
      <c r="KIF93" s="491"/>
      <c r="KIG93" s="491"/>
      <c r="KIH93" s="491"/>
      <c r="KII93" s="491"/>
      <c r="KIJ93" s="491"/>
      <c r="KIK93" s="491"/>
      <c r="KIL93" s="491"/>
      <c r="KIM93" s="491"/>
      <c r="KIN93" s="491"/>
      <c r="KIO93" s="491"/>
      <c r="KIP93" s="491"/>
      <c r="KIQ93" s="491"/>
      <c r="KIR93" s="491"/>
      <c r="KIS93" s="491"/>
      <c r="KIT93" s="491"/>
      <c r="KIU93" s="491"/>
      <c r="KIV93" s="491"/>
      <c r="KIW93" s="491"/>
      <c r="KIX93" s="491"/>
      <c r="KIY93" s="491"/>
      <c r="KIZ93" s="492"/>
      <c r="KJA93" s="492"/>
      <c r="KJB93" s="492"/>
      <c r="KJC93" s="492"/>
      <c r="KJD93" s="493"/>
      <c r="KJE93" s="493"/>
      <c r="KJF93" s="192"/>
      <c r="KJG93" s="489"/>
      <c r="KJH93" s="489"/>
      <c r="KJI93" s="490"/>
      <c r="KJJ93" s="490"/>
      <c r="KJK93" s="491"/>
      <c r="KJL93" s="491"/>
      <c r="KJM93" s="491"/>
      <c r="KJN93" s="491"/>
      <c r="KJO93" s="491"/>
      <c r="KJP93" s="491"/>
      <c r="KJQ93" s="491"/>
      <c r="KJR93" s="491"/>
      <c r="KJS93" s="491"/>
      <c r="KJT93" s="491"/>
      <c r="KJU93" s="491"/>
      <c r="KJV93" s="491"/>
      <c r="KJW93" s="491"/>
      <c r="KJX93" s="491"/>
      <c r="KJY93" s="491"/>
      <c r="KJZ93" s="491"/>
      <c r="KKA93" s="491"/>
      <c r="KKB93" s="491"/>
      <c r="KKC93" s="491"/>
      <c r="KKD93" s="491"/>
      <c r="KKE93" s="491"/>
      <c r="KKF93" s="491"/>
      <c r="KKG93" s="491"/>
      <c r="KKH93" s="491"/>
      <c r="KKI93" s="491"/>
      <c r="KKJ93" s="491"/>
      <c r="KKK93" s="491"/>
      <c r="KKL93" s="491"/>
      <c r="KKM93" s="491"/>
      <c r="KKN93" s="491"/>
      <c r="KKO93" s="491"/>
      <c r="KKP93" s="491"/>
      <c r="KKQ93" s="491"/>
      <c r="KKR93" s="491"/>
      <c r="KKS93" s="492"/>
      <c r="KKT93" s="492"/>
      <c r="KKU93" s="492"/>
      <c r="KKV93" s="492"/>
      <c r="KKW93" s="493"/>
      <c r="KKX93" s="493"/>
      <c r="KKY93" s="192"/>
      <c r="KKZ93" s="489"/>
      <c r="KLA93" s="489"/>
      <c r="KLB93" s="490"/>
      <c r="KLC93" s="490"/>
      <c r="KLD93" s="491"/>
      <c r="KLE93" s="491"/>
      <c r="KLF93" s="491"/>
      <c r="KLG93" s="491"/>
      <c r="KLH93" s="491"/>
      <c r="KLI93" s="491"/>
      <c r="KLJ93" s="491"/>
      <c r="KLK93" s="491"/>
      <c r="KLL93" s="491"/>
      <c r="KLM93" s="491"/>
      <c r="KLN93" s="491"/>
      <c r="KLO93" s="491"/>
      <c r="KLP93" s="491"/>
      <c r="KLQ93" s="491"/>
      <c r="KLR93" s="491"/>
      <c r="KLS93" s="491"/>
      <c r="KLT93" s="491"/>
      <c r="KLU93" s="491"/>
      <c r="KLV93" s="491"/>
      <c r="KLW93" s="491"/>
      <c r="KLX93" s="491"/>
      <c r="KLY93" s="491"/>
      <c r="KLZ93" s="491"/>
      <c r="KMA93" s="491"/>
      <c r="KMB93" s="491"/>
      <c r="KMC93" s="491"/>
      <c r="KMD93" s="491"/>
      <c r="KME93" s="491"/>
      <c r="KMF93" s="491"/>
      <c r="KMG93" s="491"/>
      <c r="KMH93" s="491"/>
      <c r="KMI93" s="491"/>
      <c r="KMJ93" s="491"/>
      <c r="KMK93" s="491"/>
      <c r="KML93" s="492"/>
      <c r="KMM93" s="492"/>
      <c r="KMN93" s="492"/>
      <c r="KMO93" s="492"/>
      <c r="KMP93" s="493"/>
      <c r="KMQ93" s="493"/>
      <c r="KMR93" s="192"/>
      <c r="KMS93" s="489"/>
      <c r="KMT93" s="489"/>
      <c r="KMU93" s="490"/>
      <c r="KMV93" s="490"/>
      <c r="KMW93" s="491"/>
      <c r="KMX93" s="491"/>
      <c r="KMY93" s="491"/>
      <c r="KMZ93" s="491"/>
      <c r="KNA93" s="491"/>
      <c r="KNB93" s="491"/>
      <c r="KNC93" s="491"/>
      <c r="KND93" s="491"/>
      <c r="KNE93" s="491"/>
      <c r="KNF93" s="491"/>
      <c r="KNG93" s="491"/>
      <c r="KNH93" s="491"/>
      <c r="KNI93" s="491"/>
      <c r="KNJ93" s="491"/>
      <c r="KNK93" s="491"/>
      <c r="KNL93" s="491"/>
      <c r="KNM93" s="491"/>
      <c r="KNN93" s="491"/>
      <c r="KNO93" s="491"/>
      <c r="KNP93" s="491"/>
      <c r="KNQ93" s="491"/>
      <c r="KNR93" s="491"/>
      <c r="KNS93" s="491"/>
      <c r="KNT93" s="491"/>
      <c r="KNU93" s="491"/>
      <c r="KNV93" s="491"/>
      <c r="KNW93" s="491"/>
      <c r="KNX93" s="491"/>
      <c r="KNY93" s="491"/>
      <c r="KNZ93" s="491"/>
      <c r="KOA93" s="491"/>
      <c r="KOB93" s="491"/>
      <c r="KOC93" s="491"/>
      <c r="KOD93" s="491"/>
      <c r="KOE93" s="492"/>
      <c r="KOF93" s="492"/>
      <c r="KOG93" s="492"/>
      <c r="KOH93" s="492"/>
      <c r="KOI93" s="493"/>
      <c r="KOJ93" s="493"/>
      <c r="KOK93" s="192"/>
      <c r="KOL93" s="489"/>
      <c r="KOM93" s="489"/>
      <c r="KON93" s="490"/>
      <c r="KOO93" s="490"/>
      <c r="KOP93" s="491"/>
      <c r="KOQ93" s="491"/>
      <c r="KOR93" s="491"/>
      <c r="KOS93" s="491"/>
      <c r="KOT93" s="491"/>
      <c r="KOU93" s="491"/>
      <c r="KOV93" s="491"/>
      <c r="KOW93" s="491"/>
      <c r="KOX93" s="491"/>
      <c r="KOY93" s="491"/>
      <c r="KOZ93" s="491"/>
      <c r="KPA93" s="491"/>
      <c r="KPB93" s="491"/>
      <c r="KPC93" s="491"/>
      <c r="KPD93" s="491"/>
      <c r="KPE93" s="491"/>
      <c r="KPF93" s="491"/>
      <c r="KPG93" s="491"/>
      <c r="KPH93" s="491"/>
      <c r="KPI93" s="491"/>
      <c r="KPJ93" s="491"/>
      <c r="KPK93" s="491"/>
      <c r="KPL93" s="491"/>
      <c r="KPM93" s="491"/>
      <c r="KPN93" s="491"/>
      <c r="KPO93" s="491"/>
      <c r="KPP93" s="491"/>
      <c r="KPQ93" s="491"/>
      <c r="KPR93" s="491"/>
      <c r="KPS93" s="491"/>
      <c r="KPT93" s="491"/>
      <c r="KPU93" s="491"/>
      <c r="KPV93" s="491"/>
      <c r="KPW93" s="491"/>
      <c r="KPX93" s="492"/>
      <c r="KPY93" s="492"/>
      <c r="KPZ93" s="492"/>
      <c r="KQA93" s="492"/>
      <c r="KQB93" s="493"/>
      <c r="KQC93" s="493"/>
      <c r="KQD93" s="192"/>
      <c r="KQE93" s="489"/>
      <c r="KQF93" s="489"/>
      <c r="KQG93" s="490"/>
      <c r="KQH93" s="490"/>
      <c r="KQI93" s="491"/>
      <c r="KQJ93" s="491"/>
      <c r="KQK93" s="491"/>
      <c r="KQL93" s="491"/>
      <c r="KQM93" s="491"/>
      <c r="KQN93" s="491"/>
      <c r="KQO93" s="491"/>
      <c r="KQP93" s="491"/>
      <c r="KQQ93" s="491"/>
      <c r="KQR93" s="491"/>
      <c r="KQS93" s="491"/>
      <c r="KQT93" s="491"/>
      <c r="KQU93" s="491"/>
      <c r="KQV93" s="491"/>
      <c r="KQW93" s="491"/>
      <c r="KQX93" s="491"/>
      <c r="KQY93" s="491"/>
      <c r="KQZ93" s="491"/>
      <c r="KRA93" s="491"/>
      <c r="KRB93" s="491"/>
      <c r="KRC93" s="491"/>
      <c r="KRD93" s="491"/>
      <c r="KRE93" s="491"/>
      <c r="KRF93" s="491"/>
      <c r="KRG93" s="491"/>
      <c r="KRH93" s="491"/>
      <c r="KRI93" s="491"/>
      <c r="KRJ93" s="491"/>
      <c r="KRK93" s="491"/>
      <c r="KRL93" s="491"/>
      <c r="KRM93" s="491"/>
      <c r="KRN93" s="491"/>
      <c r="KRO93" s="491"/>
      <c r="KRP93" s="491"/>
      <c r="KRQ93" s="492"/>
      <c r="KRR93" s="492"/>
      <c r="KRS93" s="492"/>
      <c r="KRT93" s="492"/>
      <c r="KRU93" s="493"/>
      <c r="KRV93" s="493"/>
      <c r="KRW93" s="192"/>
      <c r="KRX93" s="489"/>
      <c r="KRY93" s="489"/>
      <c r="KRZ93" s="490"/>
      <c r="KSA93" s="490"/>
      <c r="KSB93" s="491"/>
      <c r="KSC93" s="491"/>
      <c r="KSD93" s="491"/>
      <c r="KSE93" s="491"/>
      <c r="KSF93" s="491"/>
      <c r="KSG93" s="491"/>
      <c r="KSH93" s="491"/>
      <c r="KSI93" s="491"/>
      <c r="KSJ93" s="491"/>
      <c r="KSK93" s="491"/>
      <c r="KSL93" s="491"/>
      <c r="KSM93" s="491"/>
      <c r="KSN93" s="491"/>
      <c r="KSO93" s="491"/>
      <c r="KSP93" s="491"/>
      <c r="KSQ93" s="491"/>
      <c r="KSR93" s="491"/>
      <c r="KSS93" s="491"/>
      <c r="KST93" s="491"/>
      <c r="KSU93" s="491"/>
      <c r="KSV93" s="491"/>
      <c r="KSW93" s="491"/>
      <c r="KSX93" s="491"/>
      <c r="KSY93" s="491"/>
      <c r="KSZ93" s="491"/>
      <c r="KTA93" s="491"/>
      <c r="KTB93" s="491"/>
      <c r="KTC93" s="491"/>
      <c r="KTD93" s="491"/>
      <c r="KTE93" s="491"/>
      <c r="KTF93" s="491"/>
      <c r="KTG93" s="491"/>
      <c r="KTH93" s="491"/>
      <c r="KTI93" s="491"/>
      <c r="KTJ93" s="492"/>
      <c r="KTK93" s="492"/>
      <c r="KTL93" s="492"/>
      <c r="KTM93" s="492"/>
      <c r="KTN93" s="493"/>
      <c r="KTO93" s="493"/>
      <c r="KTP93" s="192"/>
      <c r="KTQ93" s="489"/>
      <c r="KTR93" s="489"/>
      <c r="KTS93" s="490"/>
      <c r="KTT93" s="490"/>
      <c r="KTU93" s="491"/>
      <c r="KTV93" s="491"/>
      <c r="KTW93" s="491"/>
      <c r="KTX93" s="491"/>
      <c r="KTY93" s="491"/>
      <c r="KTZ93" s="491"/>
      <c r="KUA93" s="491"/>
      <c r="KUB93" s="491"/>
      <c r="KUC93" s="491"/>
      <c r="KUD93" s="491"/>
      <c r="KUE93" s="491"/>
      <c r="KUF93" s="491"/>
      <c r="KUG93" s="491"/>
      <c r="KUH93" s="491"/>
      <c r="KUI93" s="491"/>
      <c r="KUJ93" s="491"/>
      <c r="KUK93" s="491"/>
      <c r="KUL93" s="491"/>
      <c r="KUM93" s="491"/>
      <c r="KUN93" s="491"/>
      <c r="KUO93" s="491"/>
      <c r="KUP93" s="491"/>
      <c r="KUQ93" s="491"/>
      <c r="KUR93" s="491"/>
      <c r="KUS93" s="491"/>
      <c r="KUT93" s="491"/>
      <c r="KUU93" s="491"/>
      <c r="KUV93" s="491"/>
      <c r="KUW93" s="491"/>
      <c r="KUX93" s="491"/>
      <c r="KUY93" s="491"/>
      <c r="KUZ93" s="491"/>
      <c r="KVA93" s="491"/>
      <c r="KVB93" s="491"/>
      <c r="KVC93" s="492"/>
      <c r="KVD93" s="492"/>
      <c r="KVE93" s="492"/>
      <c r="KVF93" s="492"/>
      <c r="KVG93" s="493"/>
      <c r="KVH93" s="493"/>
      <c r="KVI93" s="192"/>
      <c r="KVJ93" s="489"/>
      <c r="KVK93" s="489"/>
      <c r="KVL93" s="490"/>
      <c r="KVM93" s="490"/>
      <c r="KVN93" s="491"/>
      <c r="KVO93" s="491"/>
      <c r="KVP93" s="491"/>
      <c r="KVQ93" s="491"/>
      <c r="KVR93" s="491"/>
      <c r="KVS93" s="491"/>
      <c r="KVT93" s="491"/>
      <c r="KVU93" s="491"/>
      <c r="KVV93" s="491"/>
      <c r="KVW93" s="491"/>
      <c r="KVX93" s="491"/>
      <c r="KVY93" s="491"/>
      <c r="KVZ93" s="491"/>
      <c r="KWA93" s="491"/>
      <c r="KWB93" s="491"/>
      <c r="KWC93" s="491"/>
      <c r="KWD93" s="491"/>
      <c r="KWE93" s="491"/>
      <c r="KWF93" s="491"/>
      <c r="KWG93" s="491"/>
      <c r="KWH93" s="491"/>
      <c r="KWI93" s="491"/>
      <c r="KWJ93" s="491"/>
      <c r="KWK93" s="491"/>
      <c r="KWL93" s="491"/>
      <c r="KWM93" s="491"/>
      <c r="KWN93" s="491"/>
      <c r="KWO93" s="491"/>
      <c r="KWP93" s="491"/>
      <c r="KWQ93" s="491"/>
      <c r="KWR93" s="491"/>
      <c r="KWS93" s="491"/>
      <c r="KWT93" s="491"/>
      <c r="KWU93" s="491"/>
      <c r="KWV93" s="492"/>
      <c r="KWW93" s="492"/>
      <c r="KWX93" s="492"/>
      <c r="KWY93" s="492"/>
      <c r="KWZ93" s="493"/>
      <c r="KXA93" s="493"/>
      <c r="KXB93" s="192"/>
      <c r="KXC93" s="489"/>
      <c r="KXD93" s="489"/>
      <c r="KXE93" s="490"/>
      <c r="KXF93" s="490"/>
      <c r="KXG93" s="491"/>
      <c r="KXH93" s="491"/>
      <c r="KXI93" s="491"/>
      <c r="KXJ93" s="491"/>
      <c r="KXK93" s="491"/>
      <c r="KXL93" s="491"/>
      <c r="KXM93" s="491"/>
      <c r="KXN93" s="491"/>
      <c r="KXO93" s="491"/>
      <c r="KXP93" s="491"/>
      <c r="KXQ93" s="491"/>
      <c r="KXR93" s="491"/>
      <c r="KXS93" s="491"/>
      <c r="KXT93" s="491"/>
      <c r="KXU93" s="491"/>
      <c r="KXV93" s="491"/>
      <c r="KXW93" s="491"/>
      <c r="KXX93" s="491"/>
      <c r="KXY93" s="491"/>
      <c r="KXZ93" s="491"/>
      <c r="KYA93" s="491"/>
      <c r="KYB93" s="491"/>
      <c r="KYC93" s="491"/>
      <c r="KYD93" s="491"/>
      <c r="KYE93" s="491"/>
      <c r="KYF93" s="491"/>
      <c r="KYG93" s="491"/>
      <c r="KYH93" s="491"/>
      <c r="KYI93" s="491"/>
      <c r="KYJ93" s="491"/>
      <c r="KYK93" s="491"/>
      <c r="KYL93" s="491"/>
      <c r="KYM93" s="491"/>
      <c r="KYN93" s="491"/>
      <c r="KYO93" s="492"/>
      <c r="KYP93" s="492"/>
      <c r="KYQ93" s="492"/>
      <c r="KYR93" s="492"/>
      <c r="KYS93" s="493"/>
      <c r="KYT93" s="493"/>
      <c r="KYU93" s="192"/>
      <c r="KYV93" s="489"/>
      <c r="KYW93" s="489"/>
      <c r="KYX93" s="490"/>
      <c r="KYY93" s="490"/>
      <c r="KYZ93" s="491"/>
      <c r="KZA93" s="491"/>
      <c r="KZB93" s="491"/>
      <c r="KZC93" s="491"/>
      <c r="KZD93" s="491"/>
      <c r="KZE93" s="491"/>
      <c r="KZF93" s="491"/>
      <c r="KZG93" s="491"/>
      <c r="KZH93" s="491"/>
      <c r="KZI93" s="491"/>
      <c r="KZJ93" s="491"/>
      <c r="KZK93" s="491"/>
      <c r="KZL93" s="491"/>
      <c r="KZM93" s="491"/>
      <c r="KZN93" s="491"/>
      <c r="KZO93" s="491"/>
      <c r="KZP93" s="491"/>
      <c r="KZQ93" s="491"/>
      <c r="KZR93" s="491"/>
      <c r="KZS93" s="491"/>
      <c r="KZT93" s="491"/>
      <c r="KZU93" s="491"/>
      <c r="KZV93" s="491"/>
      <c r="KZW93" s="491"/>
      <c r="KZX93" s="491"/>
      <c r="KZY93" s="491"/>
      <c r="KZZ93" s="491"/>
      <c r="LAA93" s="491"/>
      <c r="LAB93" s="491"/>
      <c r="LAC93" s="491"/>
      <c r="LAD93" s="491"/>
      <c r="LAE93" s="491"/>
      <c r="LAF93" s="491"/>
      <c r="LAG93" s="491"/>
      <c r="LAH93" s="492"/>
      <c r="LAI93" s="492"/>
      <c r="LAJ93" s="492"/>
      <c r="LAK93" s="492"/>
      <c r="LAL93" s="493"/>
      <c r="LAM93" s="493"/>
      <c r="LAN93" s="192"/>
      <c r="LAO93" s="489"/>
      <c r="LAP93" s="489"/>
      <c r="LAQ93" s="490"/>
      <c r="LAR93" s="490"/>
      <c r="LAS93" s="491"/>
      <c r="LAT93" s="491"/>
      <c r="LAU93" s="491"/>
      <c r="LAV93" s="491"/>
      <c r="LAW93" s="491"/>
      <c r="LAX93" s="491"/>
      <c r="LAY93" s="491"/>
      <c r="LAZ93" s="491"/>
      <c r="LBA93" s="491"/>
      <c r="LBB93" s="491"/>
      <c r="LBC93" s="491"/>
      <c r="LBD93" s="491"/>
      <c r="LBE93" s="491"/>
      <c r="LBF93" s="491"/>
      <c r="LBG93" s="491"/>
      <c r="LBH93" s="491"/>
      <c r="LBI93" s="491"/>
      <c r="LBJ93" s="491"/>
      <c r="LBK93" s="491"/>
      <c r="LBL93" s="491"/>
      <c r="LBM93" s="491"/>
      <c r="LBN93" s="491"/>
      <c r="LBO93" s="491"/>
      <c r="LBP93" s="491"/>
      <c r="LBQ93" s="491"/>
      <c r="LBR93" s="491"/>
      <c r="LBS93" s="491"/>
      <c r="LBT93" s="491"/>
      <c r="LBU93" s="491"/>
      <c r="LBV93" s="491"/>
      <c r="LBW93" s="491"/>
      <c r="LBX93" s="491"/>
      <c r="LBY93" s="491"/>
      <c r="LBZ93" s="491"/>
      <c r="LCA93" s="492"/>
      <c r="LCB93" s="492"/>
      <c r="LCC93" s="492"/>
      <c r="LCD93" s="492"/>
      <c r="LCE93" s="493"/>
      <c r="LCF93" s="493"/>
      <c r="LCG93" s="192"/>
      <c r="LCH93" s="489"/>
      <c r="LCI93" s="489"/>
      <c r="LCJ93" s="490"/>
      <c r="LCK93" s="490"/>
      <c r="LCL93" s="491"/>
      <c r="LCM93" s="491"/>
      <c r="LCN93" s="491"/>
      <c r="LCO93" s="491"/>
      <c r="LCP93" s="491"/>
      <c r="LCQ93" s="491"/>
      <c r="LCR93" s="491"/>
      <c r="LCS93" s="491"/>
      <c r="LCT93" s="491"/>
      <c r="LCU93" s="491"/>
      <c r="LCV93" s="491"/>
      <c r="LCW93" s="491"/>
      <c r="LCX93" s="491"/>
      <c r="LCY93" s="491"/>
      <c r="LCZ93" s="491"/>
      <c r="LDA93" s="491"/>
      <c r="LDB93" s="491"/>
      <c r="LDC93" s="491"/>
      <c r="LDD93" s="491"/>
      <c r="LDE93" s="491"/>
      <c r="LDF93" s="491"/>
      <c r="LDG93" s="491"/>
      <c r="LDH93" s="491"/>
      <c r="LDI93" s="491"/>
      <c r="LDJ93" s="491"/>
      <c r="LDK93" s="491"/>
      <c r="LDL93" s="491"/>
      <c r="LDM93" s="491"/>
      <c r="LDN93" s="491"/>
      <c r="LDO93" s="491"/>
      <c r="LDP93" s="491"/>
      <c r="LDQ93" s="491"/>
      <c r="LDR93" s="491"/>
      <c r="LDS93" s="491"/>
      <c r="LDT93" s="492"/>
      <c r="LDU93" s="492"/>
      <c r="LDV93" s="492"/>
      <c r="LDW93" s="492"/>
      <c r="LDX93" s="493"/>
      <c r="LDY93" s="493"/>
      <c r="LDZ93" s="192"/>
      <c r="LEA93" s="489"/>
      <c r="LEB93" s="489"/>
      <c r="LEC93" s="490"/>
      <c r="LED93" s="490"/>
      <c r="LEE93" s="491"/>
      <c r="LEF93" s="491"/>
      <c r="LEG93" s="491"/>
      <c r="LEH93" s="491"/>
      <c r="LEI93" s="491"/>
      <c r="LEJ93" s="491"/>
      <c r="LEK93" s="491"/>
      <c r="LEL93" s="491"/>
      <c r="LEM93" s="491"/>
      <c r="LEN93" s="491"/>
      <c r="LEO93" s="491"/>
      <c r="LEP93" s="491"/>
      <c r="LEQ93" s="491"/>
      <c r="LER93" s="491"/>
      <c r="LES93" s="491"/>
      <c r="LET93" s="491"/>
      <c r="LEU93" s="491"/>
      <c r="LEV93" s="491"/>
      <c r="LEW93" s="491"/>
      <c r="LEX93" s="491"/>
      <c r="LEY93" s="491"/>
      <c r="LEZ93" s="491"/>
      <c r="LFA93" s="491"/>
      <c r="LFB93" s="491"/>
      <c r="LFC93" s="491"/>
      <c r="LFD93" s="491"/>
      <c r="LFE93" s="491"/>
      <c r="LFF93" s="491"/>
      <c r="LFG93" s="491"/>
      <c r="LFH93" s="491"/>
      <c r="LFI93" s="491"/>
      <c r="LFJ93" s="491"/>
      <c r="LFK93" s="491"/>
      <c r="LFL93" s="491"/>
      <c r="LFM93" s="492"/>
      <c r="LFN93" s="492"/>
      <c r="LFO93" s="492"/>
      <c r="LFP93" s="492"/>
      <c r="LFQ93" s="493"/>
      <c r="LFR93" s="493"/>
      <c r="LFS93" s="192"/>
      <c r="LFT93" s="489"/>
      <c r="LFU93" s="489"/>
      <c r="LFV93" s="490"/>
      <c r="LFW93" s="490"/>
      <c r="LFX93" s="491"/>
      <c r="LFY93" s="491"/>
      <c r="LFZ93" s="491"/>
      <c r="LGA93" s="491"/>
      <c r="LGB93" s="491"/>
      <c r="LGC93" s="491"/>
      <c r="LGD93" s="491"/>
      <c r="LGE93" s="491"/>
      <c r="LGF93" s="491"/>
      <c r="LGG93" s="491"/>
      <c r="LGH93" s="491"/>
      <c r="LGI93" s="491"/>
      <c r="LGJ93" s="491"/>
      <c r="LGK93" s="491"/>
      <c r="LGL93" s="491"/>
      <c r="LGM93" s="491"/>
      <c r="LGN93" s="491"/>
      <c r="LGO93" s="491"/>
      <c r="LGP93" s="491"/>
      <c r="LGQ93" s="491"/>
      <c r="LGR93" s="491"/>
      <c r="LGS93" s="491"/>
      <c r="LGT93" s="491"/>
      <c r="LGU93" s="491"/>
      <c r="LGV93" s="491"/>
      <c r="LGW93" s="491"/>
      <c r="LGX93" s="491"/>
      <c r="LGY93" s="491"/>
      <c r="LGZ93" s="491"/>
      <c r="LHA93" s="491"/>
      <c r="LHB93" s="491"/>
      <c r="LHC93" s="491"/>
      <c r="LHD93" s="491"/>
      <c r="LHE93" s="491"/>
      <c r="LHF93" s="492"/>
      <c r="LHG93" s="492"/>
      <c r="LHH93" s="492"/>
      <c r="LHI93" s="492"/>
      <c r="LHJ93" s="493"/>
      <c r="LHK93" s="493"/>
      <c r="LHL93" s="192"/>
      <c r="LHM93" s="489"/>
      <c r="LHN93" s="489"/>
      <c r="LHO93" s="490"/>
      <c r="LHP93" s="490"/>
      <c r="LHQ93" s="491"/>
      <c r="LHR93" s="491"/>
      <c r="LHS93" s="491"/>
      <c r="LHT93" s="491"/>
      <c r="LHU93" s="491"/>
      <c r="LHV93" s="491"/>
      <c r="LHW93" s="491"/>
      <c r="LHX93" s="491"/>
      <c r="LHY93" s="491"/>
      <c r="LHZ93" s="491"/>
      <c r="LIA93" s="491"/>
      <c r="LIB93" s="491"/>
      <c r="LIC93" s="491"/>
      <c r="LID93" s="491"/>
      <c r="LIE93" s="491"/>
      <c r="LIF93" s="491"/>
      <c r="LIG93" s="491"/>
      <c r="LIH93" s="491"/>
      <c r="LII93" s="491"/>
      <c r="LIJ93" s="491"/>
      <c r="LIK93" s="491"/>
      <c r="LIL93" s="491"/>
      <c r="LIM93" s="491"/>
      <c r="LIN93" s="491"/>
      <c r="LIO93" s="491"/>
      <c r="LIP93" s="491"/>
      <c r="LIQ93" s="491"/>
      <c r="LIR93" s="491"/>
      <c r="LIS93" s="491"/>
      <c r="LIT93" s="491"/>
      <c r="LIU93" s="491"/>
      <c r="LIV93" s="491"/>
      <c r="LIW93" s="491"/>
      <c r="LIX93" s="491"/>
      <c r="LIY93" s="492"/>
      <c r="LIZ93" s="492"/>
      <c r="LJA93" s="492"/>
      <c r="LJB93" s="492"/>
      <c r="LJC93" s="493"/>
      <c r="LJD93" s="493"/>
      <c r="LJE93" s="192"/>
      <c r="LJF93" s="489"/>
      <c r="LJG93" s="489"/>
      <c r="LJH93" s="490"/>
      <c r="LJI93" s="490"/>
      <c r="LJJ93" s="491"/>
      <c r="LJK93" s="491"/>
      <c r="LJL93" s="491"/>
      <c r="LJM93" s="491"/>
      <c r="LJN93" s="491"/>
      <c r="LJO93" s="491"/>
      <c r="LJP93" s="491"/>
      <c r="LJQ93" s="491"/>
      <c r="LJR93" s="491"/>
      <c r="LJS93" s="491"/>
      <c r="LJT93" s="491"/>
      <c r="LJU93" s="491"/>
      <c r="LJV93" s="491"/>
      <c r="LJW93" s="491"/>
      <c r="LJX93" s="491"/>
      <c r="LJY93" s="491"/>
      <c r="LJZ93" s="491"/>
      <c r="LKA93" s="491"/>
      <c r="LKB93" s="491"/>
      <c r="LKC93" s="491"/>
      <c r="LKD93" s="491"/>
      <c r="LKE93" s="491"/>
      <c r="LKF93" s="491"/>
      <c r="LKG93" s="491"/>
      <c r="LKH93" s="491"/>
      <c r="LKI93" s="491"/>
      <c r="LKJ93" s="491"/>
      <c r="LKK93" s="491"/>
      <c r="LKL93" s="491"/>
      <c r="LKM93" s="491"/>
      <c r="LKN93" s="491"/>
      <c r="LKO93" s="491"/>
      <c r="LKP93" s="491"/>
      <c r="LKQ93" s="491"/>
      <c r="LKR93" s="492"/>
      <c r="LKS93" s="492"/>
      <c r="LKT93" s="492"/>
      <c r="LKU93" s="492"/>
      <c r="LKV93" s="493"/>
      <c r="LKW93" s="493"/>
      <c r="LKX93" s="192"/>
      <c r="LKY93" s="489"/>
      <c r="LKZ93" s="489"/>
      <c r="LLA93" s="490"/>
      <c r="LLB93" s="490"/>
      <c r="LLC93" s="491"/>
      <c r="LLD93" s="491"/>
      <c r="LLE93" s="491"/>
      <c r="LLF93" s="491"/>
      <c r="LLG93" s="491"/>
      <c r="LLH93" s="491"/>
      <c r="LLI93" s="491"/>
      <c r="LLJ93" s="491"/>
      <c r="LLK93" s="491"/>
      <c r="LLL93" s="491"/>
      <c r="LLM93" s="491"/>
      <c r="LLN93" s="491"/>
      <c r="LLO93" s="491"/>
      <c r="LLP93" s="491"/>
      <c r="LLQ93" s="491"/>
      <c r="LLR93" s="491"/>
      <c r="LLS93" s="491"/>
      <c r="LLT93" s="491"/>
      <c r="LLU93" s="491"/>
      <c r="LLV93" s="491"/>
      <c r="LLW93" s="491"/>
      <c r="LLX93" s="491"/>
      <c r="LLY93" s="491"/>
      <c r="LLZ93" s="491"/>
      <c r="LMA93" s="491"/>
      <c r="LMB93" s="491"/>
      <c r="LMC93" s="491"/>
      <c r="LMD93" s="491"/>
      <c r="LME93" s="491"/>
      <c r="LMF93" s="491"/>
      <c r="LMG93" s="491"/>
      <c r="LMH93" s="491"/>
      <c r="LMI93" s="491"/>
      <c r="LMJ93" s="491"/>
      <c r="LMK93" s="492"/>
      <c r="LML93" s="492"/>
      <c r="LMM93" s="492"/>
      <c r="LMN93" s="492"/>
      <c r="LMO93" s="493"/>
      <c r="LMP93" s="493"/>
      <c r="LMQ93" s="192"/>
      <c r="LMR93" s="489"/>
      <c r="LMS93" s="489"/>
      <c r="LMT93" s="490"/>
      <c r="LMU93" s="490"/>
      <c r="LMV93" s="491"/>
      <c r="LMW93" s="491"/>
      <c r="LMX93" s="491"/>
      <c r="LMY93" s="491"/>
      <c r="LMZ93" s="491"/>
      <c r="LNA93" s="491"/>
      <c r="LNB93" s="491"/>
      <c r="LNC93" s="491"/>
      <c r="LND93" s="491"/>
      <c r="LNE93" s="491"/>
      <c r="LNF93" s="491"/>
      <c r="LNG93" s="491"/>
      <c r="LNH93" s="491"/>
      <c r="LNI93" s="491"/>
      <c r="LNJ93" s="491"/>
      <c r="LNK93" s="491"/>
      <c r="LNL93" s="491"/>
      <c r="LNM93" s="491"/>
      <c r="LNN93" s="491"/>
      <c r="LNO93" s="491"/>
      <c r="LNP93" s="491"/>
      <c r="LNQ93" s="491"/>
      <c r="LNR93" s="491"/>
      <c r="LNS93" s="491"/>
      <c r="LNT93" s="491"/>
      <c r="LNU93" s="491"/>
      <c r="LNV93" s="491"/>
      <c r="LNW93" s="491"/>
      <c r="LNX93" s="491"/>
      <c r="LNY93" s="491"/>
      <c r="LNZ93" s="491"/>
      <c r="LOA93" s="491"/>
      <c r="LOB93" s="491"/>
      <c r="LOC93" s="491"/>
      <c r="LOD93" s="492"/>
      <c r="LOE93" s="492"/>
      <c r="LOF93" s="492"/>
      <c r="LOG93" s="492"/>
      <c r="LOH93" s="493"/>
      <c r="LOI93" s="493"/>
      <c r="LOJ93" s="192"/>
      <c r="LOK93" s="489"/>
      <c r="LOL93" s="489"/>
      <c r="LOM93" s="490"/>
      <c r="LON93" s="490"/>
      <c r="LOO93" s="491"/>
      <c r="LOP93" s="491"/>
      <c r="LOQ93" s="491"/>
      <c r="LOR93" s="491"/>
      <c r="LOS93" s="491"/>
      <c r="LOT93" s="491"/>
      <c r="LOU93" s="491"/>
      <c r="LOV93" s="491"/>
      <c r="LOW93" s="491"/>
      <c r="LOX93" s="491"/>
      <c r="LOY93" s="491"/>
      <c r="LOZ93" s="491"/>
      <c r="LPA93" s="491"/>
      <c r="LPB93" s="491"/>
      <c r="LPC93" s="491"/>
      <c r="LPD93" s="491"/>
      <c r="LPE93" s="491"/>
      <c r="LPF93" s="491"/>
      <c r="LPG93" s="491"/>
      <c r="LPH93" s="491"/>
      <c r="LPI93" s="491"/>
      <c r="LPJ93" s="491"/>
      <c r="LPK93" s="491"/>
      <c r="LPL93" s="491"/>
      <c r="LPM93" s="491"/>
      <c r="LPN93" s="491"/>
      <c r="LPO93" s="491"/>
      <c r="LPP93" s="491"/>
      <c r="LPQ93" s="491"/>
      <c r="LPR93" s="491"/>
      <c r="LPS93" s="491"/>
      <c r="LPT93" s="491"/>
      <c r="LPU93" s="491"/>
      <c r="LPV93" s="491"/>
      <c r="LPW93" s="492"/>
      <c r="LPX93" s="492"/>
      <c r="LPY93" s="492"/>
      <c r="LPZ93" s="492"/>
      <c r="LQA93" s="493"/>
      <c r="LQB93" s="493"/>
      <c r="LQC93" s="192"/>
      <c r="LQD93" s="489"/>
      <c r="LQE93" s="489"/>
      <c r="LQF93" s="490"/>
      <c r="LQG93" s="490"/>
      <c r="LQH93" s="491"/>
      <c r="LQI93" s="491"/>
      <c r="LQJ93" s="491"/>
      <c r="LQK93" s="491"/>
      <c r="LQL93" s="491"/>
      <c r="LQM93" s="491"/>
      <c r="LQN93" s="491"/>
      <c r="LQO93" s="491"/>
      <c r="LQP93" s="491"/>
      <c r="LQQ93" s="491"/>
      <c r="LQR93" s="491"/>
      <c r="LQS93" s="491"/>
      <c r="LQT93" s="491"/>
      <c r="LQU93" s="491"/>
      <c r="LQV93" s="491"/>
      <c r="LQW93" s="491"/>
      <c r="LQX93" s="491"/>
      <c r="LQY93" s="491"/>
      <c r="LQZ93" s="491"/>
      <c r="LRA93" s="491"/>
      <c r="LRB93" s="491"/>
      <c r="LRC93" s="491"/>
      <c r="LRD93" s="491"/>
      <c r="LRE93" s="491"/>
      <c r="LRF93" s="491"/>
      <c r="LRG93" s="491"/>
      <c r="LRH93" s="491"/>
      <c r="LRI93" s="491"/>
      <c r="LRJ93" s="491"/>
      <c r="LRK93" s="491"/>
      <c r="LRL93" s="491"/>
      <c r="LRM93" s="491"/>
      <c r="LRN93" s="491"/>
      <c r="LRO93" s="491"/>
      <c r="LRP93" s="492"/>
      <c r="LRQ93" s="492"/>
      <c r="LRR93" s="492"/>
      <c r="LRS93" s="492"/>
      <c r="LRT93" s="493"/>
      <c r="LRU93" s="493"/>
      <c r="LRV93" s="192"/>
      <c r="LRW93" s="489"/>
      <c r="LRX93" s="489"/>
      <c r="LRY93" s="490"/>
      <c r="LRZ93" s="490"/>
      <c r="LSA93" s="491"/>
      <c r="LSB93" s="491"/>
      <c r="LSC93" s="491"/>
      <c r="LSD93" s="491"/>
      <c r="LSE93" s="491"/>
      <c r="LSF93" s="491"/>
      <c r="LSG93" s="491"/>
      <c r="LSH93" s="491"/>
      <c r="LSI93" s="491"/>
      <c r="LSJ93" s="491"/>
      <c r="LSK93" s="491"/>
      <c r="LSL93" s="491"/>
      <c r="LSM93" s="491"/>
      <c r="LSN93" s="491"/>
      <c r="LSO93" s="491"/>
      <c r="LSP93" s="491"/>
      <c r="LSQ93" s="491"/>
      <c r="LSR93" s="491"/>
      <c r="LSS93" s="491"/>
      <c r="LST93" s="491"/>
      <c r="LSU93" s="491"/>
      <c r="LSV93" s="491"/>
      <c r="LSW93" s="491"/>
      <c r="LSX93" s="491"/>
      <c r="LSY93" s="491"/>
      <c r="LSZ93" s="491"/>
      <c r="LTA93" s="491"/>
      <c r="LTB93" s="491"/>
      <c r="LTC93" s="491"/>
      <c r="LTD93" s="491"/>
      <c r="LTE93" s="491"/>
      <c r="LTF93" s="491"/>
      <c r="LTG93" s="491"/>
      <c r="LTH93" s="491"/>
      <c r="LTI93" s="492"/>
      <c r="LTJ93" s="492"/>
      <c r="LTK93" s="492"/>
      <c r="LTL93" s="492"/>
      <c r="LTM93" s="493"/>
      <c r="LTN93" s="493"/>
      <c r="LTO93" s="192"/>
      <c r="LTP93" s="489"/>
      <c r="LTQ93" s="489"/>
      <c r="LTR93" s="490"/>
      <c r="LTS93" s="490"/>
      <c r="LTT93" s="491"/>
      <c r="LTU93" s="491"/>
      <c r="LTV93" s="491"/>
      <c r="LTW93" s="491"/>
      <c r="LTX93" s="491"/>
      <c r="LTY93" s="491"/>
      <c r="LTZ93" s="491"/>
      <c r="LUA93" s="491"/>
      <c r="LUB93" s="491"/>
      <c r="LUC93" s="491"/>
      <c r="LUD93" s="491"/>
      <c r="LUE93" s="491"/>
      <c r="LUF93" s="491"/>
      <c r="LUG93" s="491"/>
      <c r="LUH93" s="491"/>
      <c r="LUI93" s="491"/>
      <c r="LUJ93" s="491"/>
      <c r="LUK93" s="491"/>
      <c r="LUL93" s="491"/>
      <c r="LUM93" s="491"/>
      <c r="LUN93" s="491"/>
      <c r="LUO93" s="491"/>
      <c r="LUP93" s="491"/>
      <c r="LUQ93" s="491"/>
      <c r="LUR93" s="491"/>
      <c r="LUS93" s="491"/>
      <c r="LUT93" s="491"/>
      <c r="LUU93" s="491"/>
      <c r="LUV93" s="491"/>
      <c r="LUW93" s="491"/>
      <c r="LUX93" s="491"/>
      <c r="LUY93" s="491"/>
      <c r="LUZ93" s="491"/>
      <c r="LVA93" s="491"/>
      <c r="LVB93" s="492"/>
      <c r="LVC93" s="492"/>
      <c r="LVD93" s="492"/>
      <c r="LVE93" s="492"/>
      <c r="LVF93" s="493"/>
      <c r="LVG93" s="493"/>
      <c r="LVH93" s="192"/>
      <c r="LVI93" s="489"/>
      <c r="LVJ93" s="489"/>
      <c r="LVK93" s="490"/>
      <c r="LVL93" s="490"/>
      <c r="LVM93" s="491"/>
      <c r="LVN93" s="491"/>
      <c r="LVO93" s="491"/>
      <c r="LVP93" s="491"/>
      <c r="LVQ93" s="491"/>
      <c r="LVR93" s="491"/>
      <c r="LVS93" s="491"/>
      <c r="LVT93" s="491"/>
      <c r="LVU93" s="491"/>
      <c r="LVV93" s="491"/>
      <c r="LVW93" s="491"/>
      <c r="LVX93" s="491"/>
      <c r="LVY93" s="491"/>
      <c r="LVZ93" s="491"/>
      <c r="LWA93" s="491"/>
      <c r="LWB93" s="491"/>
      <c r="LWC93" s="491"/>
      <c r="LWD93" s="491"/>
      <c r="LWE93" s="491"/>
      <c r="LWF93" s="491"/>
      <c r="LWG93" s="491"/>
      <c r="LWH93" s="491"/>
      <c r="LWI93" s="491"/>
      <c r="LWJ93" s="491"/>
      <c r="LWK93" s="491"/>
      <c r="LWL93" s="491"/>
      <c r="LWM93" s="491"/>
      <c r="LWN93" s="491"/>
      <c r="LWO93" s="491"/>
      <c r="LWP93" s="491"/>
      <c r="LWQ93" s="491"/>
      <c r="LWR93" s="491"/>
      <c r="LWS93" s="491"/>
      <c r="LWT93" s="491"/>
      <c r="LWU93" s="492"/>
      <c r="LWV93" s="492"/>
      <c r="LWW93" s="492"/>
      <c r="LWX93" s="492"/>
      <c r="LWY93" s="493"/>
      <c r="LWZ93" s="493"/>
      <c r="LXA93" s="192"/>
      <c r="LXB93" s="489"/>
      <c r="LXC93" s="489"/>
      <c r="LXD93" s="490"/>
      <c r="LXE93" s="490"/>
      <c r="LXF93" s="491"/>
      <c r="LXG93" s="491"/>
      <c r="LXH93" s="491"/>
      <c r="LXI93" s="491"/>
      <c r="LXJ93" s="491"/>
      <c r="LXK93" s="491"/>
      <c r="LXL93" s="491"/>
      <c r="LXM93" s="491"/>
      <c r="LXN93" s="491"/>
      <c r="LXO93" s="491"/>
      <c r="LXP93" s="491"/>
      <c r="LXQ93" s="491"/>
      <c r="LXR93" s="491"/>
      <c r="LXS93" s="491"/>
      <c r="LXT93" s="491"/>
      <c r="LXU93" s="491"/>
      <c r="LXV93" s="491"/>
      <c r="LXW93" s="491"/>
      <c r="LXX93" s="491"/>
      <c r="LXY93" s="491"/>
      <c r="LXZ93" s="491"/>
      <c r="LYA93" s="491"/>
      <c r="LYB93" s="491"/>
      <c r="LYC93" s="491"/>
      <c r="LYD93" s="491"/>
      <c r="LYE93" s="491"/>
      <c r="LYF93" s="491"/>
      <c r="LYG93" s="491"/>
      <c r="LYH93" s="491"/>
      <c r="LYI93" s="491"/>
      <c r="LYJ93" s="491"/>
      <c r="LYK93" s="491"/>
      <c r="LYL93" s="491"/>
      <c r="LYM93" s="491"/>
      <c r="LYN93" s="492"/>
      <c r="LYO93" s="492"/>
      <c r="LYP93" s="492"/>
      <c r="LYQ93" s="492"/>
      <c r="LYR93" s="493"/>
      <c r="LYS93" s="493"/>
      <c r="LYT93" s="192"/>
      <c r="LYU93" s="489"/>
      <c r="LYV93" s="489"/>
      <c r="LYW93" s="490"/>
      <c r="LYX93" s="490"/>
      <c r="LYY93" s="491"/>
      <c r="LYZ93" s="491"/>
      <c r="LZA93" s="491"/>
      <c r="LZB93" s="491"/>
      <c r="LZC93" s="491"/>
      <c r="LZD93" s="491"/>
      <c r="LZE93" s="491"/>
      <c r="LZF93" s="491"/>
      <c r="LZG93" s="491"/>
      <c r="LZH93" s="491"/>
      <c r="LZI93" s="491"/>
      <c r="LZJ93" s="491"/>
      <c r="LZK93" s="491"/>
      <c r="LZL93" s="491"/>
      <c r="LZM93" s="491"/>
      <c r="LZN93" s="491"/>
      <c r="LZO93" s="491"/>
      <c r="LZP93" s="491"/>
      <c r="LZQ93" s="491"/>
      <c r="LZR93" s="491"/>
      <c r="LZS93" s="491"/>
      <c r="LZT93" s="491"/>
      <c r="LZU93" s="491"/>
      <c r="LZV93" s="491"/>
      <c r="LZW93" s="491"/>
      <c r="LZX93" s="491"/>
      <c r="LZY93" s="491"/>
      <c r="LZZ93" s="491"/>
      <c r="MAA93" s="491"/>
      <c r="MAB93" s="491"/>
      <c r="MAC93" s="491"/>
      <c r="MAD93" s="491"/>
      <c r="MAE93" s="491"/>
      <c r="MAF93" s="491"/>
      <c r="MAG93" s="492"/>
      <c r="MAH93" s="492"/>
      <c r="MAI93" s="492"/>
      <c r="MAJ93" s="492"/>
      <c r="MAK93" s="493"/>
      <c r="MAL93" s="493"/>
      <c r="MAM93" s="192"/>
      <c r="MAN93" s="489"/>
      <c r="MAO93" s="489"/>
      <c r="MAP93" s="490"/>
      <c r="MAQ93" s="490"/>
      <c r="MAR93" s="491"/>
      <c r="MAS93" s="491"/>
      <c r="MAT93" s="491"/>
      <c r="MAU93" s="491"/>
      <c r="MAV93" s="491"/>
      <c r="MAW93" s="491"/>
      <c r="MAX93" s="491"/>
      <c r="MAY93" s="491"/>
      <c r="MAZ93" s="491"/>
      <c r="MBA93" s="491"/>
      <c r="MBB93" s="491"/>
      <c r="MBC93" s="491"/>
      <c r="MBD93" s="491"/>
      <c r="MBE93" s="491"/>
      <c r="MBF93" s="491"/>
      <c r="MBG93" s="491"/>
      <c r="MBH93" s="491"/>
      <c r="MBI93" s="491"/>
      <c r="MBJ93" s="491"/>
      <c r="MBK93" s="491"/>
      <c r="MBL93" s="491"/>
      <c r="MBM93" s="491"/>
      <c r="MBN93" s="491"/>
      <c r="MBO93" s="491"/>
      <c r="MBP93" s="491"/>
      <c r="MBQ93" s="491"/>
      <c r="MBR93" s="491"/>
      <c r="MBS93" s="491"/>
      <c r="MBT93" s="491"/>
      <c r="MBU93" s="491"/>
      <c r="MBV93" s="491"/>
      <c r="MBW93" s="491"/>
      <c r="MBX93" s="491"/>
      <c r="MBY93" s="491"/>
      <c r="MBZ93" s="492"/>
      <c r="MCA93" s="492"/>
      <c r="MCB93" s="492"/>
      <c r="MCC93" s="492"/>
      <c r="MCD93" s="493"/>
      <c r="MCE93" s="493"/>
      <c r="MCF93" s="192"/>
      <c r="MCG93" s="489"/>
      <c r="MCH93" s="489"/>
      <c r="MCI93" s="490"/>
      <c r="MCJ93" s="490"/>
      <c r="MCK93" s="491"/>
      <c r="MCL93" s="491"/>
      <c r="MCM93" s="491"/>
      <c r="MCN93" s="491"/>
      <c r="MCO93" s="491"/>
      <c r="MCP93" s="491"/>
      <c r="MCQ93" s="491"/>
      <c r="MCR93" s="491"/>
      <c r="MCS93" s="491"/>
      <c r="MCT93" s="491"/>
      <c r="MCU93" s="491"/>
      <c r="MCV93" s="491"/>
      <c r="MCW93" s="491"/>
      <c r="MCX93" s="491"/>
      <c r="MCY93" s="491"/>
      <c r="MCZ93" s="491"/>
      <c r="MDA93" s="491"/>
      <c r="MDB93" s="491"/>
      <c r="MDC93" s="491"/>
      <c r="MDD93" s="491"/>
      <c r="MDE93" s="491"/>
      <c r="MDF93" s="491"/>
      <c r="MDG93" s="491"/>
      <c r="MDH93" s="491"/>
      <c r="MDI93" s="491"/>
      <c r="MDJ93" s="491"/>
      <c r="MDK93" s="491"/>
      <c r="MDL93" s="491"/>
      <c r="MDM93" s="491"/>
      <c r="MDN93" s="491"/>
      <c r="MDO93" s="491"/>
      <c r="MDP93" s="491"/>
      <c r="MDQ93" s="491"/>
      <c r="MDR93" s="491"/>
      <c r="MDS93" s="492"/>
      <c r="MDT93" s="492"/>
      <c r="MDU93" s="492"/>
      <c r="MDV93" s="492"/>
      <c r="MDW93" s="493"/>
      <c r="MDX93" s="493"/>
      <c r="MDY93" s="192"/>
      <c r="MDZ93" s="489"/>
      <c r="MEA93" s="489"/>
      <c r="MEB93" s="490"/>
      <c r="MEC93" s="490"/>
      <c r="MED93" s="491"/>
      <c r="MEE93" s="491"/>
      <c r="MEF93" s="491"/>
      <c r="MEG93" s="491"/>
      <c r="MEH93" s="491"/>
      <c r="MEI93" s="491"/>
      <c r="MEJ93" s="491"/>
      <c r="MEK93" s="491"/>
      <c r="MEL93" s="491"/>
      <c r="MEM93" s="491"/>
      <c r="MEN93" s="491"/>
      <c r="MEO93" s="491"/>
      <c r="MEP93" s="491"/>
      <c r="MEQ93" s="491"/>
      <c r="MER93" s="491"/>
      <c r="MES93" s="491"/>
      <c r="MET93" s="491"/>
      <c r="MEU93" s="491"/>
      <c r="MEV93" s="491"/>
      <c r="MEW93" s="491"/>
      <c r="MEX93" s="491"/>
      <c r="MEY93" s="491"/>
      <c r="MEZ93" s="491"/>
      <c r="MFA93" s="491"/>
      <c r="MFB93" s="491"/>
      <c r="MFC93" s="491"/>
      <c r="MFD93" s="491"/>
      <c r="MFE93" s="491"/>
      <c r="MFF93" s="491"/>
      <c r="MFG93" s="491"/>
      <c r="MFH93" s="491"/>
      <c r="MFI93" s="491"/>
      <c r="MFJ93" s="491"/>
      <c r="MFK93" s="491"/>
      <c r="MFL93" s="492"/>
      <c r="MFM93" s="492"/>
      <c r="MFN93" s="492"/>
      <c r="MFO93" s="492"/>
      <c r="MFP93" s="493"/>
      <c r="MFQ93" s="493"/>
      <c r="MFR93" s="192"/>
      <c r="MFS93" s="489"/>
      <c r="MFT93" s="489"/>
      <c r="MFU93" s="490"/>
      <c r="MFV93" s="490"/>
      <c r="MFW93" s="491"/>
      <c r="MFX93" s="491"/>
      <c r="MFY93" s="491"/>
      <c r="MFZ93" s="491"/>
      <c r="MGA93" s="491"/>
      <c r="MGB93" s="491"/>
      <c r="MGC93" s="491"/>
      <c r="MGD93" s="491"/>
      <c r="MGE93" s="491"/>
      <c r="MGF93" s="491"/>
      <c r="MGG93" s="491"/>
      <c r="MGH93" s="491"/>
      <c r="MGI93" s="491"/>
      <c r="MGJ93" s="491"/>
      <c r="MGK93" s="491"/>
      <c r="MGL93" s="491"/>
      <c r="MGM93" s="491"/>
      <c r="MGN93" s="491"/>
      <c r="MGO93" s="491"/>
      <c r="MGP93" s="491"/>
      <c r="MGQ93" s="491"/>
      <c r="MGR93" s="491"/>
      <c r="MGS93" s="491"/>
      <c r="MGT93" s="491"/>
      <c r="MGU93" s="491"/>
      <c r="MGV93" s="491"/>
      <c r="MGW93" s="491"/>
      <c r="MGX93" s="491"/>
      <c r="MGY93" s="491"/>
      <c r="MGZ93" s="491"/>
      <c r="MHA93" s="491"/>
      <c r="MHB93" s="491"/>
      <c r="MHC93" s="491"/>
      <c r="MHD93" s="491"/>
      <c r="MHE93" s="492"/>
      <c r="MHF93" s="492"/>
      <c r="MHG93" s="492"/>
      <c r="MHH93" s="492"/>
      <c r="MHI93" s="493"/>
      <c r="MHJ93" s="493"/>
      <c r="MHK93" s="192"/>
      <c r="MHL93" s="489"/>
      <c r="MHM93" s="489"/>
      <c r="MHN93" s="490"/>
      <c r="MHO93" s="490"/>
      <c r="MHP93" s="491"/>
      <c r="MHQ93" s="491"/>
      <c r="MHR93" s="491"/>
      <c r="MHS93" s="491"/>
      <c r="MHT93" s="491"/>
      <c r="MHU93" s="491"/>
      <c r="MHV93" s="491"/>
      <c r="MHW93" s="491"/>
      <c r="MHX93" s="491"/>
      <c r="MHY93" s="491"/>
      <c r="MHZ93" s="491"/>
      <c r="MIA93" s="491"/>
      <c r="MIB93" s="491"/>
      <c r="MIC93" s="491"/>
      <c r="MID93" s="491"/>
      <c r="MIE93" s="491"/>
      <c r="MIF93" s="491"/>
      <c r="MIG93" s="491"/>
      <c r="MIH93" s="491"/>
      <c r="MII93" s="491"/>
      <c r="MIJ93" s="491"/>
      <c r="MIK93" s="491"/>
      <c r="MIL93" s="491"/>
      <c r="MIM93" s="491"/>
      <c r="MIN93" s="491"/>
      <c r="MIO93" s="491"/>
      <c r="MIP93" s="491"/>
      <c r="MIQ93" s="491"/>
      <c r="MIR93" s="491"/>
      <c r="MIS93" s="491"/>
      <c r="MIT93" s="491"/>
      <c r="MIU93" s="491"/>
      <c r="MIV93" s="491"/>
      <c r="MIW93" s="491"/>
      <c r="MIX93" s="492"/>
      <c r="MIY93" s="492"/>
      <c r="MIZ93" s="492"/>
      <c r="MJA93" s="492"/>
      <c r="MJB93" s="493"/>
      <c r="MJC93" s="493"/>
      <c r="MJD93" s="192"/>
      <c r="MJE93" s="489"/>
      <c r="MJF93" s="489"/>
      <c r="MJG93" s="490"/>
      <c r="MJH93" s="490"/>
      <c r="MJI93" s="491"/>
      <c r="MJJ93" s="491"/>
      <c r="MJK93" s="491"/>
      <c r="MJL93" s="491"/>
      <c r="MJM93" s="491"/>
      <c r="MJN93" s="491"/>
      <c r="MJO93" s="491"/>
      <c r="MJP93" s="491"/>
      <c r="MJQ93" s="491"/>
      <c r="MJR93" s="491"/>
      <c r="MJS93" s="491"/>
      <c r="MJT93" s="491"/>
      <c r="MJU93" s="491"/>
      <c r="MJV93" s="491"/>
      <c r="MJW93" s="491"/>
      <c r="MJX93" s="491"/>
      <c r="MJY93" s="491"/>
      <c r="MJZ93" s="491"/>
      <c r="MKA93" s="491"/>
      <c r="MKB93" s="491"/>
      <c r="MKC93" s="491"/>
      <c r="MKD93" s="491"/>
      <c r="MKE93" s="491"/>
      <c r="MKF93" s="491"/>
      <c r="MKG93" s="491"/>
      <c r="MKH93" s="491"/>
      <c r="MKI93" s="491"/>
      <c r="MKJ93" s="491"/>
      <c r="MKK93" s="491"/>
      <c r="MKL93" s="491"/>
      <c r="MKM93" s="491"/>
      <c r="MKN93" s="491"/>
      <c r="MKO93" s="491"/>
      <c r="MKP93" s="491"/>
      <c r="MKQ93" s="492"/>
      <c r="MKR93" s="492"/>
      <c r="MKS93" s="492"/>
      <c r="MKT93" s="492"/>
      <c r="MKU93" s="493"/>
      <c r="MKV93" s="493"/>
      <c r="MKW93" s="192"/>
      <c r="MKX93" s="489"/>
      <c r="MKY93" s="489"/>
      <c r="MKZ93" s="490"/>
      <c r="MLA93" s="490"/>
      <c r="MLB93" s="491"/>
      <c r="MLC93" s="491"/>
      <c r="MLD93" s="491"/>
      <c r="MLE93" s="491"/>
      <c r="MLF93" s="491"/>
      <c r="MLG93" s="491"/>
      <c r="MLH93" s="491"/>
      <c r="MLI93" s="491"/>
      <c r="MLJ93" s="491"/>
      <c r="MLK93" s="491"/>
      <c r="MLL93" s="491"/>
      <c r="MLM93" s="491"/>
      <c r="MLN93" s="491"/>
      <c r="MLO93" s="491"/>
      <c r="MLP93" s="491"/>
      <c r="MLQ93" s="491"/>
      <c r="MLR93" s="491"/>
      <c r="MLS93" s="491"/>
      <c r="MLT93" s="491"/>
      <c r="MLU93" s="491"/>
      <c r="MLV93" s="491"/>
      <c r="MLW93" s="491"/>
      <c r="MLX93" s="491"/>
      <c r="MLY93" s="491"/>
      <c r="MLZ93" s="491"/>
      <c r="MMA93" s="491"/>
      <c r="MMB93" s="491"/>
      <c r="MMC93" s="491"/>
      <c r="MMD93" s="491"/>
      <c r="MME93" s="491"/>
      <c r="MMF93" s="491"/>
      <c r="MMG93" s="491"/>
      <c r="MMH93" s="491"/>
      <c r="MMI93" s="491"/>
      <c r="MMJ93" s="492"/>
      <c r="MMK93" s="492"/>
      <c r="MML93" s="492"/>
      <c r="MMM93" s="492"/>
      <c r="MMN93" s="493"/>
      <c r="MMO93" s="493"/>
      <c r="MMP93" s="192"/>
      <c r="MMQ93" s="489"/>
      <c r="MMR93" s="489"/>
      <c r="MMS93" s="490"/>
      <c r="MMT93" s="490"/>
      <c r="MMU93" s="491"/>
      <c r="MMV93" s="491"/>
      <c r="MMW93" s="491"/>
      <c r="MMX93" s="491"/>
      <c r="MMY93" s="491"/>
      <c r="MMZ93" s="491"/>
      <c r="MNA93" s="491"/>
      <c r="MNB93" s="491"/>
      <c r="MNC93" s="491"/>
      <c r="MND93" s="491"/>
      <c r="MNE93" s="491"/>
      <c r="MNF93" s="491"/>
      <c r="MNG93" s="491"/>
      <c r="MNH93" s="491"/>
      <c r="MNI93" s="491"/>
      <c r="MNJ93" s="491"/>
      <c r="MNK93" s="491"/>
      <c r="MNL93" s="491"/>
      <c r="MNM93" s="491"/>
      <c r="MNN93" s="491"/>
      <c r="MNO93" s="491"/>
      <c r="MNP93" s="491"/>
      <c r="MNQ93" s="491"/>
      <c r="MNR93" s="491"/>
      <c r="MNS93" s="491"/>
      <c r="MNT93" s="491"/>
      <c r="MNU93" s="491"/>
      <c r="MNV93" s="491"/>
      <c r="MNW93" s="491"/>
      <c r="MNX93" s="491"/>
      <c r="MNY93" s="491"/>
      <c r="MNZ93" s="491"/>
      <c r="MOA93" s="491"/>
      <c r="MOB93" s="491"/>
      <c r="MOC93" s="492"/>
      <c r="MOD93" s="492"/>
      <c r="MOE93" s="492"/>
      <c r="MOF93" s="492"/>
      <c r="MOG93" s="493"/>
      <c r="MOH93" s="493"/>
      <c r="MOI93" s="192"/>
      <c r="MOJ93" s="489"/>
      <c r="MOK93" s="489"/>
      <c r="MOL93" s="490"/>
      <c r="MOM93" s="490"/>
      <c r="MON93" s="491"/>
      <c r="MOO93" s="491"/>
      <c r="MOP93" s="491"/>
      <c r="MOQ93" s="491"/>
      <c r="MOR93" s="491"/>
      <c r="MOS93" s="491"/>
      <c r="MOT93" s="491"/>
      <c r="MOU93" s="491"/>
      <c r="MOV93" s="491"/>
      <c r="MOW93" s="491"/>
      <c r="MOX93" s="491"/>
      <c r="MOY93" s="491"/>
      <c r="MOZ93" s="491"/>
      <c r="MPA93" s="491"/>
      <c r="MPB93" s="491"/>
      <c r="MPC93" s="491"/>
      <c r="MPD93" s="491"/>
      <c r="MPE93" s="491"/>
      <c r="MPF93" s="491"/>
      <c r="MPG93" s="491"/>
      <c r="MPH93" s="491"/>
      <c r="MPI93" s="491"/>
      <c r="MPJ93" s="491"/>
      <c r="MPK93" s="491"/>
      <c r="MPL93" s="491"/>
      <c r="MPM93" s="491"/>
      <c r="MPN93" s="491"/>
      <c r="MPO93" s="491"/>
      <c r="MPP93" s="491"/>
      <c r="MPQ93" s="491"/>
      <c r="MPR93" s="491"/>
      <c r="MPS93" s="491"/>
      <c r="MPT93" s="491"/>
      <c r="MPU93" s="491"/>
      <c r="MPV93" s="492"/>
      <c r="MPW93" s="492"/>
      <c r="MPX93" s="492"/>
      <c r="MPY93" s="492"/>
      <c r="MPZ93" s="493"/>
      <c r="MQA93" s="493"/>
      <c r="MQB93" s="192"/>
      <c r="MQC93" s="489"/>
      <c r="MQD93" s="489"/>
      <c r="MQE93" s="490"/>
      <c r="MQF93" s="490"/>
      <c r="MQG93" s="491"/>
      <c r="MQH93" s="491"/>
      <c r="MQI93" s="491"/>
      <c r="MQJ93" s="491"/>
      <c r="MQK93" s="491"/>
      <c r="MQL93" s="491"/>
      <c r="MQM93" s="491"/>
      <c r="MQN93" s="491"/>
      <c r="MQO93" s="491"/>
      <c r="MQP93" s="491"/>
      <c r="MQQ93" s="491"/>
      <c r="MQR93" s="491"/>
      <c r="MQS93" s="491"/>
      <c r="MQT93" s="491"/>
      <c r="MQU93" s="491"/>
      <c r="MQV93" s="491"/>
      <c r="MQW93" s="491"/>
      <c r="MQX93" s="491"/>
      <c r="MQY93" s="491"/>
      <c r="MQZ93" s="491"/>
      <c r="MRA93" s="491"/>
      <c r="MRB93" s="491"/>
      <c r="MRC93" s="491"/>
      <c r="MRD93" s="491"/>
      <c r="MRE93" s="491"/>
      <c r="MRF93" s="491"/>
      <c r="MRG93" s="491"/>
      <c r="MRH93" s="491"/>
      <c r="MRI93" s="491"/>
      <c r="MRJ93" s="491"/>
      <c r="MRK93" s="491"/>
      <c r="MRL93" s="491"/>
      <c r="MRM93" s="491"/>
      <c r="MRN93" s="491"/>
      <c r="MRO93" s="492"/>
      <c r="MRP93" s="492"/>
      <c r="MRQ93" s="492"/>
      <c r="MRR93" s="492"/>
      <c r="MRS93" s="493"/>
      <c r="MRT93" s="493"/>
      <c r="MRU93" s="192"/>
      <c r="MRV93" s="489"/>
      <c r="MRW93" s="489"/>
      <c r="MRX93" s="490"/>
      <c r="MRY93" s="490"/>
      <c r="MRZ93" s="491"/>
      <c r="MSA93" s="491"/>
      <c r="MSB93" s="491"/>
      <c r="MSC93" s="491"/>
      <c r="MSD93" s="491"/>
      <c r="MSE93" s="491"/>
      <c r="MSF93" s="491"/>
      <c r="MSG93" s="491"/>
      <c r="MSH93" s="491"/>
      <c r="MSI93" s="491"/>
      <c r="MSJ93" s="491"/>
      <c r="MSK93" s="491"/>
      <c r="MSL93" s="491"/>
      <c r="MSM93" s="491"/>
      <c r="MSN93" s="491"/>
      <c r="MSO93" s="491"/>
      <c r="MSP93" s="491"/>
      <c r="MSQ93" s="491"/>
      <c r="MSR93" s="491"/>
      <c r="MSS93" s="491"/>
      <c r="MST93" s="491"/>
      <c r="MSU93" s="491"/>
      <c r="MSV93" s="491"/>
      <c r="MSW93" s="491"/>
      <c r="MSX93" s="491"/>
      <c r="MSY93" s="491"/>
      <c r="MSZ93" s="491"/>
      <c r="MTA93" s="491"/>
      <c r="MTB93" s="491"/>
      <c r="MTC93" s="491"/>
      <c r="MTD93" s="491"/>
      <c r="MTE93" s="491"/>
      <c r="MTF93" s="491"/>
      <c r="MTG93" s="491"/>
      <c r="MTH93" s="492"/>
      <c r="MTI93" s="492"/>
      <c r="MTJ93" s="492"/>
      <c r="MTK93" s="492"/>
      <c r="MTL93" s="493"/>
      <c r="MTM93" s="493"/>
      <c r="MTN93" s="192"/>
      <c r="MTO93" s="489"/>
      <c r="MTP93" s="489"/>
      <c r="MTQ93" s="490"/>
      <c r="MTR93" s="490"/>
      <c r="MTS93" s="491"/>
      <c r="MTT93" s="491"/>
      <c r="MTU93" s="491"/>
      <c r="MTV93" s="491"/>
      <c r="MTW93" s="491"/>
      <c r="MTX93" s="491"/>
      <c r="MTY93" s="491"/>
      <c r="MTZ93" s="491"/>
      <c r="MUA93" s="491"/>
      <c r="MUB93" s="491"/>
      <c r="MUC93" s="491"/>
      <c r="MUD93" s="491"/>
      <c r="MUE93" s="491"/>
      <c r="MUF93" s="491"/>
      <c r="MUG93" s="491"/>
      <c r="MUH93" s="491"/>
      <c r="MUI93" s="491"/>
      <c r="MUJ93" s="491"/>
      <c r="MUK93" s="491"/>
      <c r="MUL93" s="491"/>
      <c r="MUM93" s="491"/>
      <c r="MUN93" s="491"/>
      <c r="MUO93" s="491"/>
      <c r="MUP93" s="491"/>
      <c r="MUQ93" s="491"/>
      <c r="MUR93" s="491"/>
      <c r="MUS93" s="491"/>
      <c r="MUT93" s="491"/>
      <c r="MUU93" s="491"/>
      <c r="MUV93" s="491"/>
      <c r="MUW93" s="491"/>
      <c r="MUX93" s="491"/>
      <c r="MUY93" s="491"/>
      <c r="MUZ93" s="491"/>
      <c r="MVA93" s="492"/>
      <c r="MVB93" s="492"/>
      <c r="MVC93" s="492"/>
      <c r="MVD93" s="492"/>
      <c r="MVE93" s="493"/>
      <c r="MVF93" s="493"/>
      <c r="MVG93" s="192"/>
      <c r="MVH93" s="489"/>
      <c r="MVI93" s="489"/>
      <c r="MVJ93" s="490"/>
      <c r="MVK93" s="490"/>
      <c r="MVL93" s="491"/>
      <c r="MVM93" s="491"/>
      <c r="MVN93" s="491"/>
      <c r="MVO93" s="491"/>
      <c r="MVP93" s="491"/>
      <c r="MVQ93" s="491"/>
      <c r="MVR93" s="491"/>
      <c r="MVS93" s="491"/>
      <c r="MVT93" s="491"/>
      <c r="MVU93" s="491"/>
      <c r="MVV93" s="491"/>
      <c r="MVW93" s="491"/>
      <c r="MVX93" s="491"/>
      <c r="MVY93" s="491"/>
      <c r="MVZ93" s="491"/>
      <c r="MWA93" s="491"/>
      <c r="MWB93" s="491"/>
      <c r="MWC93" s="491"/>
      <c r="MWD93" s="491"/>
      <c r="MWE93" s="491"/>
      <c r="MWF93" s="491"/>
      <c r="MWG93" s="491"/>
      <c r="MWH93" s="491"/>
      <c r="MWI93" s="491"/>
      <c r="MWJ93" s="491"/>
      <c r="MWK93" s="491"/>
      <c r="MWL93" s="491"/>
      <c r="MWM93" s="491"/>
      <c r="MWN93" s="491"/>
      <c r="MWO93" s="491"/>
      <c r="MWP93" s="491"/>
      <c r="MWQ93" s="491"/>
      <c r="MWR93" s="491"/>
      <c r="MWS93" s="491"/>
      <c r="MWT93" s="492"/>
      <c r="MWU93" s="492"/>
      <c r="MWV93" s="492"/>
      <c r="MWW93" s="492"/>
      <c r="MWX93" s="493"/>
      <c r="MWY93" s="493"/>
      <c r="MWZ93" s="192"/>
      <c r="MXA93" s="489"/>
      <c r="MXB93" s="489"/>
      <c r="MXC93" s="490"/>
      <c r="MXD93" s="490"/>
      <c r="MXE93" s="491"/>
      <c r="MXF93" s="491"/>
      <c r="MXG93" s="491"/>
      <c r="MXH93" s="491"/>
      <c r="MXI93" s="491"/>
      <c r="MXJ93" s="491"/>
      <c r="MXK93" s="491"/>
      <c r="MXL93" s="491"/>
      <c r="MXM93" s="491"/>
      <c r="MXN93" s="491"/>
      <c r="MXO93" s="491"/>
      <c r="MXP93" s="491"/>
      <c r="MXQ93" s="491"/>
      <c r="MXR93" s="491"/>
      <c r="MXS93" s="491"/>
      <c r="MXT93" s="491"/>
      <c r="MXU93" s="491"/>
      <c r="MXV93" s="491"/>
      <c r="MXW93" s="491"/>
      <c r="MXX93" s="491"/>
      <c r="MXY93" s="491"/>
      <c r="MXZ93" s="491"/>
      <c r="MYA93" s="491"/>
      <c r="MYB93" s="491"/>
      <c r="MYC93" s="491"/>
      <c r="MYD93" s="491"/>
      <c r="MYE93" s="491"/>
      <c r="MYF93" s="491"/>
      <c r="MYG93" s="491"/>
      <c r="MYH93" s="491"/>
      <c r="MYI93" s="491"/>
      <c r="MYJ93" s="491"/>
      <c r="MYK93" s="491"/>
      <c r="MYL93" s="491"/>
      <c r="MYM93" s="492"/>
      <c r="MYN93" s="492"/>
      <c r="MYO93" s="492"/>
      <c r="MYP93" s="492"/>
      <c r="MYQ93" s="493"/>
      <c r="MYR93" s="493"/>
      <c r="MYS93" s="192"/>
      <c r="MYT93" s="489"/>
      <c r="MYU93" s="489"/>
      <c r="MYV93" s="490"/>
      <c r="MYW93" s="490"/>
      <c r="MYX93" s="491"/>
      <c r="MYY93" s="491"/>
      <c r="MYZ93" s="491"/>
      <c r="MZA93" s="491"/>
      <c r="MZB93" s="491"/>
      <c r="MZC93" s="491"/>
      <c r="MZD93" s="491"/>
      <c r="MZE93" s="491"/>
      <c r="MZF93" s="491"/>
      <c r="MZG93" s="491"/>
      <c r="MZH93" s="491"/>
      <c r="MZI93" s="491"/>
      <c r="MZJ93" s="491"/>
      <c r="MZK93" s="491"/>
      <c r="MZL93" s="491"/>
      <c r="MZM93" s="491"/>
      <c r="MZN93" s="491"/>
      <c r="MZO93" s="491"/>
      <c r="MZP93" s="491"/>
      <c r="MZQ93" s="491"/>
      <c r="MZR93" s="491"/>
      <c r="MZS93" s="491"/>
      <c r="MZT93" s="491"/>
      <c r="MZU93" s="491"/>
      <c r="MZV93" s="491"/>
      <c r="MZW93" s="491"/>
      <c r="MZX93" s="491"/>
      <c r="MZY93" s="491"/>
      <c r="MZZ93" s="491"/>
      <c r="NAA93" s="491"/>
      <c r="NAB93" s="491"/>
      <c r="NAC93" s="491"/>
      <c r="NAD93" s="491"/>
      <c r="NAE93" s="491"/>
      <c r="NAF93" s="492"/>
      <c r="NAG93" s="492"/>
      <c r="NAH93" s="492"/>
      <c r="NAI93" s="492"/>
      <c r="NAJ93" s="493"/>
      <c r="NAK93" s="493"/>
      <c r="NAL93" s="192"/>
      <c r="NAM93" s="489"/>
      <c r="NAN93" s="489"/>
      <c r="NAO93" s="490"/>
      <c r="NAP93" s="490"/>
      <c r="NAQ93" s="491"/>
      <c r="NAR93" s="491"/>
      <c r="NAS93" s="491"/>
      <c r="NAT93" s="491"/>
      <c r="NAU93" s="491"/>
      <c r="NAV93" s="491"/>
      <c r="NAW93" s="491"/>
      <c r="NAX93" s="491"/>
      <c r="NAY93" s="491"/>
      <c r="NAZ93" s="491"/>
      <c r="NBA93" s="491"/>
      <c r="NBB93" s="491"/>
      <c r="NBC93" s="491"/>
      <c r="NBD93" s="491"/>
      <c r="NBE93" s="491"/>
      <c r="NBF93" s="491"/>
      <c r="NBG93" s="491"/>
      <c r="NBH93" s="491"/>
      <c r="NBI93" s="491"/>
      <c r="NBJ93" s="491"/>
      <c r="NBK93" s="491"/>
      <c r="NBL93" s="491"/>
      <c r="NBM93" s="491"/>
      <c r="NBN93" s="491"/>
      <c r="NBO93" s="491"/>
      <c r="NBP93" s="491"/>
      <c r="NBQ93" s="491"/>
      <c r="NBR93" s="491"/>
      <c r="NBS93" s="491"/>
      <c r="NBT93" s="491"/>
      <c r="NBU93" s="491"/>
      <c r="NBV93" s="491"/>
      <c r="NBW93" s="491"/>
      <c r="NBX93" s="491"/>
      <c r="NBY93" s="492"/>
      <c r="NBZ93" s="492"/>
      <c r="NCA93" s="492"/>
      <c r="NCB93" s="492"/>
      <c r="NCC93" s="493"/>
      <c r="NCD93" s="493"/>
      <c r="NCE93" s="192"/>
      <c r="NCF93" s="489"/>
      <c r="NCG93" s="489"/>
      <c r="NCH93" s="490"/>
      <c r="NCI93" s="490"/>
      <c r="NCJ93" s="491"/>
      <c r="NCK93" s="491"/>
      <c r="NCL93" s="491"/>
      <c r="NCM93" s="491"/>
      <c r="NCN93" s="491"/>
      <c r="NCO93" s="491"/>
      <c r="NCP93" s="491"/>
      <c r="NCQ93" s="491"/>
      <c r="NCR93" s="491"/>
      <c r="NCS93" s="491"/>
      <c r="NCT93" s="491"/>
      <c r="NCU93" s="491"/>
      <c r="NCV93" s="491"/>
      <c r="NCW93" s="491"/>
      <c r="NCX93" s="491"/>
      <c r="NCY93" s="491"/>
      <c r="NCZ93" s="491"/>
      <c r="NDA93" s="491"/>
      <c r="NDB93" s="491"/>
      <c r="NDC93" s="491"/>
      <c r="NDD93" s="491"/>
      <c r="NDE93" s="491"/>
      <c r="NDF93" s="491"/>
      <c r="NDG93" s="491"/>
      <c r="NDH93" s="491"/>
      <c r="NDI93" s="491"/>
      <c r="NDJ93" s="491"/>
      <c r="NDK93" s="491"/>
      <c r="NDL93" s="491"/>
      <c r="NDM93" s="491"/>
      <c r="NDN93" s="491"/>
      <c r="NDO93" s="491"/>
      <c r="NDP93" s="491"/>
      <c r="NDQ93" s="491"/>
      <c r="NDR93" s="492"/>
      <c r="NDS93" s="492"/>
      <c r="NDT93" s="492"/>
      <c r="NDU93" s="492"/>
      <c r="NDV93" s="493"/>
      <c r="NDW93" s="493"/>
      <c r="NDX93" s="192"/>
      <c r="NDY93" s="489"/>
      <c r="NDZ93" s="489"/>
      <c r="NEA93" s="490"/>
      <c r="NEB93" s="490"/>
      <c r="NEC93" s="491"/>
      <c r="NED93" s="491"/>
      <c r="NEE93" s="491"/>
      <c r="NEF93" s="491"/>
      <c r="NEG93" s="491"/>
      <c r="NEH93" s="491"/>
      <c r="NEI93" s="491"/>
      <c r="NEJ93" s="491"/>
      <c r="NEK93" s="491"/>
      <c r="NEL93" s="491"/>
      <c r="NEM93" s="491"/>
      <c r="NEN93" s="491"/>
      <c r="NEO93" s="491"/>
      <c r="NEP93" s="491"/>
      <c r="NEQ93" s="491"/>
      <c r="NER93" s="491"/>
      <c r="NES93" s="491"/>
      <c r="NET93" s="491"/>
      <c r="NEU93" s="491"/>
      <c r="NEV93" s="491"/>
      <c r="NEW93" s="491"/>
      <c r="NEX93" s="491"/>
      <c r="NEY93" s="491"/>
      <c r="NEZ93" s="491"/>
      <c r="NFA93" s="491"/>
      <c r="NFB93" s="491"/>
      <c r="NFC93" s="491"/>
      <c r="NFD93" s="491"/>
      <c r="NFE93" s="491"/>
      <c r="NFF93" s="491"/>
      <c r="NFG93" s="491"/>
      <c r="NFH93" s="491"/>
      <c r="NFI93" s="491"/>
      <c r="NFJ93" s="491"/>
      <c r="NFK93" s="492"/>
      <c r="NFL93" s="492"/>
      <c r="NFM93" s="492"/>
      <c r="NFN93" s="492"/>
      <c r="NFO93" s="493"/>
      <c r="NFP93" s="493"/>
      <c r="NFQ93" s="192"/>
      <c r="NFR93" s="489"/>
      <c r="NFS93" s="489"/>
      <c r="NFT93" s="490"/>
      <c r="NFU93" s="490"/>
      <c r="NFV93" s="491"/>
      <c r="NFW93" s="491"/>
      <c r="NFX93" s="491"/>
      <c r="NFY93" s="491"/>
      <c r="NFZ93" s="491"/>
      <c r="NGA93" s="491"/>
      <c r="NGB93" s="491"/>
      <c r="NGC93" s="491"/>
      <c r="NGD93" s="491"/>
      <c r="NGE93" s="491"/>
      <c r="NGF93" s="491"/>
      <c r="NGG93" s="491"/>
      <c r="NGH93" s="491"/>
      <c r="NGI93" s="491"/>
      <c r="NGJ93" s="491"/>
      <c r="NGK93" s="491"/>
      <c r="NGL93" s="491"/>
      <c r="NGM93" s="491"/>
      <c r="NGN93" s="491"/>
      <c r="NGO93" s="491"/>
      <c r="NGP93" s="491"/>
      <c r="NGQ93" s="491"/>
      <c r="NGR93" s="491"/>
      <c r="NGS93" s="491"/>
      <c r="NGT93" s="491"/>
      <c r="NGU93" s="491"/>
      <c r="NGV93" s="491"/>
      <c r="NGW93" s="491"/>
      <c r="NGX93" s="491"/>
      <c r="NGY93" s="491"/>
      <c r="NGZ93" s="491"/>
      <c r="NHA93" s="491"/>
      <c r="NHB93" s="491"/>
      <c r="NHC93" s="491"/>
      <c r="NHD93" s="492"/>
      <c r="NHE93" s="492"/>
      <c r="NHF93" s="492"/>
      <c r="NHG93" s="492"/>
      <c r="NHH93" s="493"/>
      <c r="NHI93" s="493"/>
      <c r="NHJ93" s="192"/>
      <c r="NHK93" s="489"/>
      <c r="NHL93" s="489"/>
      <c r="NHM93" s="490"/>
      <c r="NHN93" s="490"/>
      <c r="NHO93" s="491"/>
      <c r="NHP93" s="491"/>
      <c r="NHQ93" s="491"/>
      <c r="NHR93" s="491"/>
      <c r="NHS93" s="491"/>
      <c r="NHT93" s="491"/>
      <c r="NHU93" s="491"/>
      <c r="NHV93" s="491"/>
      <c r="NHW93" s="491"/>
      <c r="NHX93" s="491"/>
      <c r="NHY93" s="491"/>
      <c r="NHZ93" s="491"/>
      <c r="NIA93" s="491"/>
      <c r="NIB93" s="491"/>
      <c r="NIC93" s="491"/>
      <c r="NID93" s="491"/>
      <c r="NIE93" s="491"/>
      <c r="NIF93" s="491"/>
      <c r="NIG93" s="491"/>
      <c r="NIH93" s="491"/>
      <c r="NII93" s="491"/>
      <c r="NIJ93" s="491"/>
      <c r="NIK93" s="491"/>
      <c r="NIL93" s="491"/>
      <c r="NIM93" s="491"/>
      <c r="NIN93" s="491"/>
      <c r="NIO93" s="491"/>
      <c r="NIP93" s="491"/>
      <c r="NIQ93" s="491"/>
      <c r="NIR93" s="491"/>
      <c r="NIS93" s="491"/>
      <c r="NIT93" s="491"/>
      <c r="NIU93" s="491"/>
      <c r="NIV93" s="491"/>
      <c r="NIW93" s="492"/>
      <c r="NIX93" s="492"/>
      <c r="NIY93" s="492"/>
      <c r="NIZ93" s="492"/>
      <c r="NJA93" s="493"/>
      <c r="NJB93" s="493"/>
      <c r="NJC93" s="192"/>
      <c r="NJD93" s="489"/>
      <c r="NJE93" s="489"/>
      <c r="NJF93" s="490"/>
      <c r="NJG93" s="490"/>
      <c r="NJH93" s="491"/>
      <c r="NJI93" s="491"/>
      <c r="NJJ93" s="491"/>
      <c r="NJK93" s="491"/>
      <c r="NJL93" s="491"/>
      <c r="NJM93" s="491"/>
      <c r="NJN93" s="491"/>
      <c r="NJO93" s="491"/>
      <c r="NJP93" s="491"/>
      <c r="NJQ93" s="491"/>
      <c r="NJR93" s="491"/>
      <c r="NJS93" s="491"/>
      <c r="NJT93" s="491"/>
      <c r="NJU93" s="491"/>
      <c r="NJV93" s="491"/>
      <c r="NJW93" s="491"/>
      <c r="NJX93" s="491"/>
      <c r="NJY93" s="491"/>
      <c r="NJZ93" s="491"/>
      <c r="NKA93" s="491"/>
      <c r="NKB93" s="491"/>
      <c r="NKC93" s="491"/>
      <c r="NKD93" s="491"/>
      <c r="NKE93" s="491"/>
      <c r="NKF93" s="491"/>
      <c r="NKG93" s="491"/>
      <c r="NKH93" s="491"/>
      <c r="NKI93" s="491"/>
      <c r="NKJ93" s="491"/>
      <c r="NKK93" s="491"/>
      <c r="NKL93" s="491"/>
      <c r="NKM93" s="491"/>
      <c r="NKN93" s="491"/>
      <c r="NKO93" s="491"/>
      <c r="NKP93" s="492"/>
      <c r="NKQ93" s="492"/>
      <c r="NKR93" s="492"/>
      <c r="NKS93" s="492"/>
      <c r="NKT93" s="493"/>
      <c r="NKU93" s="493"/>
      <c r="NKV93" s="192"/>
      <c r="NKW93" s="489"/>
      <c r="NKX93" s="489"/>
      <c r="NKY93" s="490"/>
      <c r="NKZ93" s="490"/>
      <c r="NLA93" s="491"/>
      <c r="NLB93" s="491"/>
      <c r="NLC93" s="491"/>
      <c r="NLD93" s="491"/>
      <c r="NLE93" s="491"/>
      <c r="NLF93" s="491"/>
      <c r="NLG93" s="491"/>
      <c r="NLH93" s="491"/>
      <c r="NLI93" s="491"/>
      <c r="NLJ93" s="491"/>
      <c r="NLK93" s="491"/>
      <c r="NLL93" s="491"/>
      <c r="NLM93" s="491"/>
      <c r="NLN93" s="491"/>
      <c r="NLO93" s="491"/>
      <c r="NLP93" s="491"/>
      <c r="NLQ93" s="491"/>
      <c r="NLR93" s="491"/>
      <c r="NLS93" s="491"/>
      <c r="NLT93" s="491"/>
      <c r="NLU93" s="491"/>
      <c r="NLV93" s="491"/>
      <c r="NLW93" s="491"/>
      <c r="NLX93" s="491"/>
      <c r="NLY93" s="491"/>
      <c r="NLZ93" s="491"/>
      <c r="NMA93" s="491"/>
      <c r="NMB93" s="491"/>
      <c r="NMC93" s="491"/>
      <c r="NMD93" s="491"/>
      <c r="NME93" s="491"/>
      <c r="NMF93" s="491"/>
      <c r="NMG93" s="491"/>
      <c r="NMH93" s="491"/>
      <c r="NMI93" s="492"/>
      <c r="NMJ93" s="492"/>
      <c r="NMK93" s="492"/>
      <c r="NML93" s="492"/>
      <c r="NMM93" s="493"/>
      <c r="NMN93" s="493"/>
      <c r="NMO93" s="192"/>
      <c r="NMP93" s="489"/>
      <c r="NMQ93" s="489"/>
      <c r="NMR93" s="490"/>
      <c r="NMS93" s="490"/>
      <c r="NMT93" s="491"/>
      <c r="NMU93" s="491"/>
      <c r="NMV93" s="491"/>
      <c r="NMW93" s="491"/>
      <c r="NMX93" s="491"/>
      <c r="NMY93" s="491"/>
      <c r="NMZ93" s="491"/>
      <c r="NNA93" s="491"/>
      <c r="NNB93" s="491"/>
      <c r="NNC93" s="491"/>
      <c r="NND93" s="491"/>
      <c r="NNE93" s="491"/>
      <c r="NNF93" s="491"/>
      <c r="NNG93" s="491"/>
      <c r="NNH93" s="491"/>
      <c r="NNI93" s="491"/>
      <c r="NNJ93" s="491"/>
      <c r="NNK93" s="491"/>
      <c r="NNL93" s="491"/>
      <c r="NNM93" s="491"/>
      <c r="NNN93" s="491"/>
      <c r="NNO93" s="491"/>
      <c r="NNP93" s="491"/>
      <c r="NNQ93" s="491"/>
      <c r="NNR93" s="491"/>
      <c r="NNS93" s="491"/>
      <c r="NNT93" s="491"/>
      <c r="NNU93" s="491"/>
      <c r="NNV93" s="491"/>
      <c r="NNW93" s="491"/>
      <c r="NNX93" s="491"/>
      <c r="NNY93" s="491"/>
      <c r="NNZ93" s="491"/>
      <c r="NOA93" s="491"/>
      <c r="NOB93" s="492"/>
      <c r="NOC93" s="492"/>
      <c r="NOD93" s="492"/>
      <c r="NOE93" s="492"/>
      <c r="NOF93" s="493"/>
      <c r="NOG93" s="493"/>
      <c r="NOH93" s="192"/>
      <c r="NOI93" s="489"/>
      <c r="NOJ93" s="489"/>
      <c r="NOK93" s="490"/>
      <c r="NOL93" s="490"/>
      <c r="NOM93" s="491"/>
      <c r="NON93" s="491"/>
      <c r="NOO93" s="491"/>
      <c r="NOP93" s="491"/>
      <c r="NOQ93" s="491"/>
      <c r="NOR93" s="491"/>
      <c r="NOS93" s="491"/>
      <c r="NOT93" s="491"/>
      <c r="NOU93" s="491"/>
      <c r="NOV93" s="491"/>
      <c r="NOW93" s="491"/>
      <c r="NOX93" s="491"/>
      <c r="NOY93" s="491"/>
      <c r="NOZ93" s="491"/>
      <c r="NPA93" s="491"/>
      <c r="NPB93" s="491"/>
      <c r="NPC93" s="491"/>
      <c r="NPD93" s="491"/>
      <c r="NPE93" s="491"/>
      <c r="NPF93" s="491"/>
      <c r="NPG93" s="491"/>
      <c r="NPH93" s="491"/>
      <c r="NPI93" s="491"/>
      <c r="NPJ93" s="491"/>
      <c r="NPK93" s="491"/>
      <c r="NPL93" s="491"/>
      <c r="NPM93" s="491"/>
      <c r="NPN93" s="491"/>
      <c r="NPO93" s="491"/>
      <c r="NPP93" s="491"/>
      <c r="NPQ93" s="491"/>
      <c r="NPR93" s="491"/>
      <c r="NPS93" s="491"/>
      <c r="NPT93" s="491"/>
      <c r="NPU93" s="492"/>
      <c r="NPV93" s="492"/>
      <c r="NPW93" s="492"/>
      <c r="NPX93" s="492"/>
      <c r="NPY93" s="493"/>
      <c r="NPZ93" s="493"/>
      <c r="NQA93" s="192"/>
      <c r="NQB93" s="489"/>
      <c r="NQC93" s="489"/>
      <c r="NQD93" s="490"/>
      <c r="NQE93" s="490"/>
      <c r="NQF93" s="491"/>
      <c r="NQG93" s="491"/>
      <c r="NQH93" s="491"/>
      <c r="NQI93" s="491"/>
      <c r="NQJ93" s="491"/>
      <c r="NQK93" s="491"/>
      <c r="NQL93" s="491"/>
      <c r="NQM93" s="491"/>
      <c r="NQN93" s="491"/>
      <c r="NQO93" s="491"/>
      <c r="NQP93" s="491"/>
      <c r="NQQ93" s="491"/>
      <c r="NQR93" s="491"/>
      <c r="NQS93" s="491"/>
      <c r="NQT93" s="491"/>
      <c r="NQU93" s="491"/>
      <c r="NQV93" s="491"/>
      <c r="NQW93" s="491"/>
      <c r="NQX93" s="491"/>
      <c r="NQY93" s="491"/>
      <c r="NQZ93" s="491"/>
      <c r="NRA93" s="491"/>
      <c r="NRB93" s="491"/>
      <c r="NRC93" s="491"/>
      <c r="NRD93" s="491"/>
      <c r="NRE93" s="491"/>
      <c r="NRF93" s="491"/>
      <c r="NRG93" s="491"/>
      <c r="NRH93" s="491"/>
      <c r="NRI93" s="491"/>
      <c r="NRJ93" s="491"/>
      <c r="NRK93" s="491"/>
      <c r="NRL93" s="491"/>
      <c r="NRM93" s="491"/>
      <c r="NRN93" s="492"/>
      <c r="NRO93" s="492"/>
      <c r="NRP93" s="492"/>
      <c r="NRQ93" s="492"/>
      <c r="NRR93" s="493"/>
      <c r="NRS93" s="493"/>
      <c r="NRT93" s="192"/>
      <c r="NRU93" s="489"/>
      <c r="NRV93" s="489"/>
      <c r="NRW93" s="490"/>
      <c r="NRX93" s="490"/>
      <c r="NRY93" s="491"/>
      <c r="NRZ93" s="491"/>
      <c r="NSA93" s="491"/>
      <c r="NSB93" s="491"/>
      <c r="NSC93" s="491"/>
      <c r="NSD93" s="491"/>
      <c r="NSE93" s="491"/>
      <c r="NSF93" s="491"/>
      <c r="NSG93" s="491"/>
      <c r="NSH93" s="491"/>
      <c r="NSI93" s="491"/>
      <c r="NSJ93" s="491"/>
      <c r="NSK93" s="491"/>
      <c r="NSL93" s="491"/>
      <c r="NSM93" s="491"/>
      <c r="NSN93" s="491"/>
      <c r="NSO93" s="491"/>
      <c r="NSP93" s="491"/>
      <c r="NSQ93" s="491"/>
      <c r="NSR93" s="491"/>
      <c r="NSS93" s="491"/>
      <c r="NST93" s="491"/>
      <c r="NSU93" s="491"/>
      <c r="NSV93" s="491"/>
      <c r="NSW93" s="491"/>
      <c r="NSX93" s="491"/>
      <c r="NSY93" s="491"/>
      <c r="NSZ93" s="491"/>
      <c r="NTA93" s="491"/>
      <c r="NTB93" s="491"/>
      <c r="NTC93" s="491"/>
      <c r="NTD93" s="491"/>
      <c r="NTE93" s="491"/>
      <c r="NTF93" s="491"/>
      <c r="NTG93" s="492"/>
      <c r="NTH93" s="492"/>
      <c r="NTI93" s="492"/>
      <c r="NTJ93" s="492"/>
      <c r="NTK93" s="493"/>
      <c r="NTL93" s="493"/>
      <c r="NTM93" s="192"/>
      <c r="NTN93" s="489"/>
      <c r="NTO93" s="489"/>
      <c r="NTP93" s="490"/>
      <c r="NTQ93" s="490"/>
      <c r="NTR93" s="491"/>
      <c r="NTS93" s="491"/>
      <c r="NTT93" s="491"/>
      <c r="NTU93" s="491"/>
      <c r="NTV93" s="491"/>
      <c r="NTW93" s="491"/>
      <c r="NTX93" s="491"/>
      <c r="NTY93" s="491"/>
      <c r="NTZ93" s="491"/>
      <c r="NUA93" s="491"/>
      <c r="NUB93" s="491"/>
      <c r="NUC93" s="491"/>
      <c r="NUD93" s="491"/>
      <c r="NUE93" s="491"/>
      <c r="NUF93" s="491"/>
      <c r="NUG93" s="491"/>
      <c r="NUH93" s="491"/>
      <c r="NUI93" s="491"/>
      <c r="NUJ93" s="491"/>
      <c r="NUK93" s="491"/>
      <c r="NUL93" s="491"/>
      <c r="NUM93" s="491"/>
      <c r="NUN93" s="491"/>
      <c r="NUO93" s="491"/>
      <c r="NUP93" s="491"/>
      <c r="NUQ93" s="491"/>
      <c r="NUR93" s="491"/>
      <c r="NUS93" s="491"/>
      <c r="NUT93" s="491"/>
      <c r="NUU93" s="491"/>
      <c r="NUV93" s="491"/>
      <c r="NUW93" s="491"/>
      <c r="NUX93" s="491"/>
      <c r="NUY93" s="491"/>
      <c r="NUZ93" s="492"/>
      <c r="NVA93" s="492"/>
      <c r="NVB93" s="492"/>
      <c r="NVC93" s="492"/>
      <c r="NVD93" s="493"/>
      <c r="NVE93" s="493"/>
      <c r="NVF93" s="192"/>
      <c r="NVG93" s="489"/>
      <c r="NVH93" s="489"/>
      <c r="NVI93" s="490"/>
      <c r="NVJ93" s="490"/>
      <c r="NVK93" s="491"/>
      <c r="NVL93" s="491"/>
      <c r="NVM93" s="491"/>
      <c r="NVN93" s="491"/>
      <c r="NVO93" s="491"/>
      <c r="NVP93" s="491"/>
      <c r="NVQ93" s="491"/>
      <c r="NVR93" s="491"/>
      <c r="NVS93" s="491"/>
      <c r="NVT93" s="491"/>
      <c r="NVU93" s="491"/>
      <c r="NVV93" s="491"/>
      <c r="NVW93" s="491"/>
      <c r="NVX93" s="491"/>
      <c r="NVY93" s="491"/>
      <c r="NVZ93" s="491"/>
      <c r="NWA93" s="491"/>
      <c r="NWB93" s="491"/>
      <c r="NWC93" s="491"/>
      <c r="NWD93" s="491"/>
      <c r="NWE93" s="491"/>
      <c r="NWF93" s="491"/>
      <c r="NWG93" s="491"/>
      <c r="NWH93" s="491"/>
      <c r="NWI93" s="491"/>
      <c r="NWJ93" s="491"/>
      <c r="NWK93" s="491"/>
      <c r="NWL93" s="491"/>
      <c r="NWM93" s="491"/>
      <c r="NWN93" s="491"/>
      <c r="NWO93" s="491"/>
      <c r="NWP93" s="491"/>
      <c r="NWQ93" s="491"/>
      <c r="NWR93" s="491"/>
      <c r="NWS93" s="492"/>
      <c r="NWT93" s="492"/>
      <c r="NWU93" s="492"/>
      <c r="NWV93" s="492"/>
      <c r="NWW93" s="493"/>
      <c r="NWX93" s="493"/>
      <c r="NWY93" s="192"/>
      <c r="NWZ93" s="489"/>
      <c r="NXA93" s="489"/>
      <c r="NXB93" s="490"/>
      <c r="NXC93" s="490"/>
      <c r="NXD93" s="491"/>
      <c r="NXE93" s="491"/>
      <c r="NXF93" s="491"/>
      <c r="NXG93" s="491"/>
      <c r="NXH93" s="491"/>
      <c r="NXI93" s="491"/>
      <c r="NXJ93" s="491"/>
      <c r="NXK93" s="491"/>
      <c r="NXL93" s="491"/>
      <c r="NXM93" s="491"/>
      <c r="NXN93" s="491"/>
      <c r="NXO93" s="491"/>
      <c r="NXP93" s="491"/>
      <c r="NXQ93" s="491"/>
      <c r="NXR93" s="491"/>
      <c r="NXS93" s="491"/>
      <c r="NXT93" s="491"/>
      <c r="NXU93" s="491"/>
      <c r="NXV93" s="491"/>
      <c r="NXW93" s="491"/>
      <c r="NXX93" s="491"/>
      <c r="NXY93" s="491"/>
      <c r="NXZ93" s="491"/>
      <c r="NYA93" s="491"/>
      <c r="NYB93" s="491"/>
      <c r="NYC93" s="491"/>
      <c r="NYD93" s="491"/>
      <c r="NYE93" s="491"/>
      <c r="NYF93" s="491"/>
      <c r="NYG93" s="491"/>
      <c r="NYH93" s="491"/>
      <c r="NYI93" s="491"/>
      <c r="NYJ93" s="491"/>
      <c r="NYK93" s="491"/>
      <c r="NYL93" s="492"/>
      <c r="NYM93" s="492"/>
      <c r="NYN93" s="492"/>
      <c r="NYO93" s="492"/>
      <c r="NYP93" s="493"/>
      <c r="NYQ93" s="493"/>
      <c r="NYR93" s="192"/>
      <c r="NYS93" s="489"/>
      <c r="NYT93" s="489"/>
      <c r="NYU93" s="490"/>
      <c r="NYV93" s="490"/>
      <c r="NYW93" s="491"/>
      <c r="NYX93" s="491"/>
      <c r="NYY93" s="491"/>
      <c r="NYZ93" s="491"/>
      <c r="NZA93" s="491"/>
      <c r="NZB93" s="491"/>
      <c r="NZC93" s="491"/>
      <c r="NZD93" s="491"/>
      <c r="NZE93" s="491"/>
      <c r="NZF93" s="491"/>
      <c r="NZG93" s="491"/>
      <c r="NZH93" s="491"/>
      <c r="NZI93" s="491"/>
      <c r="NZJ93" s="491"/>
      <c r="NZK93" s="491"/>
      <c r="NZL93" s="491"/>
      <c r="NZM93" s="491"/>
      <c r="NZN93" s="491"/>
      <c r="NZO93" s="491"/>
      <c r="NZP93" s="491"/>
      <c r="NZQ93" s="491"/>
      <c r="NZR93" s="491"/>
      <c r="NZS93" s="491"/>
      <c r="NZT93" s="491"/>
      <c r="NZU93" s="491"/>
      <c r="NZV93" s="491"/>
      <c r="NZW93" s="491"/>
      <c r="NZX93" s="491"/>
      <c r="NZY93" s="491"/>
      <c r="NZZ93" s="491"/>
      <c r="OAA93" s="491"/>
      <c r="OAB93" s="491"/>
      <c r="OAC93" s="491"/>
      <c r="OAD93" s="491"/>
      <c r="OAE93" s="492"/>
      <c r="OAF93" s="492"/>
      <c r="OAG93" s="492"/>
      <c r="OAH93" s="492"/>
      <c r="OAI93" s="493"/>
      <c r="OAJ93" s="493"/>
      <c r="OAK93" s="192"/>
      <c r="OAL93" s="489"/>
      <c r="OAM93" s="489"/>
      <c r="OAN93" s="490"/>
      <c r="OAO93" s="490"/>
      <c r="OAP93" s="491"/>
      <c r="OAQ93" s="491"/>
      <c r="OAR93" s="491"/>
      <c r="OAS93" s="491"/>
      <c r="OAT93" s="491"/>
      <c r="OAU93" s="491"/>
      <c r="OAV93" s="491"/>
      <c r="OAW93" s="491"/>
      <c r="OAX93" s="491"/>
      <c r="OAY93" s="491"/>
      <c r="OAZ93" s="491"/>
      <c r="OBA93" s="491"/>
      <c r="OBB93" s="491"/>
      <c r="OBC93" s="491"/>
      <c r="OBD93" s="491"/>
      <c r="OBE93" s="491"/>
      <c r="OBF93" s="491"/>
      <c r="OBG93" s="491"/>
      <c r="OBH93" s="491"/>
      <c r="OBI93" s="491"/>
      <c r="OBJ93" s="491"/>
      <c r="OBK93" s="491"/>
      <c r="OBL93" s="491"/>
      <c r="OBM93" s="491"/>
      <c r="OBN93" s="491"/>
      <c r="OBO93" s="491"/>
      <c r="OBP93" s="491"/>
      <c r="OBQ93" s="491"/>
      <c r="OBR93" s="491"/>
      <c r="OBS93" s="491"/>
      <c r="OBT93" s="491"/>
      <c r="OBU93" s="491"/>
      <c r="OBV93" s="491"/>
      <c r="OBW93" s="491"/>
      <c r="OBX93" s="492"/>
      <c r="OBY93" s="492"/>
      <c r="OBZ93" s="492"/>
      <c r="OCA93" s="492"/>
      <c r="OCB93" s="493"/>
      <c r="OCC93" s="493"/>
      <c r="OCD93" s="192"/>
      <c r="OCE93" s="489"/>
      <c r="OCF93" s="489"/>
      <c r="OCG93" s="490"/>
      <c r="OCH93" s="490"/>
      <c r="OCI93" s="491"/>
      <c r="OCJ93" s="491"/>
      <c r="OCK93" s="491"/>
      <c r="OCL93" s="491"/>
      <c r="OCM93" s="491"/>
      <c r="OCN93" s="491"/>
      <c r="OCO93" s="491"/>
      <c r="OCP93" s="491"/>
      <c r="OCQ93" s="491"/>
      <c r="OCR93" s="491"/>
      <c r="OCS93" s="491"/>
      <c r="OCT93" s="491"/>
      <c r="OCU93" s="491"/>
      <c r="OCV93" s="491"/>
      <c r="OCW93" s="491"/>
      <c r="OCX93" s="491"/>
      <c r="OCY93" s="491"/>
      <c r="OCZ93" s="491"/>
      <c r="ODA93" s="491"/>
      <c r="ODB93" s="491"/>
      <c r="ODC93" s="491"/>
      <c r="ODD93" s="491"/>
      <c r="ODE93" s="491"/>
      <c r="ODF93" s="491"/>
      <c r="ODG93" s="491"/>
      <c r="ODH93" s="491"/>
      <c r="ODI93" s="491"/>
      <c r="ODJ93" s="491"/>
      <c r="ODK93" s="491"/>
      <c r="ODL93" s="491"/>
      <c r="ODM93" s="491"/>
      <c r="ODN93" s="491"/>
      <c r="ODO93" s="491"/>
      <c r="ODP93" s="491"/>
      <c r="ODQ93" s="492"/>
      <c r="ODR93" s="492"/>
      <c r="ODS93" s="492"/>
      <c r="ODT93" s="492"/>
      <c r="ODU93" s="493"/>
      <c r="ODV93" s="493"/>
      <c r="ODW93" s="192"/>
      <c r="ODX93" s="489"/>
      <c r="ODY93" s="489"/>
      <c r="ODZ93" s="490"/>
      <c r="OEA93" s="490"/>
      <c r="OEB93" s="491"/>
      <c r="OEC93" s="491"/>
      <c r="OED93" s="491"/>
      <c r="OEE93" s="491"/>
      <c r="OEF93" s="491"/>
      <c r="OEG93" s="491"/>
      <c r="OEH93" s="491"/>
      <c r="OEI93" s="491"/>
      <c r="OEJ93" s="491"/>
      <c r="OEK93" s="491"/>
      <c r="OEL93" s="491"/>
      <c r="OEM93" s="491"/>
      <c r="OEN93" s="491"/>
      <c r="OEO93" s="491"/>
      <c r="OEP93" s="491"/>
      <c r="OEQ93" s="491"/>
      <c r="OER93" s="491"/>
      <c r="OES93" s="491"/>
      <c r="OET93" s="491"/>
      <c r="OEU93" s="491"/>
      <c r="OEV93" s="491"/>
      <c r="OEW93" s="491"/>
      <c r="OEX93" s="491"/>
      <c r="OEY93" s="491"/>
      <c r="OEZ93" s="491"/>
      <c r="OFA93" s="491"/>
      <c r="OFB93" s="491"/>
      <c r="OFC93" s="491"/>
      <c r="OFD93" s="491"/>
      <c r="OFE93" s="491"/>
      <c r="OFF93" s="491"/>
      <c r="OFG93" s="491"/>
      <c r="OFH93" s="491"/>
      <c r="OFI93" s="491"/>
      <c r="OFJ93" s="492"/>
      <c r="OFK93" s="492"/>
      <c r="OFL93" s="492"/>
      <c r="OFM93" s="492"/>
      <c r="OFN93" s="493"/>
      <c r="OFO93" s="493"/>
      <c r="OFP93" s="192"/>
      <c r="OFQ93" s="489"/>
      <c r="OFR93" s="489"/>
      <c r="OFS93" s="490"/>
      <c r="OFT93" s="490"/>
      <c r="OFU93" s="491"/>
      <c r="OFV93" s="491"/>
      <c r="OFW93" s="491"/>
      <c r="OFX93" s="491"/>
      <c r="OFY93" s="491"/>
      <c r="OFZ93" s="491"/>
      <c r="OGA93" s="491"/>
      <c r="OGB93" s="491"/>
      <c r="OGC93" s="491"/>
      <c r="OGD93" s="491"/>
      <c r="OGE93" s="491"/>
      <c r="OGF93" s="491"/>
      <c r="OGG93" s="491"/>
      <c r="OGH93" s="491"/>
      <c r="OGI93" s="491"/>
      <c r="OGJ93" s="491"/>
      <c r="OGK93" s="491"/>
      <c r="OGL93" s="491"/>
      <c r="OGM93" s="491"/>
      <c r="OGN93" s="491"/>
      <c r="OGO93" s="491"/>
      <c r="OGP93" s="491"/>
      <c r="OGQ93" s="491"/>
      <c r="OGR93" s="491"/>
      <c r="OGS93" s="491"/>
      <c r="OGT93" s="491"/>
      <c r="OGU93" s="491"/>
      <c r="OGV93" s="491"/>
      <c r="OGW93" s="491"/>
      <c r="OGX93" s="491"/>
      <c r="OGY93" s="491"/>
      <c r="OGZ93" s="491"/>
      <c r="OHA93" s="491"/>
      <c r="OHB93" s="491"/>
      <c r="OHC93" s="492"/>
      <c r="OHD93" s="492"/>
      <c r="OHE93" s="492"/>
      <c r="OHF93" s="492"/>
      <c r="OHG93" s="493"/>
      <c r="OHH93" s="493"/>
      <c r="OHI93" s="192"/>
      <c r="OHJ93" s="489"/>
      <c r="OHK93" s="489"/>
      <c r="OHL93" s="490"/>
      <c r="OHM93" s="490"/>
      <c r="OHN93" s="491"/>
      <c r="OHO93" s="491"/>
      <c r="OHP93" s="491"/>
      <c r="OHQ93" s="491"/>
      <c r="OHR93" s="491"/>
      <c r="OHS93" s="491"/>
      <c r="OHT93" s="491"/>
      <c r="OHU93" s="491"/>
      <c r="OHV93" s="491"/>
      <c r="OHW93" s="491"/>
      <c r="OHX93" s="491"/>
      <c r="OHY93" s="491"/>
      <c r="OHZ93" s="491"/>
      <c r="OIA93" s="491"/>
      <c r="OIB93" s="491"/>
      <c r="OIC93" s="491"/>
      <c r="OID93" s="491"/>
      <c r="OIE93" s="491"/>
      <c r="OIF93" s="491"/>
      <c r="OIG93" s="491"/>
      <c r="OIH93" s="491"/>
      <c r="OII93" s="491"/>
      <c r="OIJ93" s="491"/>
      <c r="OIK93" s="491"/>
      <c r="OIL93" s="491"/>
      <c r="OIM93" s="491"/>
      <c r="OIN93" s="491"/>
      <c r="OIO93" s="491"/>
      <c r="OIP93" s="491"/>
      <c r="OIQ93" s="491"/>
      <c r="OIR93" s="491"/>
      <c r="OIS93" s="491"/>
      <c r="OIT93" s="491"/>
      <c r="OIU93" s="491"/>
      <c r="OIV93" s="492"/>
      <c r="OIW93" s="492"/>
      <c r="OIX93" s="492"/>
      <c r="OIY93" s="492"/>
      <c r="OIZ93" s="493"/>
      <c r="OJA93" s="493"/>
      <c r="OJB93" s="192"/>
      <c r="OJC93" s="489"/>
      <c r="OJD93" s="489"/>
      <c r="OJE93" s="490"/>
      <c r="OJF93" s="490"/>
      <c r="OJG93" s="491"/>
      <c r="OJH93" s="491"/>
      <c r="OJI93" s="491"/>
      <c r="OJJ93" s="491"/>
      <c r="OJK93" s="491"/>
      <c r="OJL93" s="491"/>
      <c r="OJM93" s="491"/>
      <c r="OJN93" s="491"/>
      <c r="OJO93" s="491"/>
      <c r="OJP93" s="491"/>
      <c r="OJQ93" s="491"/>
      <c r="OJR93" s="491"/>
      <c r="OJS93" s="491"/>
      <c r="OJT93" s="491"/>
      <c r="OJU93" s="491"/>
      <c r="OJV93" s="491"/>
      <c r="OJW93" s="491"/>
      <c r="OJX93" s="491"/>
      <c r="OJY93" s="491"/>
      <c r="OJZ93" s="491"/>
      <c r="OKA93" s="491"/>
      <c r="OKB93" s="491"/>
      <c r="OKC93" s="491"/>
      <c r="OKD93" s="491"/>
      <c r="OKE93" s="491"/>
      <c r="OKF93" s="491"/>
      <c r="OKG93" s="491"/>
      <c r="OKH93" s="491"/>
      <c r="OKI93" s="491"/>
      <c r="OKJ93" s="491"/>
      <c r="OKK93" s="491"/>
      <c r="OKL93" s="491"/>
      <c r="OKM93" s="491"/>
      <c r="OKN93" s="491"/>
      <c r="OKO93" s="492"/>
      <c r="OKP93" s="492"/>
      <c r="OKQ93" s="492"/>
      <c r="OKR93" s="492"/>
      <c r="OKS93" s="493"/>
      <c r="OKT93" s="493"/>
      <c r="OKU93" s="192"/>
      <c r="OKV93" s="489"/>
      <c r="OKW93" s="489"/>
      <c r="OKX93" s="490"/>
      <c r="OKY93" s="490"/>
      <c r="OKZ93" s="491"/>
      <c r="OLA93" s="491"/>
      <c r="OLB93" s="491"/>
      <c r="OLC93" s="491"/>
      <c r="OLD93" s="491"/>
      <c r="OLE93" s="491"/>
      <c r="OLF93" s="491"/>
      <c r="OLG93" s="491"/>
      <c r="OLH93" s="491"/>
      <c r="OLI93" s="491"/>
      <c r="OLJ93" s="491"/>
      <c r="OLK93" s="491"/>
      <c r="OLL93" s="491"/>
      <c r="OLM93" s="491"/>
      <c r="OLN93" s="491"/>
      <c r="OLO93" s="491"/>
      <c r="OLP93" s="491"/>
      <c r="OLQ93" s="491"/>
      <c r="OLR93" s="491"/>
      <c r="OLS93" s="491"/>
      <c r="OLT93" s="491"/>
      <c r="OLU93" s="491"/>
      <c r="OLV93" s="491"/>
      <c r="OLW93" s="491"/>
      <c r="OLX93" s="491"/>
      <c r="OLY93" s="491"/>
      <c r="OLZ93" s="491"/>
      <c r="OMA93" s="491"/>
      <c r="OMB93" s="491"/>
      <c r="OMC93" s="491"/>
      <c r="OMD93" s="491"/>
      <c r="OME93" s="491"/>
      <c r="OMF93" s="491"/>
      <c r="OMG93" s="491"/>
      <c r="OMH93" s="492"/>
      <c r="OMI93" s="492"/>
      <c r="OMJ93" s="492"/>
      <c r="OMK93" s="492"/>
      <c r="OML93" s="493"/>
      <c r="OMM93" s="493"/>
      <c r="OMN93" s="192"/>
      <c r="OMO93" s="489"/>
      <c r="OMP93" s="489"/>
      <c r="OMQ93" s="490"/>
      <c r="OMR93" s="490"/>
      <c r="OMS93" s="491"/>
      <c r="OMT93" s="491"/>
      <c r="OMU93" s="491"/>
      <c r="OMV93" s="491"/>
      <c r="OMW93" s="491"/>
      <c r="OMX93" s="491"/>
      <c r="OMY93" s="491"/>
      <c r="OMZ93" s="491"/>
      <c r="ONA93" s="491"/>
      <c r="ONB93" s="491"/>
      <c r="ONC93" s="491"/>
      <c r="OND93" s="491"/>
      <c r="ONE93" s="491"/>
      <c r="ONF93" s="491"/>
      <c r="ONG93" s="491"/>
      <c r="ONH93" s="491"/>
      <c r="ONI93" s="491"/>
      <c r="ONJ93" s="491"/>
      <c r="ONK93" s="491"/>
      <c r="ONL93" s="491"/>
      <c r="ONM93" s="491"/>
      <c r="ONN93" s="491"/>
      <c r="ONO93" s="491"/>
      <c r="ONP93" s="491"/>
      <c r="ONQ93" s="491"/>
      <c r="ONR93" s="491"/>
      <c r="ONS93" s="491"/>
      <c r="ONT93" s="491"/>
      <c r="ONU93" s="491"/>
      <c r="ONV93" s="491"/>
      <c r="ONW93" s="491"/>
      <c r="ONX93" s="491"/>
      <c r="ONY93" s="491"/>
      <c r="ONZ93" s="491"/>
      <c r="OOA93" s="492"/>
      <c r="OOB93" s="492"/>
      <c r="OOC93" s="492"/>
      <c r="OOD93" s="492"/>
      <c r="OOE93" s="493"/>
      <c r="OOF93" s="493"/>
      <c r="OOG93" s="192"/>
      <c r="OOH93" s="489"/>
      <c r="OOI93" s="489"/>
      <c r="OOJ93" s="490"/>
      <c r="OOK93" s="490"/>
      <c r="OOL93" s="491"/>
      <c r="OOM93" s="491"/>
      <c r="OON93" s="491"/>
      <c r="OOO93" s="491"/>
      <c r="OOP93" s="491"/>
      <c r="OOQ93" s="491"/>
      <c r="OOR93" s="491"/>
      <c r="OOS93" s="491"/>
      <c r="OOT93" s="491"/>
      <c r="OOU93" s="491"/>
      <c r="OOV93" s="491"/>
      <c r="OOW93" s="491"/>
      <c r="OOX93" s="491"/>
      <c r="OOY93" s="491"/>
      <c r="OOZ93" s="491"/>
      <c r="OPA93" s="491"/>
      <c r="OPB93" s="491"/>
      <c r="OPC93" s="491"/>
      <c r="OPD93" s="491"/>
      <c r="OPE93" s="491"/>
      <c r="OPF93" s="491"/>
      <c r="OPG93" s="491"/>
      <c r="OPH93" s="491"/>
      <c r="OPI93" s="491"/>
      <c r="OPJ93" s="491"/>
      <c r="OPK93" s="491"/>
      <c r="OPL93" s="491"/>
      <c r="OPM93" s="491"/>
      <c r="OPN93" s="491"/>
      <c r="OPO93" s="491"/>
      <c r="OPP93" s="491"/>
      <c r="OPQ93" s="491"/>
      <c r="OPR93" s="491"/>
      <c r="OPS93" s="491"/>
      <c r="OPT93" s="492"/>
      <c r="OPU93" s="492"/>
      <c r="OPV93" s="492"/>
      <c r="OPW93" s="492"/>
      <c r="OPX93" s="493"/>
      <c r="OPY93" s="493"/>
      <c r="OPZ93" s="192"/>
      <c r="OQA93" s="489"/>
      <c r="OQB93" s="489"/>
      <c r="OQC93" s="490"/>
      <c r="OQD93" s="490"/>
      <c r="OQE93" s="491"/>
      <c r="OQF93" s="491"/>
      <c r="OQG93" s="491"/>
      <c r="OQH93" s="491"/>
      <c r="OQI93" s="491"/>
      <c r="OQJ93" s="491"/>
      <c r="OQK93" s="491"/>
      <c r="OQL93" s="491"/>
      <c r="OQM93" s="491"/>
      <c r="OQN93" s="491"/>
      <c r="OQO93" s="491"/>
      <c r="OQP93" s="491"/>
      <c r="OQQ93" s="491"/>
      <c r="OQR93" s="491"/>
      <c r="OQS93" s="491"/>
      <c r="OQT93" s="491"/>
      <c r="OQU93" s="491"/>
      <c r="OQV93" s="491"/>
      <c r="OQW93" s="491"/>
      <c r="OQX93" s="491"/>
      <c r="OQY93" s="491"/>
      <c r="OQZ93" s="491"/>
      <c r="ORA93" s="491"/>
      <c r="ORB93" s="491"/>
      <c r="ORC93" s="491"/>
      <c r="ORD93" s="491"/>
      <c r="ORE93" s="491"/>
      <c r="ORF93" s="491"/>
      <c r="ORG93" s="491"/>
      <c r="ORH93" s="491"/>
      <c r="ORI93" s="491"/>
      <c r="ORJ93" s="491"/>
      <c r="ORK93" s="491"/>
      <c r="ORL93" s="491"/>
      <c r="ORM93" s="492"/>
      <c r="ORN93" s="492"/>
      <c r="ORO93" s="492"/>
      <c r="ORP93" s="492"/>
      <c r="ORQ93" s="493"/>
      <c r="ORR93" s="493"/>
      <c r="ORS93" s="192"/>
      <c r="ORT93" s="489"/>
      <c r="ORU93" s="489"/>
      <c r="ORV93" s="490"/>
      <c r="ORW93" s="490"/>
      <c r="ORX93" s="491"/>
      <c r="ORY93" s="491"/>
      <c r="ORZ93" s="491"/>
      <c r="OSA93" s="491"/>
      <c r="OSB93" s="491"/>
      <c r="OSC93" s="491"/>
      <c r="OSD93" s="491"/>
      <c r="OSE93" s="491"/>
      <c r="OSF93" s="491"/>
      <c r="OSG93" s="491"/>
      <c r="OSH93" s="491"/>
      <c r="OSI93" s="491"/>
      <c r="OSJ93" s="491"/>
      <c r="OSK93" s="491"/>
      <c r="OSL93" s="491"/>
      <c r="OSM93" s="491"/>
      <c r="OSN93" s="491"/>
      <c r="OSO93" s="491"/>
      <c r="OSP93" s="491"/>
      <c r="OSQ93" s="491"/>
      <c r="OSR93" s="491"/>
      <c r="OSS93" s="491"/>
      <c r="OST93" s="491"/>
      <c r="OSU93" s="491"/>
      <c r="OSV93" s="491"/>
      <c r="OSW93" s="491"/>
      <c r="OSX93" s="491"/>
      <c r="OSY93" s="491"/>
      <c r="OSZ93" s="491"/>
      <c r="OTA93" s="491"/>
      <c r="OTB93" s="491"/>
      <c r="OTC93" s="491"/>
      <c r="OTD93" s="491"/>
      <c r="OTE93" s="491"/>
      <c r="OTF93" s="492"/>
      <c r="OTG93" s="492"/>
      <c r="OTH93" s="492"/>
      <c r="OTI93" s="492"/>
      <c r="OTJ93" s="493"/>
      <c r="OTK93" s="493"/>
      <c r="OTL93" s="192"/>
      <c r="OTM93" s="489"/>
      <c r="OTN93" s="489"/>
      <c r="OTO93" s="490"/>
      <c r="OTP93" s="490"/>
      <c r="OTQ93" s="491"/>
      <c r="OTR93" s="491"/>
      <c r="OTS93" s="491"/>
      <c r="OTT93" s="491"/>
      <c r="OTU93" s="491"/>
      <c r="OTV93" s="491"/>
      <c r="OTW93" s="491"/>
      <c r="OTX93" s="491"/>
      <c r="OTY93" s="491"/>
      <c r="OTZ93" s="491"/>
      <c r="OUA93" s="491"/>
      <c r="OUB93" s="491"/>
      <c r="OUC93" s="491"/>
      <c r="OUD93" s="491"/>
      <c r="OUE93" s="491"/>
      <c r="OUF93" s="491"/>
      <c r="OUG93" s="491"/>
      <c r="OUH93" s="491"/>
      <c r="OUI93" s="491"/>
      <c r="OUJ93" s="491"/>
      <c r="OUK93" s="491"/>
      <c r="OUL93" s="491"/>
      <c r="OUM93" s="491"/>
      <c r="OUN93" s="491"/>
      <c r="OUO93" s="491"/>
      <c r="OUP93" s="491"/>
      <c r="OUQ93" s="491"/>
      <c r="OUR93" s="491"/>
      <c r="OUS93" s="491"/>
      <c r="OUT93" s="491"/>
      <c r="OUU93" s="491"/>
      <c r="OUV93" s="491"/>
      <c r="OUW93" s="491"/>
      <c r="OUX93" s="491"/>
      <c r="OUY93" s="492"/>
      <c r="OUZ93" s="492"/>
      <c r="OVA93" s="492"/>
      <c r="OVB93" s="492"/>
      <c r="OVC93" s="493"/>
      <c r="OVD93" s="493"/>
      <c r="OVE93" s="192"/>
      <c r="OVF93" s="489"/>
      <c r="OVG93" s="489"/>
      <c r="OVH93" s="490"/>
      <c r="OVI93" s="490"/>
      <c r="OVJ93" s="491"/>
      <c r="OVK93" s="491"/>
      <c r="OVL93" s="491"/>
      <c r="OVM93" s="491"/>
      <c r="OVN93" s="491"/>
      <c r="OVO93" s="491"/>
      <c r="OVP93" s="491"/>
      <c r="OVQ93" s="491"/>
      <c r="OVR93" s="491"/>
      <c r="OVS93" s="491"/>
      <c r="OVT93" s="491"/>
      <c r="OVU93" s="491"/>
      <c r="OVV93" s="491"/>
      <c r="OVW93" s="491"/>
      <c r="OVX93" s="491"/>
      <c r="OVY93" s="491"/>
      <c r="OVZ93" s="491"/>
      <c r="OWA93" s="491"/>
      <c r="OWB93" s="491"/>
      <c r="OWC93" s="491"/>
      <c r="OWD93" s="491"/>
      <c r="OWE93" s="491"/>
      <c r="OWF93" s="491"/>
      <c r="OWG93" s="491"/>
      <c r="OWH93" s="491"/>
      <c r="OWI93" s="491"/>
      <c r="OWJ93" s="491"/>
      <c r="OWK93" s="491"/>
      <c r="OWL93" s="491"/>
      <c r="OWM93" s="491"/>
      <c r="OWN93" s="491"/>
      <c r="OWO93" s="491"/>
      <c r="OWP93" s="491"/>
      <c r="OWQ93" s="491"/>
      <c r="OWR93" s="492"/>
      <c r="OWS93" s="492"/>
      <c r="OWT93" s="492"/>
      <c r="OWU93" s="492"/>
      <c r="OWV93" s="493"/>
      <c r="OWW93" s="493"/>
      <c r="OWX93" s="192"/>
      <c r="OWY93" s="489"/>
      <c r="OWZ93" s="489"/>
      <c r="OXA93" s="490"/>
      <c r="OXB93" s="490"/>
      <c r="OXC93" s="491"/>
      <c r="OXD93" s="491"/>
      <c r="OXE93" s="491"/>
      <c r="OXF93" s="491"/>
      <c r="OXG93" s="491"/>
      <c r="OXH93" s="491"/>
      <c r="OXI93" s="491"/>
      <c r="OXJ93" s="491"/>
      <c r="OXK93" s="491"/>
      <c r="OXL93" s="491"/>
      <c r="OXM93" s="491"/>
      <c r="OXN93" s="491"/>
      <c r="OXO93" s="491"/>
      <c r="OXP93" s="491"/>
      <c r="OXQ93" s="491"/>
      <c r="OXR93" s="491"/>
      <c r="OXS93" s="491"/>
      <c r="OXT93" s="491"/>
      <c r="OXU93" s="491"/>
      <c r="OXV93" s="491"/>
      <c r="OXW93" s="491"/>
      <c r="OXX93" s="491"/>
      <c r="OXY93" s="491"/>
      <c r="OXZ93" s="491"/>
      <c r="OYA93" s="491"/>
      <c r="OYB93" s="491"/>
      <c r="OYC93" s="491"/>
      <c r="OYD93" s="491"/>
      <c r="OYE93" s="491"/>
      <c r="OYF93" s="491"/>
      <c r="OYG93" s="491"/>
      <c r="OYH93" s="491"/>
      <c r="OYI93" s="491"/>
      <c r="OYJ93" s="491"/>
      <c r="OYK93" s="492"/>
      <c r="OYL93" s="492"/>
      <c r="OYM93" s="492"/>
      <c r="OYN93" s="492"/>
      <c r="OYO93" s="493"/>
      <c r="OYP93" s="493"/>
      <c r="OYQ93" s="192"/>
      <c r="OYR93" s="489"/>
      <c r="OYS93" s="489"/>
      <c r="OYT93" s="490"/>
      <c r="OYU93" s="490"/>
      <c r="OYV93" s="491"/>
      <c r="OYW93" s="491"/>
      <c r="OYX93" s="491"/>
      <c r="OYY93" s="491"/>
      <c r="OYZ93" s="491"/>
      <c r="OZA93" s="491"/>
      <c r="OZB93" s="491"/>
      <c r="OZC93" s="491"/>
      <c r="OZD93" s="491"/>
      <c r="OZE93" s="491"/>
      <c r="OZF93" s="491"/>
      <c r="OZG93" s="491"/>
      <c r="OZH93" s="491"/>
      <c r="OZI93" s="491"/>
      <c r="OZJ93" s="491"/>
      <c r="OZK93" s="491"/>
      <c r="OZL93" s="491"/>
      <c r="OZM93" s="491"/>
      <c r="OZN93" s="491"/>
      <c r="OZO93" s="491"/>
      <c r="OZP93" s="491"/>
      <c r="OZQ93" s="491"/>
      <c r="OZR93" s="491"/>
      <c r="OZS93" s="491"/>
      <c r="OZT93" s="491"/>
      <c r="OZU93" s="491"/>
      <c r="OZV93" s="491"/>
      <c r="OZW93" s="491"/>
      <c r="OZX93" s="491"/>
      <c r="OZY93" s="491"/>
      <c r="OZZ93" s="491"/>
      <c r="PAA93" s="491"/>
      <c r="PAB93" s="491"/>
      <c r="PAC93" s="491"/>
      <c r="PAD93" s="492"/>
      <c r="PAE93" s="492"/>
      <c r="PAF93" s="492"/>
      <c r="PAG93" s="492"/>
      <c r="PAH93" s="493"/>
      <c r="PAI93" s="493"/>
      <c r="PAJ93" s="192"/>
      <c r="PAK93" s="489"/>
      <c r="PAL93" s="489"/>
      <c r="PAM93" s="490"/>
      <c r="PAN93" s="490"/>
      <c r="PAO93" s="491"/>
      <c r="PAP93" s="491"/>
      <c r="PAQ93" s="491"/>
      <c r="PAR93" s="491"/>
      <c r="PAS93" s="491"/>
      <c r="PAT93" s="491"/>
      <c r="PAU93" s="491"/>
      <c r="PAV93" s="491"/>
      <c r="PAW93" s="491"/>
      <c r="PAX93" s="491"/>
      <c r="PAY93" s="491"/>
      <c r="PAZ93" s="491"/>
      <c r="PBA93" s="491"/>
      <c r="PBB93" s="491"/>
      <c r="PBC93" s="491"/>
      <c r="PBD93" s="491"/>
      <c r="PBE93" s="491"/>
      <c r="PBF93" s="491"/>
      <c r="PBG93" s="491"/>
      <c r="PBH93" s="491"/>
      <c r="PBI93" s="491"/>
      <c r="PBJ93" s="491"/>
      <c r="PBK93" s="491"/>
      <c r="PBL93" s="491"/>
      <c r="PBM93" s="491"/>
      <c r="PBN93" s="491"/>
      <c r="PBO93" s="491"/>
      <c r="PBP93" s="491"/>
      <c r="PBQ93" s="491"/>
      <c r="PBR93" s="491"/>
      <c r="PBS93" s="491"/>
      <c r="PBT93" s="491"/>
      <c r="PBU93" s="491"/>
      <c r="PBV93" s="491"/>
      <c r="PBW93" s="492"/>
      <c r="PBX93" s="492"/>
      <c r="PBY93" s="492"/>
      <c r="PBZ93" s="492"/>
      <c r="PCA93" s="493"/>
      <c r="PCB93" s="493"/>
      <c r="PCC93" s="192"/>
      <c r="PCD93" s="489"/>
      <c r="PCE93" s="489"/>
      <c r="PCF93" s="490"/>
      <c r="PCG93" s="490"/>
      <c r="PCH93" s="491"/>
      <c r="PCI93" s="491"/>
      <c r="PCJ93" s="491"/>
      <c r="PCK93" s="491"/>
      <c r="PCL93" s="491"/>
      <c r="PCM93" s="491"/>
      <c r="PCN93" s="491"/>
      <c r="PCO93" s="491"/>
      <c r="PCP93" s="491"/>
      <c r="PCQ93" s="491"/>
      <c r="PCR93" s="491"/>
      <c r="PCS93" s="491"/>
      <c r="PCT93" s="491"/>
      <c r="PCU93" s="491"/>
      <c r="PCV93" s="491"/>
      <c r="PCW93" s="491"/>
      <c r="PCX93" s="491"/>
      <c r="PCY93" s="491"/>
      <c r="PCZ93" s="491"/>
      <c r="PDA93" s="491"/>
      <c r="PDB93" s="491"/>
      <c r="PDC93" s="491"/>
      <c r="PDD93" s="491"/>
      <c r="PDE93" s="491"/>
      <c r="PDF93" s="491"/>
      <c r="PDG93" s="491"/>
      <c r="PDH93" s="491"/>
      <c r="PDI93" s="491"/>
      <c r="PDJ93" s="491"/>
      <c r="PDK93" s="491"/>
      <c r="PDL93" s="491"/>
      <c r="PDM93" s="491"/>
      <c r="PDN93" s="491"/>
      <c r="PDO93" s="491"/>
      <c r="PDP93" s="492"/>
      <c r="PDQ93" s="492"/>
      <c r="PDR93" s="492"/>
      <c r="PDS93" s="492"/>
      <c r="PDT93" s="493"/>
      <c r="PDU93" s="493"/>
      <c r="PDV93" s="192"/>
      <c r="PDW93" s="489"/>
      <c r="PDX93" s="489"/>
      <c r="PDY93" s="490"/>
      <c r="PDZ93" s="490"/>
      <c r="PEA93" s="491"/>
      <c r="PEB93" s="491"/>
      <c r="PEC93" s="491"/>
      <c r="PED93" s="491"/>
      <c r="PEE93" s="491"/>
      <c r="PEF93" s="491"/>
      <c r="PEG93" s="491"/>
      <c r="PEH93" s="491"/>
      <c r="PEI93" s="491"/>
      <c r="PEJ93" s="491"/>
      <c r="PEK93" s="491"/>
      <c r="PEL93" s="491"/>
      <c r="PEM93" s="491"/>
      <c r="PEN93" s="491"/>
      <c r="PEO93" s="491"/>
      <c r="PEP93" s="491"/>
      <c r="PEQ93" s="491"/>
      <c r="PER93" s="491"/>
      <c r="PES93" s="491"/>
      <c r="PET93" s="491"/>
      <c r="PEU93" s="491"/>
      <c r="PEV93" s="491"/>
      <c r="PEW93" s="491"/>
      <c r="PEX93" s="491"/>
      <c r="PEY93" s="491"/>
      <c r="PEZ93" s="491"/>
      <c r="PFA93" s="491"/>
      <c r="PFB93" s="491"/>
      <c r="PFC93" s="491"/>
      <c r="PFD93" s="491"/>
      <c r="PFE93" s="491"/>
      <c r="PFF93" s="491"/>
      <c r="PFG93" s="491"/>
      <c r="PFH93" s="491"/>
      <c r="PFI93" s="492"/>
      <c r="PFJ93" s="492"/>
      <c r="PFK93" s="492"/>
      <c r="PFL93" s="492"/>
      <c r="PFM93" s="493"/>
      <c r="PFN93" s="493"/>
      <c r="PFO93" s="192"/>
      <c r="PFP93" s="489"/>
      <c r="PFQ93" s="489"/>
      <c r="PFR93" s="490"/>
      <c r="PFS93" s="490"/>
      <c r="PFT93" s="491"/>
      <c r="PFU93" s="491"/>
      <c r="PFV93" s="491"/>
      <c r="PFW93" s="491"/>
      <c r="PFX93" s="491"/>
      <c r="PFY93" s="491"/>
      <c r="PFZ93" s="491"/>
      <c r="PGA93" s="491"/>
      <c r="PGB93" s="491"/>
      <c r="PGC93" s="491"/>
      <c r="PGD93" s="491"/>
      <c r="PGE93" s="491"/>
      <c r="PGF93" s="491"/>
      <c r="PGG93" s="491"/>
      <c r="PGH93" s="491"/>
      <c r="PGI93" s="491"/>
      <c r="PGJ93" s="491"/>
      <c r="PGK93" s="491"/>
      <c r="PGL93" s="491"/>
      <c r="PGM93" s="491"/>
      <c r="PGN93" s="491"/>
      <c r="PGO93" s="491"/>
      <c r="PGP93" s="491"/>
      <c r="PGQ93" s="491"/>
      <c r="PGR93" s="491"/>
      <c r="PGS93" s="491"/>
      <c r="PGT93" s="491"/>
      <c r="PGU93" s="491"/>
      <c r="PGV93" s="491"/>
      <c r="PGW93" s="491"/>
      <c r="PGX93" s="491"/>
      <c r="PGY93" s="491"/>
      <c r="PGZ93" s="491"/>
      <c r="PHA93" s="491"/>
      <c r="PHB93" s="492"/>
      <c r="PHC93" s="492"/>
      <c r="PHD93" s="492"/>
      <c r="PHE93" s="492"/>
      <c r="PHF93" s="493"/>
      <c r="PHG93" s="493"/>
      <c r="PHH93" s="192"/>
      <c r="PHI93" s="489"/>
      <c r="PHJ93" s="489"/>
      <c r="PHK93" s="490"/>
      <c r="PHL93" s="490"/>
      <c r="PHM93" s="491"/>
      <c r="PHN93" s="491"/>
      <c r="PHO93" s="491"/>
      <c r="PHP93" s="491"/>
      <c r="PHQ93" s="491"/>
      <c r="PHR93" s="491"/>
      <c r="PHS93" s="491"/>
      <c r="PHT93" s="491"/>
      <c r="PHU93" s="491"/>
      <c r="PHV93" s="491"/>
      <c r="PHW93" s="491"/>
      <c r="PHX93" s="491"/>
      <c r="PHY93" s="491"/>
      <c r="PHZ93" s="491"/>
      <c r="PIA93" s="491"/>
      <c r="PIB93" s="491"/>
      <c r="PIC93" s="491"/>
      <c r="PID93" s="491"/>
      <c r="PIE93" s="491"/>
      <c r="PIF93" s="491"/>
      <c r="PIG93" s="491"/>
      <c r="PIH93" s="491"/>
      <c r="PII93" s="491"/>
      <c r="PIJ93" s="491"/>
      <c r="PIK93" s="491"/>
      <c r="PIL93" s="491"/>
      <c r="PIM93" s="491"/>
      <c r="PIN93" s="491"/>
      <c r="PIO93" s="491"/>
      <c r="PIP93" s="491"/>
      <c r="PIQ93" s="491"/>
      <c r="PIR93" s="491"/>
      <c r="PIS93" s="491"/>
      <c r="PIT93" s="491"/>
      <c r="PIU93" s="492"/>
      <c r="PIV93" s="492"/>
      <c r="PIW93" s="492"/>
      <c r="PIX93" s="492"/>
      <c r="PIY93" s="493"/>
      <c r="PIZ93" s="493"/>
      <c r="PJA93" s="192"/>
      <c r="PJB93" s="489"/>
      <c r="PJC93" s="489"/>
      <c r="PJD93" s="490"/>
      <c r="PJE93" s="490"/>
      <c r="PJF93" s="491"/>
      <c r="PJG93" s="491"/>
      <c r="PJH93" s="491"/>
      <c r="PJI93" s="491"/>
      <c r="PJJ93" s="491"/>
      <c r="PJK93" s="491"/>
      <c r="PJL93" s="491"/>
      <c r="PJM93" s="491"/>
      <c r="PJN93" s="491"/>
      <c r="PJO93" s="491"/>
      <c r="PJP93" s="491"/>
      <c r="PJQ93" s="491"/>
      <c r="PJR93" s="491"/>
      <c r="PJS93" s="491"/>
      <c r="PJT93" s="491"/>
      <c r="PJU93" s="491"/>
      <c r="PJV93" s="491"/>
      <c r="PJW93" s="491"/>
      <c r="PJX93" s="491"/>
      <c r="PJY93" s="491"/>
      <c r="PJZ93" s="491"/>
      <c r="PKA93" s="491"/>
      <c r="PKB93" s="491"/>
      <c r="PKC93" s="491"/>
      <c r="PKD93" s="491"/>
      <c r="PKE93" s="491"/>
      <c r="PKF93" s="491"/>
      <c r="PKG93" s="491"/>
      <c r="PKH93" s="491"/>
      <c r="PKI93" s="491"/>
      <c r="PKJ93" s="491"/>
      <c r="PKK93" s="491"/>
      <c r="PKL93" s="491"/>
      <c r="PKM93" s="491"/>
      <c r="PKN93" s="492"/>
      <c r="PKO93" s="492"/>
      <c r="PKP93" s="492"/>
      <c r="PKQ93" s="492"/>
      <c r="PKR93" s="493"/>
      <c r="PKS93" s="493"/>
      <c r="PKT93" s="192"/>
      <c r="PKU93" s="489"/>
      <c r="PKV93" s="489"/>
      <c r="PKW93" s="490"/>
      <c r="PKX93" s="490"/>
      <c r="PKY93" s="491"/>
      <c r="PKZ93" s="491"/>
      <c r="PLA93" s="491"/>
      <c r="PLB93" s="491"/>
      <c r="PLC93" s="491"/>
      <c r="PLD93" s="491"/>
      <c r="PLE93" s="491"/>
      <c r="PLF93" s="491"/>
      <c r="PLG93" s="491"/>
      <c r="PLH93" s="491"/>
      <c r="PLI93" s="491"/>
      <c r="PLJ93" s="491"/>
      <c r="PLK93" s="491"/>
      <c r="PLL93" s="491"/>
      <c r="PLM93" s="491"/>
      <c r="PLN93" s="491"/>
      <c r="PLO93" s="491"/>
      <c r="PLP93" s="491"/>
      <c r="PLQ93" s="491"/>
      <c r="PLR93" s="491"/>
      <c r="PLS93" s="491"/>
      <c r="PLT93" s="491"/>
      <c r="PLU93" s="491"/>
      <c r="PLV93" s="491"/>
      <c r="PLW93" s="491"/>
      <c r="PLX93" s="491"/>
      <c r="PLY93" s="491"/>
      <c r="PLZ93" s="491"/>
      <c r="PMA93" s="491"/>
      <c r="PMB93" s="491"/>
      <c r="PMC93" s="491"/>
      <c r="PMD93" s="491"/>
      <c r="PME93" s="491"/>
      <c r="PMF93" s="491"/>
      <c r="PMG93" s="492"/>
      <c r="PMH93" s="492"/>
      <c r="PMI93" s="492"/>
      <c r="PMJ93" s="492"/>
      <c r="PMK93" s="493"/>
      <c r="PML93" s="493"/>
      <c r="PMM93" s="192"/>
      <c r="PMN93" s="489"/>
      <c r="PMO93" s="489"/>
      <c r="PMP93" s="490"/>
      <c r="PMQ93" s="490"/>
      <c r="PMR93" s="491"/>
      <c r="PMS93" s="491"/>
      <c r="PMT93" s="491"/>
      <c r="PMU93" s="491"/>
      <c r="PMV93" s="491"/>
      <c r="PMW93" s="491"/>
      <c r="PMX93" s="491"/>
      <c r="PMY93" s="491"/>
      <c r="PMZ93" s="491"/>
      <c r="PNA93" s="491"/>
      <c r="PNB93" s="491"/>
      <c r="PNC93" s="491"/>
      <c r="PND93" s="491"/>
      <c r="PNE93" s="491"/>
      <c r="PNF93" s="491"/>
      <c r="PNG93" s="491"/>
      <c r="PNH93" s="491"/>
      <c r="PNI93" s="491"/>
      <c r="PNJ93" s="491"/>
      <c r="PNK93" s="491"/>
      <c r="PNL93" s="491"/>
      <c r="PNM93" s="491"/>
      <c r="PNN93" s="491"/>
      <c r="PNO93" s="491"/>
      <c r="PNP93" s="491"/>
      <c r="PNQ93" s="491"/>
      <c r="PNR93" s="491"/>
      <c r="PNS93" s="491"/>
      <c r="PNT93" s="491"/>
      <c r="PNU93" s="491"/>
      <c r="PNV93" s="491"/>
      <c r="PNW93" s="491"/>
      <c r="PNX93" s="491"/>
      <c r="PNY93" s="491"/>
      <c r="PNZ93" s="492"/>
      <c r="POA93" s="492"/>
      <c r="POB93" s="492"/>
      <c r="POC93" s="492"/>
      <c r="POD93" s="493"/>
      <c r="POE93" s="493"/>
      <c r="POF93" s="192"/>
      <c r="POG93" s="489"/>
      <c r="POH93" s="489"/>
      <c r="POI93" s="490"/>
      <c r="POJ93" s="490"/>
      <c r="POK93" s="491"/>
      <c r="POL93" s="491"/>
      <c r="POM93" s="491"/>
      <c r="PON93" s="491"/>
      <c r="POO93" s="491"/>
      <c r="POP93" s="491"/>
      <c r="POQ93" s="491"/>
      <c r="POR93" s="491"/>
      <c r="POS93" s="491"/>
      <c r="POT93" s="491"/>
      <c r="POU93" s="491"/>
      <c r="POV93" s="491"/>
      <c r="POW93" s="491"/>
      <c r="POX93" s="491"/>
      <c r="POY93" s="491"/>
      <c r="POZ93" s="491"/>
      <c r="PPA93" s="491"/>
      <c r="PPB93" s="491"/>
      <c r="PPC93" s="491"/>
      <c r="PPD93" s="491"/>
      <c r="PPE93" s="491"/>
      <c r="PPF93" s="491"/>
      <c r="PPG93" s="491"/>
      <c r="PPH93" s="491"/>
      <c r="PPI93" s="491"/>
      <c r="PPJ93" s="491"/>
      <c r="PPK93" s="491"/>
      <c r="PPL93" s="491"/>
      <c r="PPM93" s="491"/>
      <c r="PPN93" s="491"/>
      <c r="PPO93" s="491"/>
      <c r="PPP93" s="491"/>
      <c r="PPQ93" s="491"/>
      <c r="PPR93" s="491"/>
      <c r="PPS93" s="492"/>
      <c r="PPT93" s="492"/>
      <c r="PPU93" s="492"/>
      <c r="PPV93" s="492"/>
      <c r="PPW93" s="493"/>
      <c r="PPX93" s="493"/>
      <c r="PPY93" s="192"/>
      <c r="PPZ93" s="489"/>
      <c r="PQA93" s="489"/>
      <c r="PQB93" s="490"/>
      <c r="PQC93" s="490"/>
      <c r="PQD93" s="491"/>
      <c r="PQE93" s="491"/>
      <c r="PQF93" s="491"/>
      <c r="PQG93" s="491"/>
      <c r="PQH93" s="491"/>
      <c r="PQI93" s="491"/>
      <c r="PQJ93" s="491"/>
      <c r="PQK93" s="491"/>
      <c r="PQL93" s="491"/>
      <c r="PQM93" s="491"/>
      <c r="PQN93" s="491"/>
      <c r="PQO93" s="491"/>
      <c r="PQP93" s="491"/>
      <c r="PQQ93" s="491"/>
      <c r="PQR93" s="491"/>
      <c r="PQS93" s="491"/>
      <c r="PQT93" s="491"/>
      <c r="PQU93" s="491"/>
      <c r="PQV93" s="491"/>
      <c r="PQW93" s="491"/>
      <c r="PQX93" s="491"/>
      <c r="PQY93" s="491"/>
      <c r="PQZ93" s="491"/>
      <c r="PRA93" s="491"/>
      <c r="PRB93" s="491"/>
      <c r="PRC93" s="491"/>
      <c r="PRD93" s="491"/>
      <c r="PRE93" s="491"/>
      <c r="PRF93" s="491"/>
      <c r="PRG93" s="491"/>
      <c r="PRH93" s="491"/>
      <c r="PRI93" s="491"/>
      <c r="PRJ93" s="491"/>
      <c r="PRK93" s="491"/>
      <c r="PRL93" s="492"/>
      <c r="PRM93" s="492"/>
      <c r="PRN93" s="492"/>
      <c r="PRO93" s="492"/>
      <c r="PRP93" s="493"/>
      <c r="PRQ93" s="493"/>
      <c r="PRR93" s="192"/>
      <c r="PRS93" s="489"/>
      <c r="PRT93" s="489"/>
      <c r="PRU93" s="490"/>
      <c r="PRV93" s="490"/>
      <c r="PRW93" s="491"/>
      <c r="PRX93" s="491"/>
      <c r="PRY93" s="491"/>
      <c r="PRZ93" s="491"/>
      <c r="PSA93" s="491"/>
      <c r="PSB93" s="491"/>
      <c r="PSC93" s="491"/>
      <c r="PSD93" s="491"/>
      <c r="PSE93" s="491"/>
      <c r="PSF93" s="491"/>
      <c r="PSG93" s="491"/>
      <c r="PSH93" s="491"/>
      <c r="PSI93" s="491"/>
      <c r="PSJ93" s="491"/>
      <c r="PSK93" s="491"/>
      <c r="PSL93" s="491"/>
      <c r="PSM93" s="491"/>
      <c r="PSN93" s="491"/>
      <c r="PSO93" s="491"/>
      <c r="PSP93" s="491"/>
      <c r="PSQ93" s="491"/>
      <c r="PSR93" s="491"/>
      <c r="PSS93" s="491"/>
      <c r="PST93" s="491"/>
      <c r="PSU93" s="491"/>
      <c r="PSV93" s="491"/>
      <c r="PSW93" s="491"/>
      <c r="PSX93" s="491"/>
      <c r="PSY93" s="491"/>
      <c r="PSZ93" s="491"/>
      <c r="PTA93" s="491"/>
      <c r="PTB93" s="491"/>
      <c r="PTC93" s="491"/>
      <c r="PTD93" s="491"/>
      <c r="PTE93" s="492"/>
      <c r="PTF93" s="492"/>
      <c r="PTG93" s="492"/>
      <c r="PTH93" s="492"/>
      <c r="PTI93" s="493"/>
      <c r="PTJ93" s="493"/>
      <c r="PTK93" s="192"/>
      <c r="PTL93" s="489"/>
      <c r="PTM93" s="489"/>
      <c r="PTN93" s="490"/>
      <c r="PTO93" s="490"/>
      <c r="PTP93" s="491"/>
      <c r="PTQ93" s="491"/>
      <c r="PTR93" s="491"/>
      <c r="PTS93" s="491"/>
      <c r="PTT93" s="491"/>
      <c r="PTU93" s="491"/>
      <c r="PTV93" s="491"/>
      <c r="PTW93" s="491"/>
      <c r="PTX93" s="491"/>
      <c r="PTY93" s="491"/>
      <c r="PTZ93" s="491"/>
      <c r="PUA93" s="491"/>
      <c r="PUB93" s="491"/>
      <c r="PUC93" s="491"/>
      <c r="PUD93" s="491"/>
      <c r="PUE93" s="491"/>
      <c r="PUF93" s="491"/>
      <c r="PUG93" s="491"/>
      <c r="PUH93" s="491"/>
      <c r="PUI93" s="491"/>
      <c r="PUJ93" s="491"/>
      <c r="PUK93" s="491"/>
      <c r="PUL93" s="491"/>
      <c r="PUM93" s="491"/>
      <c r="PUN93" s="491"/>
      <c r="PUO93" s="491"/>
      <c r="PUP93" s="491"/>
      <c r="PUQ93" s="491"/>
      <c r="PUR93" s="491"/>
      <c r="PUS93" s="491"/>
      <c r="PUT93" s="491"/>
      <c r="PUU93" s="491"/>
      <c r="PUV93" s="491"/>
      <c r="PUW93" s="491"/>
      <c r="PUX93" s="492"/>
      <c r="PUY93" s="492"/>
      <c r="PUZ93" s="492"/>
      <c r="PVA93" s="492"/>
      <c r="PVB93" s="493"/>
      <c r="PVC93" s="493"/>
      <c r="PVD93" s="192"/>
      <c r="PVE93" s="489"/>
      <c r="PVF93" s="489"/>
      <c r="PVG93" s="490"/>
      <c r="PVH93" s="490"/>
      <c r="PVI93" s="491"/>
      <c r="PVJ93" s="491"/>
      <c r="PVK93" s="491"/>
      <c r="PVL93" s="491"/>
      <c r="PVM93" s="491"/>
      <c r="PVN93" s="491"/>
      <c r="PVO93" s="491"/>
      <c r="PVP93" s="491"/>
      <c r="PVQ93" s="491"/>
      <c r="PVR93" s="491"/>
      <c r="PVS93" s="491"/>
      <c r="PVT93" s="491"/>
      <c r="PVU93" s="491"/>
      <c r="PVV93" s="491"/>
      <c r="PVW93" s="491"/>
      <c r="PVX93" s="491"/>
      <c r="PVY93" s="491"/>
      <c r="PVZ93" s="491"/>
      <c r="PWA93" s="491"/>
      <c r="PWB93" s="491"/>
      <c r="PWC93" s="491"/>
      <c r="PWD93" s="491"/>
      <c r="PWE93" s="491"/>
      <c r="PWF93" s="491"/>
      <c r="PWG93" s="491"/>
      <c r="PWH93" s="491"/>
      <c r="PWI93" s="491"/>
      <c r="PWJ93" s="491"/>
      <c r="PWK93" s="491"/>
      <c r="PWL93" s="491"/>
      <c r="PWM93" s="491"/>
      <c r="PWN93" s="491"/>
      <c r="PWO93" s="491"/>
      <c r="PWP93" s="491"/>
      <c r="PWQ93" s="492"/>
      <c r="PWR93" s="492"/>
      <c r="PWS93" s="492"/>
      <c r="PWT93" s="492"/>
      <c r="PWU93" s="493"/>
      <c r="PWV93" s="493"/>
      <c r="PWW93" s="192"/>
      <c r="PWX93" s="489"/>
      <c r="PWY93" s="489"/>
      <c r="PWZ93" s="490"/>
      <c r="PXA93" s="490"/>
      <c r="PXB93" s="491"/>
      <c r="PXC93" s="491"/>
      <c r="PXD93" s="491"/>
      <c r="PXE93" s="491"/>
      <c r="PXF93" s="491"/>
      <c r="PXG93" s="491"/>
      <c r="PXH93" s="491"/>
      <c r="PXI93" s="491"/>
      <c r="PXJ93" s="491"/>
      <c r="PXK93" s="491"/>
      <c r="PXL93" s="491"/>
      <c r="PXM93" s="491"/>
      <c r="PXN93" s="491"/>
      <c r="PXO93" s="491"/>
      <c r="PXP93" s="491"/>
      <c r="PXQ93" s="491"/>
      <c r="PXR93" s="491"/>
      <c r="PXS93" s="491"/>
      <c r="PXT93" s="491"/>
      <c r="PXU93" s="491"/>
      <c r="PXV93" s="491"/>
      <c r="PXW93" s="491"/>
      <c r="PXX93" s="491"/>
      <c r="PXY93" s="491"/>
      <c r="PXZ93" s="491"/>
      <c r="PYA93" s="491"/>
      <c r="PYB93" s="491"/>
      <c r="PYC93" s="491"/>
      <c r="PYD93" s="491"/>
      <c r="PYE93" s="491"/>
      <c r="PYF93" s="491"/>
      <c r="PYG93" s="491"/>
      <c r="PYH93" s="491"/>
      <c r="PYI93" s="491"/>
      <c r="PYJ93" s="492"/>
      <c r="PYK93" s="492"/>
      <c r="PYL93" s="492"/>
      <c r="PYM93" s="492"/>
      <c r="PYN93" s="493"/>
      <c r="PYO93" s="493"/>
      <c r="PYP93" s="192"/>
      <c r="PYQ93" s="489"/>
      <c r="PYR93" s="489"/>
      <c r="PYS93" s="490"/>
      <c r="PYT93" s="490"/>
      <c r="PYU93" s="491"/>
      <c r="PYV93" s="491"/>
      <c r="PYW93" s="491"/>
      <c r="PYX93" s="491"/>
      <c r="PYY93" s="491"/>
      <c r="PYZ93" s="491"/>
      <c r="PZA93" s="491"/>
      <c r="PZB93" s="491"/>
      <c r="PZC93" s="491"/>
      <c r="PZD93" s="491"/>
      <c r="PZE93" s="491"/>
      <c r="PZF93" s="491"/>
      <c r="PZG93" s="491"/>
      <c r="PZH93" s="491"/>
      <c r="PZI93" s="491"/>
      <c r="PZJ93" s="491"/>
      <c r="PZK93" s="491"/>
      <c r="PZL93" s="491"/>
      <c r="PZM93" s="491"/>
      <c r="PZN93" s="491"/>
      <c r="PZO93" s="491"/>
      <c r="PZP93" s="491"/>
      <c r="PZQ93" s="491"/>
      <c r="PZR93" s="491"/>
      <c r="PZS93" s="491"/>
      <c r="PZT93" s="491"/>
      <c r="PZU93" s="491"/>
      <c r="PZV93" s="491"/>
      <c r="PZW93" s="491"/>
      <c r="PZX93" s="491"/>
      <c r="PZY93" s="491"/>
      <c r="PZZ93" s="491"/>
      <c r="QAA93" s="491"/>
      <c r="QAB93" s="491"/>
      <c r="QAC93" s="492"/>
      <c r="QAD93" s="492"/>
      <c r="QAE93" s="492"/>
      <c r="QAF93" s="492"/>
      <c r="QAG93" s="493"/>
      <c r="QAH93" s="493"/>
      <c r="QAI93" s="192"/>
      <c r="QAJ93" s="489"/>
      <c r="QAK93" s="489"/>
      <c r="QAL93" s="490"/>
      <c r="QAM93" s="490"/>
      <c r="QAN93" s="491"/>
      <c r="QAO93" s="491"/>
      <c r="QAP93" s="491"/>
      <c r="QAQ93" s="491"/>
      <c r="QAR93" s="491"/>
      <c r="QAS93" s="491"/>
      <c r="QAT93" s="491"/>
      <c r="QAU93" s="491"/>
      <c r="QAV93" s="491"/>
      <c r="QAW93" s="491"/>
      <c r="QAX93" s="491"/>
      <c r="QAY93" s="491"/>
      <c r="QAZ93" s="491"/>
      <c r="QBA93" s="491"/>
      <c r="QBB93" s="491"/>
      <c r="QBC93" s="491"/>
      <c r="QBD93" s="491"/>
      <c r="QBE93" s="491"/>
      <c r="QBF93" s="491"/>
      <c r="QBG93" s="491"/>
      <c r="QBH93" s="491"/>
      <c r="QBI93" s="491"/>
      <c r="QBJ93" s="491"/>
      <c r="QBK93" s="491"/>
      <c r="QBL93" s="491"/>
      <c r="QBM93" s="491"/>
      <c r="QBN93" s="491"/>
      <c r="QBO93" s="491"/>
      <c r="QBP93" s="491"/>
      <c r="QBQ93" s="491"/>
      <c r="QBR93" s="491"/>
      <c r="QBS93" s="491"/>
      <c r="QBT93" s="491"/>
      <c r="QBU93" s="491"/>
      <c r="QBV93" s="492"/>
      <c r="QBW93" s="492"/>
      <c r="QBX93" s="492"/>
      <c r="QBY93" s="492"/>
      <c r="QBZ93" s="493"/>
      <c r="QCA93" s="493"/>
      <c r="QCB93" s="192"/>
      <c r="QCC93" s="489"/>
      <c r="QCD93" s="489"/>
      <c r="QCE93" s="490"/>
      <c r="QCF93" s="490"/>
      <c r="QCG93" s="491"/>
      <c r="QCH93" s="491"/>
      <c r="QCI93" s="491"/>
      <c r="QCJ93" s="491"/>
      <c r="QCK93" s="491"/>
      <c r="QCL93" s="491"/>
      <c r="QCM93" s="491"/>
      <c r="QCN93" s="491"/>
      <c r="QCO93" s="491"/>
      <c r="QCP93" s="491"/>
      <c r="QCQ93" s="491"/>
      <c r="QCR93" s="491"/>
      <c r="QCS93" s="491"/>
      <c r="QCT93" s="491"/>
      <c r="QCU93" s="491"/>
      <c r="QCV93" s="491"/>
      <c r="QCW93" s="491"/>
      <c r="QCX93" s="491"/>
      <c r="QCY93" s="491"/>
      <c r="QCZ93" s="491"/>
      <c r="QDA93" s="491"/>
      <c r="QDB93" s="491"/>
      <c r="QDC93" s="491"/>
      <c r="QDD93" s="491"/>
      <c r="QDE93" s="491"/>
      <c r="QDF93" s="491"/>
      <c r="QDG93" s="491"/>
      <c r="QDH93" s="491"/>
      <c r="QDI93" s="491"/>
      <c r="QDJ93" s="491"/>
      <c r="QDK93" s="491"/>
      <c r="QDL93" s="491"/>
      <c r="QDM93" s="491"/>
      <c r="QDN93" s="491"/>
      <c r="QDO93" s="492"/>
      <c r="QDP93" s="492"/>
      <c r="QDQ93" s="492"/>
      <c r="QDR93" s="492"/>
      <c r="QDS93" s="493"/>
      <c r="QDT93" s="493"/>
      <c r="QDU93" s="192"/>
      <c r="QDV93" s="489"/>
      <c r="QDW93" s="489"/>
      <c r="QDX93" s="490"/>
      <c r="QDY93" s="490"/>
      <c r="QDZ93" s="491"/>
      <c r="QEA93" s="491"/>
      <c r="QEB93" s="491"/>
      <c r="QEC93" s="491"/>
      <c r="QED93" s="491"/>
      <c r="QEE93" s="491"/>
      <c r="QEF93" s="491"/>
      <c r="QEG93" s="491"/>
      <c r="QEH93" s="491"/>
      <c r="QEI93" s="491"/>
      <c r="QEJ93" s="491"/>
      <c r="QEK93" s="491"/>
      <c r="QEL93" s="491"/>
      <c r="QEM93" s="491"/>
      <c r="QEN93" s="491"/>
      <c r="QEO93" s="491"/>
      <c r="QEP93" s="491"/>
      <c r="QEQ93" s="491"/>
      <c r="QER93" s="491"/>
      <c r="QES93" s="491"/>
      <c r="QET93" s="491"/>
      <c r="QEU93" s="491"/>
      <c r="QEV93" s="491"/>
      <c r="QEW93" s="491"/>
      <c r="QEX93" s="491"/>
      <c r="QEY93" s="491"/>
      <c r="QEZ93" s="491"/>
      <c r="QFA93" s="491"/>
      <c r="QFB93" s="491"/>
      <c r="QFC93" s="491"/>
      <c r="QFD93" s="491"/>
      <c r="QFE93" s="491"/>
      <c r="QFF93" s="491"/>
      <c r="QFG93" s="491"/>
      <c r="QFH93" s="492"/>
      <c r="QFI93" s="492"/>
      <c r="QFJ93" s="492"/>
      <c r="QFK93" s="492"/>
      <c r="QFL93" s="493"/>
      <c r="QFM93" s="493"/>
      <c r="QFN93" s="192"/>
      <c r="QFO93" s="489"/>
      <c r="QFP93" s="489"/>
      <c r="QFQ93" s="490"/>
      <c r="QFR93" s="490"/>
      <c r="QFS93" s="491"/>
      <c r="QFT93" s="491"/>
      <c r="QFU93" s="491"/>
      <c r="QFV93" s="491"/>
      <c r="QFW93" s="491"/>
      <c r="QFX93" s="491"/>
      <c r="QFY93" s="491"/>
      <c r="QFZ93" s="491"/>
      <c r="QGA93" s="491"/>
      <c r="QGB93" s="491"/>
      <c r="QGC93" s="491"/>
      <c r="QGD93" s="491"/>
      <c r="QGE93" s="491"/>
      <c r="QGF93" s="491"/>
      <c r="QGG93" s="491"/>
      <c r="QGH93" s="491"/>
      <c r="QGI93" s="491"/>
      <c r="QGJ93" s="491"/>
      <c r="QGK93" s="491"/>
      <c r="QGL93" s="491"/>
      <c r="QGM93" s="491"/>
      <c r="QGN93" s="491"/>
      <c r="QGO93" s="491"/>
      <c r="QGP93" s="491"/>
      <c r="QGQ93" s="491"/>
      <c r="QGR93" s="491"/>
      <c r="QGS93" s="491"/>
      <c r="QGT93" s="491"/>
      <c r="QGU93" s="491"/>
      <c r="QGV93" s="491"/>
      <c r="QGW93" s="491"/>
      <c r="QGX93" s="491"/>
      <c r="QGY93" s="491"/>
      <c r="QGZ93" s="491"/>
      <c r="QHA93" s="492"/>
      <c r="QHB93" s="492"/>
      <c r="QHC93" s="492"/>
      <c r="QHD93" s="492"/>
      <c r="QHE93" s="493"/>
      <c r="QHF93" s="493"/>
      <c r="QHG93" s="192"/>
      <c r="QHH93" s="489"/>
      <c r="QHI93" s="489"/>
      <c r="QHJ93" s="490"/>
      <c r="QHK93" s="490"/>
      <c r="QHL93" s="491"/>
      <c r="QHM93" s="491"/>
      <c r="QHN93" s="491"/>
      <c r="QHO93" s="491"/>
      <c r="QHP93" s="491"/>
      <c r="QHQ93" s="491"/>
      <c r="QHR93" s="491"/>
      <c r="QHS93" s="491"/>
      <c r="QHT93" s="491"/>
      <c r="QHU93" s="491"/>
      <c r="QHV93" s="491"/>
      <c r="QHW93" s="491"/>
      <c r="QHX93" s="491"/>
      <c r="QHY93" s="491"/>
      <c r="QHZ93" s="491"/>
      <c r="QIA93" s="491"/>
      <c r="QIB93" s="491"/>
      <c r="QIC93" s="491"/>
      <c r="QID93" s="491"/>
      <c r="QIE93" s="491"/>
      <c r="QIF93" s="491"/>
      <c r="QIG93" s="491"/>
      <c r="QIH93" s="491"/>
      <c r="QII93" s="491"/>
      <c r="QIJ93" s="491"/>
      <c r="QIK93" s="491"/>
      <c r="QIL93" s="491"/>
      <c r="QIM93" s="491"/>
      <c r="QIN93" s="491"/>
      <c r="QIO93" s="491"/>
      <c r="QIP93" s="491"/>
      <c r="QIQ93" s="491"/>
      <c r="QIR93" s="491"/>
      <c r="QIS93" s="491"/>
      <c r="QIT93" s="492"/>
      <c r="QIU93" s="492"/>
      <c r="QIV93" s="492"/>
      <c r="QIW93" s="492"/>
      <c r="QIX93" s="493"/>
      <c r="QIY93" s="493"/>
      <c r="QIZ93" s="192"/>
      <c r="QJA93" s="489"/>
      <c r="QJB93" s="489"/>
      <c r="QJC93" s="490"/>
      <c r="QJD93" s="490"/>
      <c r="QJE93" s="491"/>
      <c r="QJF93" s="491"/>
      <c r="QJG93" s="491"/>
      <c r="QJH93" s="491"/>
      <c r="QJI93" s="491"/>
      <c r="QJJ93" s="491"/>
      <c r="QJK93" s="491"/>
      <c r="QJL93" s="491"/>
      <c r="QJM93" s="491"/>
      <c r="QJN93" s="491"/>
      <c r="QJO93" s="491"/>
      <c r="QJP93" s="491"/>
      <c r="QJQ93" s="491"/>
      <c r="QJR93" s="491"/>
      <c r="QJS93" s="491"/>
      <c r="QJT93" s="491"/>
      <c r="QJU93" s="491"/>
      <c r="QJV93" s="491"/>
      <c r="QJW93" s="491"/>
      <c r="QJX93" s="491"/>
      <c r="QJY93" s="491"/>
      <c r="QJZ93" s="491"/>
      <c r="QKA93" s="491"/>
      <c r="QKB93" s="491"/>
      <c r="QKC93" s="491"/>
      <c r="QKD93" s="491"/>
      <c r="QKE93" s="491"/>
      <c r="QKF93" s="491"/>
      <c r="QKG93" s="491"/>
      <c r="QKH93" s="491"/>
      <c r="QKI93" s="491"/>
      <c r="QKJ93" s="491"/>
      <c r="QKK93" s="491"/>
      <c r="QKL93" s="491"/>
      <c r="QKM93" s="492"/>
      <c r="QKN93" s="492"/>
      <c r="QKO93" s="492"/>
      <c r="QKP93" s="492"/>
      <c r="QKQ93" s="493"/>
      <c r="QKR93" s="493"/>
      <c r="QKS93" s="192"/>
      <c r="QKT93" s="489"/>
      <c r="QKU93" s="489"/>
      <c r="QKV93" s="490"/>
      <c r="QKW93" s="490"/>
      <c r="QKX93" s="491"/>
      <c r="QKY93" s="491"/>
      <c r="QKZ93" s="491"/>
      <c r="QLA93" s="491"/>
      <c r="QLB93" s="491"/>
      <c r="QLC93" s="491"/>
      <c r="QLD93" s="491"/>
      <c r="QLE93" s="491"/>
      <c r="QLF93" s="491"/>
      <c r="QLG93" s="491"/>
      <c r="QLH93" s="491"/>
      <c r="QLI93" s="491"/>
      <c r="QLJ93" s="491"/>
      <c r="QLK93" s="491"/>
      <c r="QLL93" s="491"/>
      <c r="QLM93" s="491"/>
      <c r="QLN93" s="491"/>
      <c r="QLO93" s="491"/>
      <c r="QLP93" s="491"/>
      <c r="QLQ93" s="491"/>
      <c r="QLR93" s="491"/>
      <c r="QLS93" s="491"/>
      <c r="QLT93" s="491"/>
      <c r="QLU93" s="491"/>
      <c r="QLV93" s="491"/>
      <c r="QLW93" s="491"/>
      <c r="QLX93" s="491"/>
      <c r="QLY93" s="491"/>
      <c r="QLZ93" s="491"/>
      <c r="QMA93" s="491"/>
      <c r="QMB93" s="491"/>
      <c r="QMC93" s="491"/>
      <c r="QMD93" s="491"/>
      <c r="QME93" s="491"/>
      <c r="QMF93" s="492"/>
      <c r="QMG93" s="492"/>
      <c r="QMH93" s="492"/>
      <c r="QMI93" s="492"/>
      <c r="QMJ93" s="493"/>
      <c r="QMK93" s="493"/>
      <c r="QML93" s="192"/>
      <c r="QMM93" s="489"/>
      <c r="QMN93" s="489"/>
      <c r="QMO93" s="490"/>
      <c r="QMP93" s="490"/>
      <c r="QMQ93" s="491"/>
      <c r="QMR93" s="491"/>
      <c r="QMS93" s="491"/>
      <c r="QMT93" s="491"/>
      <c r="QMU93" s="491"/>
      <c r="QMV93" s="491"/>
      <c r="QMW93" s="491"/>
      <c r="QMX93" s="491"/>
      <c r="QMY93" s="491"/>
      <c r="QMZ93" s="491"/>
      <c r="QNA93" s="491"/>
      <c r="QNB93" s="491"/>
      <c r="QNC93" s="491"/>
      <c r="QND93" s="491"/>
      <c r="QNE93" s="491"/>
      <c r="QNF93" s="491"/>
      <c r="QNG93" s="491"/>
      <c r="QNH93" s="491"/>
      <c r="QNI93" s="491"/>
      <c r="QNJ93" s="491"/>
      <c r="QNK93" s="491"/>
      <c r="QNL93" s="491"/>
      <c r="QNM93" s="491"/>
      <c r="QNN93" s="491"/>
      <c r="QNO93" s="491"/>
      <c r="QNP93" s="491"/>
      <c r="QNQ93" s="491"/>
      <c r="QNR93" s="491"/>
      <c r="QNS93" s="491"/>
      <c r="QNT93" s="491"/>
      <c r="QNU93" s="491"/>
      <c r="QNV93" s="491"/>
      <c r="QNW93" s="491"/>
      <c r="QNX93" s="491"/>
      <c r="QNY93" s="492"/>
      <c r="QNZ93" s="492"/>
      <c r="QOA93" s="492"/>
      <c r="QOB93" s="492"/>
      <c r="QOC93" s="493"/>
      <c r="QOD93" s="493"/>
      <c r="QOE93" s="192"/>
      <c r="QOF93" s="489"/>
      <c r="QOG93" s="489"/>
      <c r="QOH93" s="490"/>
      <c r="QOI93" s="490"/>
      <c r="QOJ93" s="491"/>
      <c r="QOK93" s="491"/>
      <c r="QOL93" s="491"/>
      <c r="QOM93" s="491"/>
      <c r="QON93" s="491"/>
      <c r="QOO93" s="491"/>
      <c r="QOP93" s="491"/>
      <c r="QOQ93" s="491"/>
      <c r="QOR93" s="491"/>
      <c r="QOS93" s="491"/>
      <c r="QOT93" s="491"/>
      <c r="QOU93" s="491"/>
      <c r="QOV93" s="491"/>
      <c r="QOW93" s="491"/>
      <c r="QOX93" s="491"/>
      <c r="QOY93" s="491"/>
      <c r="QOZ93" s="491"/>
      <c r="QPA93" s="491"/>
      <c r="QPB93" s="491"/>
      <c r="QPC93" s="491"/>
      <c r="QPD93" s="491"/>
      <c r="QPE93" s="491"/>
      <c r="QPF93" s="491"/>
      <c r="QPG93" s="491"/>
      <c r="QPH93" s="491"/>
      <c r="QPI93" s="491"/>
      <c r="QPJ93" s="491"/>
      <c r="QPK93" s="491"/>
      <c r="QPL93" s="491"/>
      <c r="QPM93" s="491"/>
      <c r="QPN93" s="491"/>
      <c r="QPO93" s="491"/>
      <c r="QPP93" s="491"/>
      <c r="QPQ93" s="491"/>
      <c r="QPR93" s="492"/>
      <c r="QPS93" s="492"/>
      <c r="QPT93" s="492"/>
      <c r="QPU93" s="492"/>
      <c r="QPV93" s="493"/>
      <c r="QPW93" s="493"/>
      <c r="QPX93" s="192"/>
      <c r="QPY93" s="489"/>
      <c r="QPZ93" s="489"/>
      <c r="QQA93" s="490"/>
      <c r="QQB93" s="490"/>
      <c r="QQC93" s="491"/>
      <c r="QQD93" s="491"/>
      <c r="QQE93" s="491"/>
      <c r="QQF93" s="491"/>
      <c r="QQG93" s="491"/>
      <c r="QQH93" s="491"/>
      <c r="QQI93" s="491"/>
      <c r="QQJ93" s="491"/>
      <c r="QQK93" s="491"/>
      <c r="QQL93" s="491"/>
      <c r="QQM93" s="491"/>
      <c r="QQN93" s="491"/>
      <c r="QQO93" s="491"/>
      <c r="QQP93" s="491"/>
      <c r="QQQ93" s="491"/>
      <c r="QQR93" s="491"/>
      <c r="QQS93" s="491"/>
      <c r="QQT93" s="491"/>
      <c r="QQU93" s="491"/>
      <c r="QQV93" s="491"/>
      <c r="QQW93" s="491"/>
      <c r="QQX93" s="491"/>
      <c r="QQY93" s="491"/>
      <c r="QQZ93" s="491"/>
      <c r="QRA93" s="491"/>
      <c r="QRB93" s="491"/>
      <c r="QRC93" s="491"/>
      <c r="QRD93" s="491"/>
      <c r="QRE93" s="491"/>
      <c r="QRF93" s="491"/>
      <c r="QRG93" s="491"/>
      <c r="QRH93" s="491"/>
      <c r="QRI93" s="491"/>
      <c r="QRJ93" s="491"/>
      <c r="QRK93" s="492"/>
      <c r="QRL93" s="492"/>
      <c r="QRM93" s="492"/>
      <c r="QRN93" s="492"/>
      <c r="QRO93" s="493"/>
      <c r="QRP93" s="493"/>
      <c r="QRQ93" s="192"/>
      <c r="QRR93" s="489"/>
      <c r="QRS93" s="489"/>
      <c r="QRT93" s="490"/>
      <c r="QRU93" s="490"/>
      <c r="QRV93" s="491"/>
      <c r="QRW93" s="491"/>
      <c r="QRX93" s="491"/>
      <c r="QRY93" s="491"/>
      <c r="QRZ93" s="491"/>
      <c r="QSA93" s="491"/>
      <c r="QSB93" s="491"/>
      <c r="QSC93" s="491"/>
      <c r="QSD93" s="491"/>
      <c r="QSE93" s="491"/>
      <c r="QSF93" s="491"/>
      <c r="QSG93" s="491"/>
      <c r="QSH93" s="491"/>
      <c r="QSI93" s="491"/>
      <c r="QSJ93" s="491"/>
      <c r="QSK93" s="491"/>
      <c r="QSL93" s="491"/>
      <c r="QSM93" s="491"/>
      <c r="QSN93" s="491"/>
      <c r="QSO93" s="491"/>
      <c r="QSP93" s="491"/>
      <c r="QSQ93" s="491"/>
      <c r="QSR93" s="491"/>
      <c r="QSS93" s="491"/>
      <c r="QST93" s="491"/>
      <c r="QSU93" s="491"/>
      <c r="QSV93" s="491"/>
      <c r="QSW93" s="491"/>
      <c r="QSX93" s="491"/>
      <c r="QSY93" s="491"/>
      <c r="QSZ93" s="491"/>
      <c r="QTA93" s="491"/>
      <c r="QTB93" s="491"/>
      <c r="QTC93" s="491"/>
      <c r="QTD93" s="492"/>
      <c r="QTE93" s="492"/>
      <c r="QTF93" s="492"/>
      <c r="QTG93" s="492"/>
      <c r="QTH93" s="493"/>
      <c r="QTI93" s="493"/>
      <c r="QTJ93" s="192"/>
      <c r="QTK93" s="489"/>
      <c r="QTL93" s="489"/>
      <c r="QTM93" s="490"/>
      <c r="QTN93" s="490"/>
      <c r="QTO93" s="491"/>
      <c r="QTP93" s="491"/>
      <c r="QTQ93" s="491"/>
      <c r="QTR93" s="491"/>
      <c r="QTS93" s="491"/>
      <c r="QTT93" s="491"/>
      <c r="QTU93" s="491"/>
      <c r="QTV93" s="491"/>
      <c r="QTW93" s="491"/>
      <c r="QTX93" s="491"/>
      <c r="QTY93" s="491"/>
      <c r="QTZ93" s="491"/>
      <c r="QUA93" s="491"/>
      <c r="QUB93" s="491"/>
      <c r="QUC93" s="491"/>
      <c r="QUD93" s="491"/>
      <c r="QUE93" s="491"/>
      <c r="QUF93" s="491"/>
      <c r="QUG93" s="491"/>
      <c r="QUH93" s="491"/>
      <c r="QUI93" s="491"/>
      <c r="QUJ93" s="491"/>
      <c r="QUK93" s="491"/>
      <c r="QUL93" s="491"/>
      <c r="QUM93" s="491"/>
      <c r="QUN93" s="491"/>
      <c r="QUO93" s="491"/>
      <c r="QUP93" s="491"/>
      <c r="QUQ93" s="491"/>
      <c r="QUR93" s="491"/>
      <c r="QUS93" s="491"/>
      <c r="QUT93" s="491"/>
      <c r="QUU93" s="491"/>
      <c r="QUV93" s="491"/>
      <c r="QUW93" s="492"/>
      <c r="QUX93" s="492"/>
      <c r="QUY93" s="492"/>
      <c r="QUZ93" s="492"/>
      <c r="QVA93" s="493"/>
      <c r="QVB93" s="493"/>
      <c r="QVC93" s="192"/>
      <c r="QVD93" s="489"/>
      <c r="QVE93" s="489"/>
      <c r="QVF93" s="490"/>
      <c r="QVG93" s="490"/>
      <c r="QVH93" s="491"/>
      <c r="QVI93" s="491"/>
      <c r="QVJ93" s="491"/>
      <c r="QVK93" s="491"/>
      <c r="QVL93" s="491"/>
      <c r="QVM93" s="491"/>
      <c r="QVN93" s="491"/>
      <c r="QVO93" s="491"/>
      <c r="QVP93" s="491"/>
      <c r="QVQ93" s="491"/>
      <c r="QVR93" s="491"/>
      <c r="QVS93" s="491"/>
      <c r="QVT93" s="491"/>
      <c r="QVU93" s="491"/>
      <c r="QVV93" s="491"/>
      <c r="QVW93" s="491"/>
      <c r="QVX93" s="491"/>
      <c r="QVY93" s="491"/>
      <c r="QVZ93" s="491"/>
      <c r="QWA93" s="491"/>
      <c r="QWB93" s="491"/>
      <c r="QWC93" s="491"/>
      <c r="QWD93" s="491"/>
      <c r="QWE93" s="491"/>
      <c r="QWF93" s="491"/>
      <c r="QWG93" s="491"/>
      <c r="QWH93" s="491"/>
      <c r="QWI93" s="491"/>
      <c r="QWJ93" s="491"/>
      <c r="QWK93" s="491"/>
      <c r="QWL93" s="491"/>
      <c r="QWM93" s="491"/>
      <c r="QWN93" s="491"/>
      <c r="QWO93" s="491"/>
      <c r="QWP93" s="492"/>
      <c r="QWQ93" s="492"/>
      <c r="QWR93" s="492"/>
      <c r="QWS93" s="492"/>
      <c r="QWT93" s="493"/>
      <c r="QWU93" s="493"/>
      <c r="QWV93" s="192"/>
      <c r="QWW93" s="489"/>
      <c r="QWX93" s="489"/>
      <c r="QWY93" s="490"/>
      <c r="QWZ93" s="490"/>
      <c r="QXA93" s="491"/>
      <c r="QXB93" s="491"/>
      <c r="QXC93" s="491"/>
      <c r="QXD93" s="491"/>
      <c r="QXE93" s="491"/>
      <c r="QXF93" s="491"/>
      <c r="QXG93" s="491"/>
      <c r="QXH93" s="491"/>
      <c r="QXI93" s="491"/>
      <c r="QXJ93" s="491"/>
      <c r="QXK93" s="491"/>
      <c r="QXL93" s="491"/>
      <c r="QXM93" s="491"/>
      <c r="QXN93" s="491"/>
      <c r="QXO93" s="491"/>
      <c r="QXP93" s="491"/>
      <c r="QXQ93" s="491"/>
      <c r="QXR93" s="491"/>
      <c r="QXS93" s="491"/>
      <c r="QXT93" s="491"/>
      <c r="QXU93" s="491"/>
      <c r="QXV93" s="491"/>
      <c r="QXW93" s="491"/>
      <c r="QXX93" s="491"/>
      <c r="QXY93" s="491"/>
      <c r="QXZ93" s="491"/>
      <c r="QYA93" s="491"/>
      <c r="QYB93" s="491"/>
      <c r="QYC93" s="491"/>
      <c r="QYD93" s="491"/>
      <c r="QYE93" s="491"/>
      <c r="QYF93" s="491"/>
      <c r="QYG93" s="491"/>
      <c r="QYH93" s="491"/>
      <c r="QYI93" s="492"/>
      <c r="QYJ93" s="492"/>
      <c r="QYK93" s="492"/>
      <c r="QYL93" s="492"/>
      <c r="QYM93" s="493"/>
      <c r="QYN93" s="493"/>
      <c r="QYO93" s="192"/>
      <c r="QYP93" s="489"/>
      <c r="QYQ93" s="489"/>
      <c r="QYR93" s="490"/>
      <c r="QYS93" s="490"/>
      <c r="QYT93" s="491"/>
      <c r="QYU93" s="491"/>
      <c r="QYV93" s="491"/>
      <c r="QYW93" s="491"/>
      <c r="QYX93" s="491"/>
      <c r="QYY93" s="491"/>
      <c r="QYZ93" s="491"/>
      <c r="QZA93" s="491"/>
      <c r="QZB93" s="491"/>
      <c r="QZC93" s="491"/>
      <c r="QZD93" s="491"/>
      <c r="QZE93" s="491"/>
      <c r="QZF93" s="491"/>
      <c r="QZG93" s="491"/>
      <c r="QZH93" s="491"/>
      <c r="QZI93" s="491"/>
      <c r="QZJ93" s="491"/>
      <c r="QZK93" s="491"/>
      <c r="QZL93" s="491"/>
      <c r="QZM93" s="491"/>
      <c r="QZN93" s="491"/>
      <c r="QZO93" s="491"/>
      <c r="QZP93" s="491"/>
      <c r="QZQ93" s="491"/>
      <c r="QZR93" s="491"/>
      <c r="QZS93" s="491"/>
      <c r="QZT93" s="491"/>
      <c r="QZU93" s="491"/>
      <c r="QZV93" s="491"/>
      <c r="QZW93" s="491"/>
      <c r="QZX93" s="491"/>
      <c r="QZY93" s="491"/>
      <c r="QZZ93" s="491"/>
      <c r="RAA93" s="491"/>
      <c r="RAB93" s="492"/>
      <c r="RAC93" s="492"/>
      <c r="RAD93" s="492"/>
      <c r="RAE93" s="492"/>
      <c r="RAF93" s="493"/>
      <c r="RAG93" s="493"/>
      <c r="RAH93" s="192"/>
      <c r="RAI93" s="489"/>
      <c r="RAJ93" s="489"/>
      <c r="RAK93" s="490"/>
      <c r="RAL93" s="490"/>
      <c r="RAM93" s="491"/>
      <c r="RAN93" s="491"/>
      <c r="RAO93" s="491"/>
      <c r="RAP93" s="491"/>
      <c r="RAQ93" s="491"/>
      <c r="RAR93" s="491"/>
      <c r="RAS93" s="491"/>
      <c r="RAT93" s="491"/>
      <c r="RAU93" s="491"/>
      <c r="RAV93" s="491"/>
      <c r="RAW93" s="491"/>
      <c r="RAX93" s="491"/>
      <c r="RAY93" s="491"/>
      <c r="RAZ93" s="491"/>
      <c r="RBA93" s="491"/>
      <c r="RBB93" s="491"/>
      <c r="RBC93" s="491"/>
      <c r="RBD93" s="491"/>
      <c r="RBE93" s="491"/>
      <c r="RBF93" s="491"/>
      <c r="RBG93" s="491"/>
      <c r="RBH93" s="491"/>
      <c r="RBI93" s="491"/>
      <c r="RBJ93" s="491"/>
      <c r="RBK93" s="491"/>
      <c r="RBL93" s="491"/>
      <c r="RBM93" s="491"/>
      <c r="RBN93" s="491"/>
      <c r="RBO93" s="491"/>
      <c r="RBP93" s="491"/>
      <c r="RBQ93" s="491"/>
      <c r="RBR93" s="491"/>
      <c r="RBS93" s="491"/>
      <c r="RBT93" s="491"/>
      <c r="RBU93" s="492"/>
      <c r="RBV93" s="492"/>
      <c r="RBW93" s="492"/>
      <c r="RBX93" s="492"/>
      <c r="RBY93" s="493"/>
      <c r="RBZ93" s="493"/>
      <c r="RCA93" s="192"/>
      <c r="RCB93" s="489"/>
      <c r="RCC93" s="489"/>
      <c r="RCD93" s="490"/>
      <c r="RCE93" s="490"/>
      <c r="RCF93" s="491"/>
      <c r="RCG93" s="491"/>
      <c r="RCH93" s="491"/>
      <c r="RCI93" s="491"/>
      <c r="RCJ93" s="491"/>
      <c r="RCK93" s="491"/>
      <c r="RCL93" s="491"/>
      <c r="RCM93" s="491"/>
      <c r="RCN93" s="491"/>
      <c r="RCO93" s="491"/>
      <c r="RCP93" s="491"/>
      <c r="RCQ93" s="491"/>
      <c r="RCR93" s="491"/>
      <c r="RCS93" s="491"/>
      <c r="RCT93" s="491"/>
      <c r="RCU93" s="491"/>
      <c r="RCV93" s="491"/>
      <c r="RCW93" s="491"/>
      <c r="RCX93" s="491"/>
      <c r="RCY93" s="491"/>
      <c r="RCZ93" s="491"/>
      <c r="RDA93" s="491"/>
      <c r="RDB93" s="491"/>
      <c r="RDC93" s="491"/>
      <c r="RDD93" s="491"/>
      <c r="RDE93" s="491"/>
      <c r="RDF93" s="491"/>
      <c r="RDG93" s="491"/>
      <c r="RDH93" s="491"/>
      <c r="RDI93" s="491"/>
      <c r="RDJ93" s="491"/>
      <c r="RDK93" s="491"/>
      <c r="RDL93" s="491"/>
      <c r="RDM93" s="491"/>
      <c r="RDN93" s="492"/>
      <c r="RDO93" s="492"/>
      <c r="RDP93" s="492"/>
      <c r="RDQ93" s="492"/>
      <c r="RDR93" s="493"/>
      <c r="RDS93" s="493"/>
      <c r="RDT93" s="192"/>
      <c r="RDU93" s="489"/>
      <c r="RDV93" s="489"/>
      <c r="RDW93" s="490"/>
      <c r="RDX93" s="490"/>
      <c r="RDY93" s="491"/>
      <c r="RDZ93" s="491"/>
      <c r="REA93" s="491"/>
      <c r="REB93" s="491"/>
      <c r="REC93" s="491"/>
      <c r="RED93" s="491"/>
      <c r="REE93" s="491"/>
      <c r="REF93" s="491"/>
      <c r="REG93" s="491"/>
      <c r="REH93" s="491"/>
      <c r="REI93" s="491"/>
      <c r="REJ93" s="491"/>
      <c r="REK93" s="491"/>
      <c r="REL93" s="491"/>
      <c r="REM93" s="491"/>
      <c r="REN93" s="491"/>
      <c r="REO93" s="491"/>
      <c r="REP93" s="491"/>
      <c r="REQ93" s="491"/>
      <c r="RER93" s="491"/>
      <c r="RES93" s="491"/>
      <c r="RET93" s="491"/>
      <c r="REU93" s="491"/>
      <c r="REV93" s="491"/>
      <c r="REW93" s="491"/>
      <c r="REX93" s="491"/>
      <c r="REY93" s="491"/>
      <c r="REZ93" s="491"/>
      <c r="RFA93" s="491"/>
      <c r="RFB93" s="491"/>
      <c r="RFC93" s="491"/>
      <c r="RFD93" s="491"/>
      <c r="RFE93" s="491"/>
      <c r="RFF93" s="491"/>
      <c r="RFG93" s="492"/>
      <c r="RFH93" s="492"/>
      <c r="RFI93" s="492"/>
      <c r="RFJ93" s="492"/>
      <c r="RFK93" s="493"/>
      <c r="RFL93" s="493"/>
      <c r="RFM93" s="192"/>
      <c r="RFN93" s="489"/>
      <c r="RFO93" s="489"/>
      <c r="RFP93" s="490"/>
      <c r="RFQ93" s="490"/>
      <c r="RFR93" s="491"/>
      <c r="RFS93" s="491"/>
      <c r="RFT93" s="491"/>
      <c r="RFU93" s="491"/>
      <c r="RFV93" s="491"/>
      <c r="RFW93" s="491"/>
      <c r="RFX93" s="491"/>
      <c r="RFY93" s="491"/>
      <c r="RFZ93" s="491"/>
      <c r="RGA93" s="491"/>
      <c r="RGB93" s="491"/>
      <c r="RGC93" s="491"/>
      <c r="RGD93" s="491"/>
      <c r="RGE93" s="491"/>
      <c r="RGF93" s="491"/>
      <c r="RGG93" s="491"/>
      <c r="RGH93" s="491"/>
      <c r="RGI93" s="491"/>
      <c r="RGJ93" s="491"/>
      <c r="RGK93" s="491"/>
      <c r="RGL93" s="491"/>
      <c r="RGM93" s="491"/>
      <c r="RGN93" s="491"/>
      <c r="RGO93" s="491"/>
      <c r="RGP93" s="491"/>
      <c r="RGQ93" s="491"/>
      <c r="RGR93" s="491"/>
      <c r="RGS93" s="491"/>
      <c r="RGT93" s="491"/>
      <c r="RGU93" s="491"/>
      <c r="RGV93" s="491"/>
      <c r="RGW93" s="491"/>
      <c r="RGX93" s="491"/>
      <c r="RGY93" s="491"/>
      <c r="RGZ93" s="492"/>
      <c r="RHA93" s="492"/>
      <c r="RHB93" s="492"/>
      <c r="RHC93" s="492"/>
      <c r="RHD93" s="493"/>
      <c r="RHE93" s="493"/>
      <c r="RHF93" s="192"/>
      <c r="RHG93" s="489"/>
      <c r="RHH93" s="489"/>
      <c r="RHI93" s="490"/>
      <c r="RHJ93" s="490"/>
      <c r="RHK93" s="491"/>
      <c r="RHL93" s="491"/>
      <c r="RHM93" s="491"/>
      <c r="RHN93" s="491"/>
      <c r="RHO93" s="491"/>
      <c r="RHP93" s="491"/>
      <c r="RHQ93" s="491"/>
      <c r="RHR93" s="491"/>
      <c r="RHS93" s="491"/>
      <c r="RHT93" s="491"/>
      <c r="RHU93" s="491"/>
      <c r="RHV93" s="491"/>
      <c r="RHW93" s="491"/>
      <c r="RHX93" s="491"/>
      <c r="RHY93" s="491"/>
      <c r="RHZ93" s="491"/>
      <c r="RIA93" s="491"/>
      <c r="RIB93" s="491"/>
      <c r="RIC93" s="491"/>
      <c r="RID93" s="491"/>
      <c r="RIE93" s="491"/>
      <c r="RIF93" s="491"/>
      <c r="RIG93" s="491"/>
      <c r="RIH93" s="491"/>
      <c r="RII93" s="491"/>
      <c r="RIJ93" s="491"/>
      <c r="RIK93" s="491"/>
      <c r="RIL93" s="491"/>
      <c r="RIM93" s="491"/>
      <c r="RIN93" s="491"/>
      <c r="RIO93" s="491"/>
      <c r="RIP93" s="491"/>
      <c r="RIQ93" s="491"/>
      <c r="RIR93" s="491"/>
      <c r="RIS93" s="492"/>
      <c r="RIT93" s="492"/>
      <c r="RIU93" s="492"/>
      <c r="RIV93" s="492"/>
      <c r="RIW93" s="493"/>
      <c r="RIX93" s="493"/>
      <c r="RIY93" s="192"/>
      <c r="RIZ93" s="489"/>
      <c r="RJA93" s="489"/>
      <c r="RJB93" s="490"/>
      <c r="RJC93" s="490"/>
      <c r="RJD93" s="491"/>
      <c r="RJE93" s="491"/>
      <c r="RJF93" s="491"/>
      <c r="RJG93" s="491"/>
      <c r="RJH93" s="491"/>
      <c r="RJI93" s="491"/>
      <c r="RJJ93" s="491"/>
      <c r="RJK93" s="491"/>
      <c r="RJL93" s="491"/>
      <c r="RJM93" s="491"/>
      <c r="RJN93" s="491"/>
      <c r="RJO93" s="491"/>
      <c r="RJP93" s="491"/>
      <c r="RJQ93" s="491"/>
      <c r="RJR93" s="491"/>
      <c r="RJS93" s="491"/>
      <c r="RJT93" s="491"/>
      <c r="RJU93" s="491"/>
      <c r="RJV93" s="491"/>
      <c r="RJW93" s="491"/>
      <c r="RJX93" s="491"/>
      <c r="RJY93" s="491"/>
      <c r="RJZ93" s="491"/>
      <c r="RKA93" s="491"/>
      <c r="RKB93" s="491"/>
      <c r="RKC93" s="491"/>
      <c r="RKD93" s="491"/>
      <c r="RKE93" s="491"/>
      <c r="RKF93" s="491"/>
      <c r="RKG93" s="491"/>
      <c r="RKH93" s="491"/>
      <c r="RKI93" s="491"/>
      <c r="RKJ93" s="491"/>
      <c r="RKK93" s="491"/>
      <c r="RKL93" s="492"/>
      <c r="RKM93" s="492"/>
      <c r="RKN93" s="492"/>
      <c r="RKO93" s="492"/>
      <c r="RKP93" s="493"/>
      <c r="RKQ93" s="493"/>
      <c r="RKR93" s="192"/>
      <c r="RKS93" s="489"/>
      <c r="RKT93" s="489"/>
      <c r="RKU93" s="490"/>
      <c r="RKV93" s="490"/>
      <c r="RKW93" s="491"/>
      <c r="RKX93" s="491"/>
      <c r="RKY93" s="491"/>
      <c r="RKZ93" s="491"/>
      <c r="RLA93" s="491"/>
      <c r="RLB93" s="491"/>
      <c r="RLC93" s="491"/>
      <c r="RLD93" s="491"/>
      <c r="RLE93" s="491"/>
      <c r="RLF93" s="491"/>
      <c r="RLG93" s="491"/>
      <c r="RLH93" s="491"/>
      <c r="RLI93" s="491"/>
      <c r="RLJ93" s="491"/>
      <c r="RLK93" s="491"/>
      <c r="RLL93" s="491"/>
      <c r="RLM93" s="491"/>
      <c r="RLN93" s="491"/>
      <c r="RLO93" s="491"/>
      <c r="RLP93" s="491"/>
      <c r="RLQ93" s="491"/>
      <c r="RLR93" s="491"/>
      <c r="RLS93" s="491"/>
      <c r="RLT93" s="491"/>
      <c r="RLU93" s="491"/>
      <c r="RLV93" s="491"/>
      <c r="RLW93" s="491"/>
      <c r="RLX93" s="491"/>
      <c r="RLY93" s="491"/>
      <c r="RLZ93" s="491"/>
      <c r="RMA93" s="491"/>
      <c r="RMB93" s="491"/>
      <c r="RMC93" s="491"/>
      <c r="RMD93" s="491"/>
      <c r="RME93" s="492"/>
      <c r="RMF93" s="492"/>
      <c r="RMG93" s="492"/>
      <c r="RMH93" s="492"/>
      <c r="RMI93" s="493"/>
      <c r="RMJ93" s="493"/>
      <c r="RMK93" s="192"/>
      <c r="RML93" s="489"/>
      <c r="RMM93" s="489"/>
      <c r="RMN93" s="490"/>
      <c r="RMO93" s="490"/>
      <c r="RMP93" s="491"/>
      <c r="RMQ93" s="491"/>
      <c r="RMR93" s="491"/>
      <c r="RMS93" s="491"/>
      <c r="RMT93" s="491"/>
      <c r="RMU93" s="491"/>
      <c r="RMV93" s="491"/>
      <c r="RMW93" s="491"/>
      <c r="RMX93" s="491"/>
      <c r="RMY93" s="491"/>
      <c r="RMZ93" s="491"/>
      <c r="RNA93" s="491"/>
      <c r="RNB93" s="491"/>
      <c r="RNC93" s="491"/>
      <c r="RND93" s="491"/>
      <c r="RNE93" s="491"/>
      <c r="RNF93" s="491"/>
      <c r="RNG93" s="491"/>
      <c r="RNH93" s="491"/>
      <c r="RNI93" s="491"/>
      <c r="RNJ93" s="491"/>
      <c r="RNK93" s="491"/>
      <c r="RNL93" s="491"/>
      <c r="RNM93" s="491"/>
      <c r="RNN93" s="491"/>
      <c r="RNO93" s="491"/>
      <c r="RNP93" s="491"/>
      <c r="RNQ93" s="491"/>
      <c r="RNR93" s="491"/>
      <c r="RNS93" s="491"/>
      <c r="RNT93" s="491"/>
      <c r="RNU93" s="491"/>
      <c r="RNV93" s="491"/>
      <c r="RNW93" s="491"/>
      <c r="RNX93" s="492"/>
      <c r="RNY93" s="492"/>
      <c r="RNZ93" s="492"/>
      <c r="ROA93" s="492"/>
      <c r="ROB93" s="493"/>
      <c r="ROC93" s="493"/>
      <c r="ROD93" s="192"/>
      <c r="ROE93" s="489"/>
      <c r="ROF93" s="489"/>
      <c r="ROG93" s="490"/>
      <c r="ROH93" s="490"/>
      <c r="ROI93" s="491"/>
      <c r="ROJ93" s="491"/>
      <c r="ROK93" s="491"/>
      <c r="ROL93" s="491"/>
      <c r="ROM93" s="491"/>
      <c r="RON93" s="491"/>
      <c r="ROO93" s="491"/>
      <c r="ROP93" s="491"/>
      <c r="ROQ93" s="491"/>
      <c r="ROR93" s="491"/>
      <c r="ROS93" s="491"/>
      <c r="ROT93" s="491"/>
      <c r="ROU93" s="491"/>
      <c r="ROV93" s="491"/>
      <c r="ROW93" s="491"/>
      <c r="ROX93" s="491"/>
      <c r="ROY93" s="491"/>
      <c r="ROZ93" s="491"/>
      <c r="RPA93" s="491"/>
      <c r="RPB93" s="491"/>
      <c r="RPC93" s="491"/>
      <c r="RPD93" s="491"/>
      <c r="RPE93" s="491"/>
      <c r="RPF93" s="491"/>
      <c r="RPG93" s="491"/>
      <c r="RPH93" s="491"/>
      <c r="RPI93" s="491"/>
      <c r="RPJ93" s="491"/>
      <c r="RPK93" s="491"/>
      <c r="RPL93" s="491"/>
      <c r="RPM93" s="491"/>
      <c r="RPN93" s="491"/>
      <c r="RPO93" s="491"/>
      <c r="RPP93" s="491"/>
      <c r="RPQ93" s="492"/>
      <c r="RPR93" s="492"/>
      <c r="RPS93" s="492"/>
      <c r="RPT93" s="492"/>
      <c r="RPU93" s="493"/>
      <c r="RPV93" s="493"/>
      <c r="RPW93" s="192"/>
      <c r="RPX93" s="489"/>
      <c r="RPY93" s="489"/>
      <c r="RPZ93" s="490"/>
      <c r="RQA93" s="490"/>
      <c r="RQB93" s="491"/>
      <c r="RQC93" s="491"/>
      <c r="RQD93" s="491"/>
      <c r="RQE93" s="491"/>
      <c r="RQF93" s="491"/>
      <c r="RQG93" s="491"/>
      <c r="RQH93" s="491"/>
      <c r="RQI93" s="491"/>
      <c r="RQJ93" s="491"/>
      <c r="RQK93" s="491"/>
      <c r="RQL93" s="491"/>
      <c r="RQM93" s="491"/>
      <c r="RQN93" s="491"/>
      <c r="RQO93" s="491"/>
      <c r="RQP93" s="491"/>
      <c r="RQQ93" s="491"/>
      <c r="RQR93" s="491"/>
      <c r="RQS93" s="491"/>
      <c r="RQT93" s="491"/>
      <c r="RQU93" s="491"/>
      <c r="RQV93" s="491"/>
      <c r="RQW93" s="491"/>
      <c r="RQX93" s="491"/>
      <c r="RQY93" s="491"/>
      <c r="RQZ93" s="491"/>
      <c r="RRA93" s="491"/>
      <c r="RRB93" s="491"/>
      <c r="RRC93" s="491"/>
      <c r="RRD93" s="491"/>
      <c r="RRE93" s="491"/>
      <c r="RRF93" s="491"/>
      <c r="RRG93" s="491"/>
      <c r="RRH93" s="491"/>
      <c r="RRI93" s="491"/>
      <c r="RRJ93" s="492"/>
      <c r="RRK93" s="492"/>
      <c r="RRL93" s="492"/>
      <c r="RRM93" s="492"/>
      <c r="RRN93" s="493"/>
      <c r="RRO93" s="493"/>
      <c r="RRP93" s="192"/>
      <c r="RRQ93" s="489"/>
      <c r="RRR93" s="489"/>
      <c r="RRS93" s="490"/>
      <c r="RRT93" s="490"/>
      <c r="RRU93" s="491"/>
      <c r="RRV93" s="491"/>
      <c r="RRW93" s="491"/>
      <c r="RRX93" s="491"/>
      <c r="RRY93" s="491"/>
      <c r="RRZ93" s="491"/>
      <c r="RSA93" s="491"/>
      <c r="RSB93" s="491"/>
      <c r="RSC93" s="491"/>
      <c r="RSD93" s="491"/>
      <c r="RSE93" s="491"/>
      <c r="RSF93" s="491"/>
      <c r="RSG93" s="491"/>
      <c r="RSH93" s="491"/>
      <c r="RSI93" s="491"/>
      <c r="RSJ93" s="491"/>
      <c r="RSK93" s="491"/>
      <c r="RSL93" s="491"/>
      <c r="RSM93" s="491"/>
      <c r="RSN93" s="491"/>
      <c r="RSO93" s="491"/>
      <c r="RSP93" s="491"/>
      <c r="RSQ93" s="491"/>
      <c r="RSR93" s="491"/>
      <c r="RSS93" s="491"/>
      <c r="RST93" s="491"/>
      <c r="RSU93" s="491"/>
      <c r="RSV93" s="491"/>
      <c r="RSW93" s="491"/>
      <c r="RSX93" s="491"/>
      <c r="RSY93" s="491"/>
      <c r="RSZ93" s="491"/>
      <c r="RTA93" s="491"/>
      <c r="RTB93" s="491"/>
      <c r="RTC93" s="492"/>
      <c r="RTD93" s="492"/>
      <c r="RTE93" s="492"/>
      <c r="RTF93" s="492"/>
      <c r="RTG93" s="493"/>
      <c r="RTH93" s="493"/>
      <c r="RTI93" s="192"/>
      <c r="RTJ93" s="489"/>
      <c r="RTK93" s="489"/>
      <c r="RTL93" s="490"/>
      <c r="RTM93" s="490"/>
      <c r="RTN93" s="491"/>
      <c r="RTO93" s="491"/>
      <c r="RTP93" s="491"/>
      <c r="RTQ93" s="491"/>
      <c r="RTR93" s="491"/>
      <c r="RTS93" s="491"/>
      <c r="RTT93" s="491"/>
      <c r="RTU93" s="491"/>
      <c r="RTV93" s="491"/>
      <c r="RTW93" s="491"/>
      <c r="RTX93" s="491"/>
      <c r="RTY93" s="491"/>
      <c r="RTZ93" s="491"/>
      <c r="RUA93" s="491"/>
      <c r="RUB93" s="491"/>
      <c r="RUC93" s="491"/>
      <c r="RUD93" s="491"/>
      <c r="RUE93" s="491"/>
      <c r="RUF93" s="491"/>
      <c r="RUG93" s="491"/>
      <c r="RUH93" s="491"/>
      <c r="RUI93" s="491"/>
      <c r="RUJ93" s="491"/>
      <c r="RUK93" s="491"/>
      <c r="RUL93" s="491"/>
      <c r="RUM93" s="491"/>
      <c r="RUN93" s="491"/>
      <c r="RUO93" s="491"/>
      <c r="RUP93" s="491"/>
      <c r="RUQ93" s="491"/>
      <c r="RUR93" s="491"/>
      <c r="RUS93" s="491"/>
      <c r="RUT93" s="491"/>
      <c r="RUU93" s="491"/>
      <c r="RUV93" s="492"/>
      <c r="RUW93" s="492"/>
      <c r="RUX93" s="492"/>
      <c r="RUY93" s="492"/>
      <c r="RUZ93" s="493"/>
      <c r="RVA93" s="493"/>
      <c r="RVB93" s="192"/>
      <c r="RVC93" s="489"/>
      <c r="RVD93" s="489"/>
      <c r="RVE93" s="490"/>
      <c r="RVF93" s="490"/>
      <c r="RVG93" s="491"/>
      <c r="RVH93" s="491"/>
      <c r="RVI93" s="491"/>
      <c r="RVJ93" s="491"/>
      <c r="RVK93" s="491"/>
      <c r="RVL93" s="491"/>
      <c r="RVM93" s="491"/>
      <c r="RVN93" s="491"/>
      <c r="RVO93" s="491"/>
      <c r="RVP93" s="491"/>
      <c r="RVQ93" s="491"/>
      <c r="RVR93" s="491"/>
      <c r="RVS93" s="491"/>
      <c r="RVT93" s="491"/>
      <c r="RVU93" s="491"/>
      <c r="RVV93" s="491"/>
      <c r="RVW93" s="491"/>
      <c r="RVX93" s="491"/>
      <c r="RVY93" s="491"/>
      <c r="RVZ93" s="491"/>
      <c r="RWA93" s="491"/>
      <c r="RWB93" s="491"/>
      <c r="RWC93" s="491"/>
      <c r="RWD93" s="491"/>
      <c r="RWE93" s="491"/>
      <c r="RWF93" s="491"/>
      <c r="RWG93" s="491"/>
      <c r="RWH93" s="491"/>
      <c r="RWI93" s="491"/>
      <c r="RWJ93" s="491"/>
      <c r="RWK93" s="491"/>
      <c r="RWL93" s="491"/>
      <c r="RWM93" s="491"/>
      <c r="RWN93" s="491"/>
      <c r="RWO93" s="492"/>
      <c r="RWP93" s="492"/>
      <c r="RWQ93" s="492"/>
      <c r="RWR93" s="492"/>
      <c r="RWS93" s="493"/>
      <c r="RWT93" s="493"/>
      <c r="RWU93" s="192"/>
      <c r="RWV93" s="489"/>
      <c r="RWW93" s="489"/>
      <c r="RWX93" s="490"/>
      <c r="RWY93" s="490"/>
      <c r="RWZ93" s="491"/>
      <c r="RXA93" s="491"/>
      <c r="RXB93" s="491"/>
      <c r="RXC93" s="491"/>
      <c r="RXD93" s="491"/>
      <c r="RXE93" s="491"/>
      <c r="RXF93" s="491"/>
      <c r="RXG93" s="491"/>
      <c r="RXH93" s="491"/>
      <c r="RXI93" s="491"/>
      <c r="RXJ93" s="491"/>
      <c r="RXK93" s="491"/>
      <c r="RXL93" s="491"/>
      <c r="RXM93" s="491"/>
      <c r="RXN93" s="491"/>
      <c r="RXO93" s="491"/>
      <c r="RXP93" s="491"/>
      <c r="RXQ93" s="491"/>
      <c r="RXR93" s="491"/>
      <c r="RXS93" s="491"/>
      <c r="RXT93" s="491"/>
      <c r="RXU93" s="491"/>
      <c r="RXV93" s="491"/>
      <c r="RXW93" s="491"/>
      <c r="RXX93" s="491"/>
      <c r="RXY93" s="491"/>
      <c r="RXZ93" s="491"/>
      <c r="RYA93" s="491"/>
      <c r="RYB93" s="491"/>
      <c r="RYC93" s="491"/>
      <c r="RYD93" s="491"/>
      <c r="RYE93" s="491"/>
      <c r="RYF93" s="491"/>
      <c r="RYG93" s="491"/>
      <c r="RYH93" s="492"/>
      <c r="RYI93" s="492"/>
      <c r="RYJ93" s="492"/>
      <c r="RYK93" s="492"/>
      <c r="RYL93" s="493"/>
      <c r="RYM93" s="493"/>
      <c r="RYN93" s="192"/>
      <c r="RYO93" s="489"/>
      <c r="RYP93" s="489"/>
      <c r="RYQ93" s="490"/>
      <c r="RYR93" s="490"/>
      <c r="RYS93" s="491"/>
      <c r="RYT93" s="491"/>
      <c r="RYU93" s="491"/>
      <c r="RYV93" s="491"/>
      <c r="RYW93" s="491"/>
      <c r="RYX93" s="491"/>
      <c r="RYY93" s="491"/>
      <c r="RYZ93" s="491"/>
      <c r="RZA93" s="491"/>
      <c r="RZB93" s="491"/>
      <c r="RZC93" s="491"/>
      <c r="RZD93" s="491"/>
      <c r="RZE93" s="491"/>
      <c r="RZF93" s="491"/>
      <c r="RZG93" s="491"/>
      <c r="RZH93" s="491"/>
      <c r="RZI93" s="491"/>
      <c r="RZJ93" s="491"/>
      <c r="RZK93" s="491"/>
      <c r="RZL93" s="491"/>
      <c r="RZM93" s="491"/>
      <c r="RZN93" s="491"/>
      <c r="RZO93" s="491"/>
      <c r="RZP93" s="491"/>
      <c r="RZQ93" s="491"/>
      <c r="RZR93" s="491"/>
      <c r="RZS93" s="491"/>
      <c r="RZT93" s="491"/>
      <c r="RZU93" s="491"/>
      <c r="RZV93" s="491"/>
      <c r="RZW93" s="491"/>
      <c r="RZX93" s="491"/>
      <c r="RZY93" s="491"/>
      <c r="RZZ93" s="491"/>
      <c r="SAA93" s="492"/>
      <c r="SAB93" s="492"/>
      <c r="SAC93" s="492"/>
      <c r="SAD93" s="492"/>
      <c r="SAE93" s="493"/>
      <c r="SAF93" s="493"/>
      <c r="SAG93" s="192"/>
      <c r="SAH93" s="489"/>
      <c r="SAI93" s="489"/>
      <c r="SAJ93" s="490"/>
      <c r="SAK93" s="490"/>
      <c r="SAL93" s="491"/>
      <c r="SAM93" s="491"/>
      <c r="SAN93" s="491"/>
      <c r="SAO93" s="491"/>
      <c r="SAP93" s="491"/>
      <c r="SAQ93" s="491"/>
      <c r="SAR93" s="491"/>
      <c r="SAS93" s="491"/>
      <c r="SAT93" s="491"/>
      <c r="SAU93" s="491"/>
      <c r="SAV93" s="491"/>
      <c r="SAW93" s="491"/>
      <c r="SAX93" s="491"/>
      <c r="SAY93" s="491"/>
      <c r="SAZ93" s="491"/>
      <c r="SBA93" s="491"/>
      <c r="SBB93" s="491"/>
      <c r="SBC93" s="491"/>
      <c r="SBD93" s="491"/>
      <c r="SBE93" s="491"/>
      <c r="SBF93" s="491"/>
      <c r="SBG93" s="491"/>
      <c r="SBH93" s="491"/>
      <c r="SBI93" s="491"/>
      <c r="SBJ93" s="491"/>
      <c r="SBK93" s="491"/>
      <c r="SBL93" s="491"/>
      <c r="SBM93" s="491"/>
      <c r="SBN93" s="491"/>
      <c r="SBO93" s="491"/>
      <c r="SBP93" s="491"/>
      <c r="SBQ93" s="491"/>
      <c r="SBR93" s="491"/>
      <c r="SBS93" s="491"/>
      <c r="SBT93" s="492"/>
      <c r="SBU93" s="492"/>
      <c r="SBV93" s="492"/>
      <c r="SBW93" s="492"/>
      <c r="SBX93" s="493"/>
      <c r="SBY93" s="493"/>
      <c r="SBZ93" s="192"/>
      <c r="SCA93" s="489"/>
      <c r="SCB93" s="489"/>
      <c r="SCC93" s="490"/>
      <c r="SCD93" s="490"/>
      <c r="SCE93" s="491"/>
      <c r="SCF93" s="491"/>
      <c r="SCG93" s="491"/>
      <c r="SCH93" s="491"/>
      <c r="SCI93" s="491"/>
      <c r="SCJ93" s="491"/>
      <c r="SCK93" s="491"/>
      <c r="SCL93" s="491"/>
      <c r="SCM93" s="491"/>
      <c r="SCN93" s="491"/>
      <c r="SCO93" s="491"/>
      <c r="SCP93" s="491"/>
      <c r="SCQ93" s="491"/>
      <c r="SCR93" s="491"/>
      <c r="SCS93" s="491"/>
      <c r="SCT93" s="491"/>
      <c r="SCU93" s="491"/>
      <c r="SCV93" s="491"/>
      <c r="SCW93" s="491"/>
      <c r="SCX93" s="491"/>
      <c r="SCY93" s="491"/>
      <c r="SCZ93" s="491"/>
      <c r="SDA93" s="491"/>
      <c r="SDB93" s="491"/>
      <c r="SDC93" s="491"/>
      <c r="SDD93" s="491"/>
      <c r="SDE93" s="491"/>
      <c r="SDF93" s="491"/>
      <c r="SDG93" s="491"/>
      <c r="SDH93" s="491"/>
      <c r="SDI93" s="491"/>
      <c r="SDJ93" s="491"/>
      <c r="SDK93" s="491"/>
      <c r="SDL93" s="491"/>
      <c r="SDM93" s="492"/>
      <c r="SDN93" s="492"/>
      <c r="SDO93" s="492"/>
      <c r="SDP93" s="492"/>
      <c r="SDQ93" s="493"/>
      <c r="SDR93" s="493"/>
      <c r="SDS93" s="192"/>
      <c r="SDT93" s="489"/>
      <c r="SDU93" s="489"/>
      <c r="SDV93" s="490"/>
      <c r="SDW93" s="490"/>
      <c r="SDX93" s="491"/>
      <c r="SDY93" s="491"/>
      <c r="SDZ93" s="491"/>
      <c r="SEA93" s="491"/>
      <c r="SEB93" s="491"/>
      <c r="SEC93" s="491"/>
      <c r="SED93" s="491"/>
      <c r="SEE93" s="491"/>
      <c r="SEF93" s="491"/>
      <c r="SEG93" s="491"/>
      <c r="SEH93" s="491"/>
      <c r="SEI93" s="491"/>
      <c r="SEJ93" s="491"/>
      <c r="SEK93" s="491"/>
      <c r="SEL93" s="491"/>
      <c r="SEM93" s="491"/>
      <c r="SEN93" s="491"/>
      <c r="SEO93" s="491"/>
      <c r="SEP93" s="491"/>
      <c r="SEQ93" s="491"/>
      <c r="SER93" s="491"/>
      <c r="SES93" s="491"/>
      <c r="SET93" s="491"/>
      <c r="SEU93" s="491"/>
      <c r="SEV93" s="491"/>
      <c r="SEW93" s="491"/>
      <c r="SEX93" s="491"/>
      <c r="SEY93" s="491"/>
      <c r="SEZ93" s="491"/>
      <c r="SFA93" s="491"/>
      <c r="SFB93" s="491"/>
      <c r="SFC93" s="491"/>
      <c r="SFD93" s="491"/>
      <c r="SFE93" s="491"/>
      <c r="SFF93" s="492"/>
      <c r="SFG93" s="492"/>
      <c r="SFH93" s="492"/>
      <c r="SFI93" s="492"/>
      <c r="SFJ93" s="493"/>
      <c r="SFK93" s="493"/>
      <c r="SFL93" s="192"/>
      <c r="SFM93" s="489"/>
      <c r="SFN93" s="489"/>
      <c r="SFO93" s="490"/>
      <c r="SFP93" s="490"/>
      <c r="SFQ93" s="491"/>
      <c r="SFR93" s="491"/>
      <c r="SFS93" s="491"/>
      <c r="SFT93" s="491"/>
      <c r="SFU93" s="491"/>
      <c r="SFV93" s="491"/>
      <c r="SFW93" s="491"/>
      <c r="SFX93" s="491"/>
      <c r="SFY93" s="491"/>
      <c r="SFZ93" s="491"/>
      <c r="SGA93" s="491"/>
      <c r="SGB93" s="491"/>
      <c r="SGC93" s="491"/>
      <c r="SGD93" s="491"/>
      <c r="SGE93" s="491"/>
      <c r="SGF93" s="491"/>
      <c r="SGG93" s="491"/>
      <c r="SGH93" s="491"/>
      <c r="SGI93" s="491"/>
      <c r="SGJ93" s="491"/>
      <c r="SGK93" s="491"/>
      <c r="SGL93" s="491"/>
      <c r="SGM93" s="491"/>
      <c r="SGN93" s="491"/>
      <c r="SGO93" s="491"/>
      <c r="SGP93" s="491"/>
      <c r="SGQ93" s="491"/>
      <c r="SGR93" s="491"/>
      <c r="SGS93" s="491"/>
      <c r="SGT93" s="491"/>
      <c r="SGU93" s="491"/>
      <c r="SGV93" s="491"/>
      <c r="SGW93" s="491"/>
      <c r="SGX93" s="491"/>
      <c r="SGY93" s="492"/>
      <c r="SGZ93" s="492"/>
      <c r="SHA93" s="492"/>
      <c r="SHB93" s="492"/>
      <c r="SHC93" s="493"/>
      <c r="SHD93" s="493"/>
      <c r="SHE93" s="192"/>
      <c r="SHF93" s="489"/>
      <c r="SHG93" s="489"/>
      <c r="SHH93" s="490"/>
      <c r="SHI93" s="490"/>
      <c r="SHJ93" s="491"/>
      <c r="SHK93" s="491"/>
      <c r="SHL93" s="491"/>
      <c r="SHM93" s="491"/>
      <c r="SHN93" s="491"/>
      <c r="SHO93" s="491"/>
      <c r="SHP93" s="491"/>
      <c r="SHQ93" s="491"/>
      <c r="SHR93" s="491"/>
      <c r="SHS93" s="491"/>
      <c r="SHT93" s="491"/>
      <c r="SHU93" s="491"/>
      <c r="SHV93" s="491"/>
      <c r="SHW93" s="491"/>
      <c r="SHX93" s="491"/>
      <c r="SHY93" s="491"/>
      <c r="SHZ93" s="491"/>
      <c r="SIA93" s="491"/>
      <c r="SIB93" s="491"/>
      <c r="SIC93" s="491"/>
      <c r="SID93" s="491"/>
      <c r="SIE93" s="491"/>
      <c r="SIF93" s="491"/>
      <c r="SIG93" s="491"/>
      <c r="SIH93" s="491"/>
      <c r="SII93" s="491"/>
      <c r="SIJ93" s="491"/>
      <c r="SIK93" s="491"/>
      <c r="SIL93" s="491"/>
      <c r="SIM93" s="491"/>
      <c r="SIN93" s="491"/>
      <c r="SIO93" s="491"/>
      <c r="SIP93" s="491"/>
      <c r="SIQ93" s="491"/>
      <c r="SIR93" s="492"/>
      <c r="SIS93" s="492"/>
      <c r="SIT93" s="492"/>
      <c r="SIU93" s="492"/>
      <c r="SIV93" s="493"/>
      <c r="SIW93" s="493"/>
      <c r="SIX93" s="192"/>
      <c r="SIY93" s="489"/>
      <c r="SIZ93" s="489"/>
      <c r="SJA93" s="490"/>
      <c r="SJB93" s="490"/>
      <c r="SJC93" s="491"/>
      <c r="SJD93" s="491"/>
      <c r="SJE93" s="491"/>
      <c r="SJF93" s="491"/>
      <c r="SJG93" s="491"/>
      <c r="SJH93" s="491"/>
      <c r="SJI93" s="491"/>
      <c r="SJJ93" s="491"/>
      <c r="SJK93" s="491"/>
      <c r="SJL93" s="491"/>
      <c r="SJM93" s="491"/>
      <c r="SJN93" s="491"/>
      <c r="SJO93" s="491"/>
      <c r="SJP93" s="491"/>
      <c r="SJQ93" s="491"/>
      <c r="SJR93" s="491"/>
      <c r="SJS93" s="491"/>
      <c r="SJT93" s="491"/>
      <c r="SJU93" s="491"/>
      <c r="SJV93" s="491"/>
      <c r="SJW93" s="491"/>
      <c r="SJX93" s="491"/>
      <c r="SJY93" s="491"/>
      <c r="SJZ93" s="491"/>
      <c r="SKA93" s="491"/>
      <c r="SKB93" s="491"/>
      <c r="SKC93" s="491"/>
      <c r="SKD93" s="491"/>
      <c r="SKE93" s="491"/>
      <c r="SKF93" s="491"/>
      <c r="SKG93" s="491"/>
      <c r="SKH93" s="491"/>
      <c r="SKI93" s="491"/>
      <c r="SKJ93" s="491"/>
      <c r="SKK93" s="492"/>
      <c r="SKL93" s="492"/>
      <c r="SKM93" s="492"/>
      <c r="SKN93" s="492"/>
      <c r="SKO93" s="493"/>
      <c r="SKP93" s="493"/>
      <c r="SKQ93" s="192"/>
      <c r="SKR93" s="489"/>
      <c r="SKS93" s="489"/>
      <c r="SKT93" s="490"/>
      <c r="SKU93" s="490"/>
      <c r="SKV93" s="491"/>
      <c r="SKW93" s="491"/>
      <c r="SKX93" s="491"/>
      <c r="SKY93" s="491"/>
      <c r="SKZ93" s="491"/>
      <c r="SLA93" s="491"/>
      <c r="SLB93" s="491"/>
      <c r="SLC93" s="491"/>
      <c r="SLD93" s="491"/>
      <c r="SLE93" s="491"/>
      <c r="SLF93" s="491"/>
      <c r="SLG93" s="491"/>
      <c r="SLH93" s="491"/>
      <c r="SLI93" s="491"/>
      <c r="SLJ93" s="491"/>
      <c r="SLK93" s="491"/>
      <c r="SLL93" s="491"/>
      <c r="SLM93" s="491"/>
      <c r="SLN93" s="491"/>
      <c r="SLO93" s="491"/>
      <c r="SLP93" s="491"/>
      <c r="SLQ93" s="491"/>
      <c r="SLR93" s="491"/>
      <c r="SLS93" s="491"/>
      <c r="SLT93" s="491"/>
      <c r="SLU93" s="491"/>
      <c r="SLV93" s="491"/>
      <c r="SLW93" s="491"/>
      <c r="SLX93" s="491"/>
      <c r="SLY93" s="491"/>
      <c r="SLZ93" s="491"/>
      <c r="SMA93" s="491"/>
      <c r="SMB93" s="491"/>
      <c r="SMC93" s="491"/>
      <c r="SMD93" s="492"/>
      <c r="SME93" s="492"/>
      <c r="SMF93" s="492"/>
      <c r="SMG93" s="492"/>
      <c r="SMH93" s="493"/>
      <c r="SMI93" s="493"/>
      <c r="SMJ93" s="192"/>
      <c r="SMK93" s="489"/>
      <c r="SML93" s="489"/>
      <c r="SMM93" s="490"/>
      <c r="SMN93" s="490"/>
      <c r="SMO93" s="491"/>
      <c r="SMP93" s="491"/>
      <c r="SMQ93" s="491"/>
      <c r="SMR93" s="491"/>
      <c r="SMS93" s="491"/>
      <c r="SMT93" s="491"/>
      <c r="SMU93" s="491"/>
      <c r="SMV93" s="491"/>
      <c r="SMW93" s="491"/>
      <c r="SMX93" s="491"/>
      <c r="SMY93" s="491"/>
      <c r="SMZ93" s="491"/>
      <c r="SNA93" s="491"/>
      <c r="SNB93" s="491"/>
      <c r="SNC93" s="491"/>
      <c r="SND93" s="491"/>
      <c r="SNE93" s="491"/>
      <c r="SNF93" s="491"/>
      <c r="SNG93" s="491"/>
      <c r="SNH93" s="491"/>
      <c r="SNI93" s="491"/>
      <c r="SNJ93" s="491"/>
      <c r="SNK93" s="491"/>
      <c r="SNL93" s="491"/>
      <c r="SNM93" s="491"/>
      <c r="SNN93" s="491"/>
      <c r="SNO93" s="491"/>
      <c r="SNP93" s="491"/>
      <c r="SNQ93" s="491"/>
      <c r="SNR93" s="491"/>
      <c r="SNS93" s="491"/>
      <c r="SNT93" s="491"/>
      <c r="SNU93" s="491"/>
      <c r="SNV93" s="491"/>
      <c r="SNW93" s="492"/>
      <c r="SNX93" s="492"/>
      <c r="SNY93" s="492"/>
      <c r="SNZ93" s="492"/>
      <c r="SOA93" s="493"/>
      <c r="SOB93" s="493"/>
      <c r="SOC93" s="192"/>
      <c r="SOD93" s="489"/>
      <c r="SOE93" s="489"/>
      <c r="SOF93" s="490"/>
      <c r="SOG93" s="490"/>
      <c r="SOH93" s="491"/>
      <c r="SOI93" s="491"/>
      <c r="SOJ93" s="491"/>
      <c r="SOK93" s="491"/>
      <c r="SOL93" s="491"/>
      <c r="SOM93" s="491"/>
      <c r="SON93" s="491"/>
      <c r="SOO93" s="491"/>
      <c r="SOP93" s="491"/>
      <c r="SOQ93" s="491"/>
      <c r="SOR93" s="491"/>
      <c r="SOS93" s="491"/>
      <c r="SOT93" s="491"/>
      <c r="SOU93" s="491"/>
      <c r="SOV93" s="491"/>
      <c r="SOW93" s="491"/>
      <c r="SOX93" s="491"/>
      <c r="SOY93" s="491"/>
      <c r="SOZ93" s="491"/>
      <c r="SPA93" s="491"/>
      <c r="SPB93" s="491"/>
      <c r="SPC93" s="491"/>
      <c r="SPD93" s="491"/>
      <c r="SPE93" s="491"/>
      <c r="SPF93" s="491"/>
      <c r="SPG93" s="491"/>
      <c r="SPH93" s="491"/>
      <c r="SPI93" s="491"/>
      <c r="SPJ93" s="491"/>
      <c r="SPK93" s="491"/>
      <c r="SPL93" s="491"/>
      <c r="SPM93" s="491"/>
      <c r="SPN93" s="491"/>
      <c r="SPO93" s="491"/>
      <c r="SPP93" s="492"/>
      <c r="SPQ93" s="492"/>
      <c r="SPR93" s="492"/>
      <c r="SPS93" s="492"/>
      <c r="SPT93" s="493"/>
      <c r="SPU93" s="493"/>
      <c r="SPV93" s="192"/>
      <c r="SPW93" s="489"/>
      <c r="SPX93" s="489"/>
      <c r="SPY93" s="490"/>
      <c r="SPZ93" s="490"/>
      <c r="SQA93" s="491"/>
      <c r="SQB93" s="491"/>
      <c r="SQC93" s="491"/>
      <c r="SQD93" s="491"/>
      <c r="SQE93" s="491"/>
      <c r="SQF93" s="491"/>
      <c r="SQG93" s="491"/>
      <c r="SQH93" s="491"/>
      <c r="SQI93" s="491"/>
      <c r="SQJ93" s="491"/>
      <c r="SQK93" s="491"/>
      <c r="SQL93" s="491"/>
      <c r="SQM93" s="491"/>
      <c r="SQN93" s="491"/>
      <c r="SQO93" s="491"/>
      <c r="SQP93" s="491"/>
      <c r="SQQ93" s="491"/>
      <c r="SQR93" s="491"/>
      <c r="SQS93" s="491"/>
      <c r="SQT93" s="491"/>
      <c r="SQU93" s="491"/>
      <c r="SQV93" s="491"/>
      <c r="SQW93" s="491"/>
      <c r="SQX93" s="491"/>
      <c r="SQY93" s="491"/>
      <c r="SQZ93" s="491"/>
      <c r="SRA93" s="491"/>
      <c r="SRB93" s="491"/>
      <c r="SRC93" s="491"/>
      <c r="SRD93" s="491"/>
      <c r="SRE93" s="491"/>
      <c r="SRF93" s="491"/>
      <c r="SRG93" s="491"/>
      <c r="SRH93" s="491"/>
      <c r="SRI93" s="492"/>
      <c r="SRJ93" s="492"/>
      <c r="SRK93" s="492"/>
      <c r="SRL93" s="492"/>
      <c r="SRM93" s="493"/>
      <c r="SRN93" s="493"/>
      <c r="SRO93" s="192"/>
      <c r="SRP93" s="489"/>
      <c r="SRQ93" s="489"/>
      <c r="SRR93" s="490"/>
      <c r="SRS93" s="490"/>
      <c r="SRT93" s="491"/>
      <c r="SRU93" s="491"/>
      <c r="SRV93" s="491"/>
      <c r="SRW93" s="491"/>
      <c r="SRX93" s="491"/>
      <c r="SRY93" s="491"/>
      <c r="SRZ93" s="491"/>
      <c r="SSA93" s="491"/>
      <c r="SSB93" s="491"/>
      <c r="SSC93" s="491"/>
      <c r="SSD93" s="491"/>
      <c r="SSE93" s="491"/>
      <c r="SSF93" s="491"/>
      <c r="SSG93" s="491"/>
      <c r="SSH93" s="491"/>
      <c r="SSI93" s="491"/>
      <c r="SSJ93" s="491"/>
      <c r="SSK93" s="491"/>
      <c r="SSL93" s="491"/>
      <c r="SSM93" s="491"/>
      <c r="SSN93" s="491"/>
      <c r="SSO93" s="491"/>
      <c r="SSP93" s="491"/>
      <c r="SSQ93" s="491"/>
      <c r="SSR93" s="491"/>
      <c r="SSS93" s="491"/>
      <c r="SST93" s="491"/>
      <c r="SSU93" s="491"/>
      <c r="SSV93" s="491"/>
      <c r="SSW93" s="491"/>
      <c r="SSX93" s="491"/>
      <c r="SSY93" s="491"/>
      <c r="SSZ93" s="491"/>
      <c r="STA93" s="491"/>
      <c r="STB93" s="492"/>
      <c r="STC93" s="492"/>
      <c r="STD93" s="492"/>
      <c r="STE93" s="492"/>
      <c r="STF93" s="493"/>
      <c r="STG93" s="493"/>
      <c r="STH93" s="192"/>
      <c r="STI93" s="489"/>
      <c r="STJ93" s="489"/>
      <c r="STK93" s="490"/>
      <c r="STL93" s="490"/>
      <c r="STM93" s="491"/>
      <c r="STN93" s="491"/>
      <c r="STO93" s="491"/>
      <c r="STP93" s="491"/>
      <c r="STQ93" s="491"/>
      <c r="STR93" s="491"/>
      <c r="STS93" s="491"/>
      <c r="STT93" s="491"/>
      <c r="STU93" s="491"/>
      <c r="STV93" s="491"/>
      <c r="STW93" s="491"/>
      <c r="STX93" s="491"/>
      <c r="STY93" s="491"/>
      <c r="STZ93" s="491"/>
      <c r="SUA93" s="491"/>
      <c r="SUB93" s="491"/>
      <c r="SUC93" s="491"/>
      <c r="SUD93" s="491"/>
      <c r="SUE93" s="491"/>
      <c r="SUF93" s="491"/>
      <c r="SUG93" s="491"/>
      <c r="SUH93" s="491"/>
      <c r="SUI93" s="491"/>
      <c r="SUJ93" s="491"/>
      <c r="SUK93" s="491"/>
      <c r="SUL93" s="491"/>
      <c r="SUM93" s="491"/>
      <c r="SUN93" s="491"/>
      <c r="SUO93" s="491"/>
      <c r="SUP93" s="491"/>
      <c r="SUQ93" s="491"/>
      <c r="SUR93" s="491"/>
      <c r="SUS93" s="491"/>
      <c r="SUT93" s="491"/>
      <c r="SUU93" s="492"/>
      <c r="SUV93" s="492"/>
      <c r="SUW93" s="492"/>
      <c r="SUX93" s="492"/>
      <c r="SUY93" s="493"/>
      <c r="SUZ93" s="493"/>
      <c r="SVA93" s="192"/>
      <c r="SVB93" s="489"/>
      <c r="SVC93" s="489"/>
      <c r="SVD93" s="490"/>
      <c r="SVE93" s="490"/>
      <c r="SVF93" s="491"/>
      <c r="SVG93" s="491"/>
      <c r="SVH93" s="491"/>
      <c r="SVI93" s="491"/>
      <c r="SVJ93" s="491"/>
      <c r="SVK93" s="491"/>
      <c r="SVL93" s="491"/>
      <c r="SVM93" s="491"/>
      <c r="SVN93" s="491"/>
      <c r="SVO93" s="491"/>
      <c r="SVP93" s="491"/>
      <c r="SVQ93" s="491"/>
      <c r="SVR93" s="491"/>
      <c r="SVS93" s="491"/>
      <c r="SVT93" s="491"/>
      <c r="SVU93" s="491"/>
      <c r="SVV93" s="491"/>
      <c r="SVW93" s="491"/>
      <c r="SVX93" s="491"/>
      <c r="SVY93" s="491"/>
      <c r="SVZ93" s="491"/>
      <c r="SWA93" s="491"/>
      <c r="SWB93" s="491"/>
      <c r="SWC93" s="491"/>
      <c r="SWD93" s="491"/>
      <c r="SWE93" s="491"/>
      <c r="SWF93" s="491"/>
      <c r="SWG93" s="491"/>
      <c r="SWH93" s="491"/>
      <c r="SWI93" s="491"/>
      <c r="SWJ93" s="491"/>
      <c r="SWK93" s="491"/>
      <c r="SWL93" s="491"/>
      <c r="SWM93" s="491"/>
      <c r="SWN93" s="492"/>
      <c r="SWO93" s="492"/>
      <c r="SWP93" s="492"/>
      <c r="SWQ93" s="492"/>
      <c r="SWR93" s="493"/>
      <c r="SWS93" s="493"/>
      <c r="SWT93" s="192"/>
      <c r="SWU93" s="489"/>
      <c r="SWV93" s="489"/>
      <c r="SWW93" s="490"/>
      <c r="SWX93" s="490"/>
      <c r="SWY93" s="491"/>
      <c r="SWZ93" s="491"/>
      <c r="SXA93" s="491"/>
      <c r="SXB93" s="491"/>
      <c r="SXC93" s="491"/>
      <c r="SXD93" s="491"/>
      <c r="SXE93" s="491"/>
      <c r="SXF93" s="491"/>
      <c r="SXG93" s="491"/>
      <c r="SXH93" s="491"/>
      <c r="SXI93" s="491"/>
      <c r="SXJ93" s="491"/>
      <c r="SXK93" s="491"/>
      <c r="SXL93" s="491"/>
      <c r="SXM93" s="491"/>
      <c r="SXN93" s="491"/>
      <c r="SXO93" s="491"/>
      <c r="SXP93" s="491"/>
      <c r="SXQ93" s="491"/>
      <c r="SXR93" s="491"/>
      <c r="SXS93" s="491"/>
      <c r="SXT93" s="491"/>
      <c r="SXU93" s="491"/>
      <c r="SXV93" s="491"/>
      <c r="SXW93" s="491"/>
      <c r="SXX93" s="491"/>
      <c r="SXY93" s="491"/>
      <c r="SXZ93" s="491"/>
      <c r="SYA93" s="491"/>
      <c r="SYB93" s="491"/>
      <c r="SYC93" s="491"/>
      <c r="SYD93" s="491"/>
      <c r="SYE93" s="491"/>
      <c r="SYF93" s="491"/>
      <c r="SYG93" s="492"/>
      <c r="SYH93" s="492"/>
      <c r="SYI93" s="492"/>
      <c r="SYJ93" s="492"/>
      <c r="SYK93" s="493"/>
      <c r="SYL93" s="493"/>
      <c r="SYM93" s="192"/>
      <c r="SYN93" s="489"/>
      <c r="SYO93" s="489"/>
      <c r="SYP93" s="490"/>
      <c r="SYQ93" s="490"/>
      <c r="SYR93" s="491"/>
      <c r="SYS93" s="491"/>
      <c r="SYT93" s="491"/>
      <c r="SYU93" s="491"/>
      <c r="SYV93" s="491"/>
      <c r="SYW93" s="491"/>
      <c r="SYX93" s="491"/>
      <c r="SYY93" s="491"/>
      <c r="SYZ93" s="491"/>
      <c r="SZA93" s="491"/>
      <c r="SZB93" s="491"/>
      <c r="SZC93" s="491"/>
      <c r="SZD93" s="491"/>
      <c r="SZE93" s="491"/>
      <c r="SZF93" s="491"/>
      <c r="SZG93" s="491"/>
      <c r="SZH93" s="491"/>
      <c r="SZI93" s="491"/>
      <c r="SZJ93" s="491"/>
      <c r="SZK93" s="491"/>
      <c r="SZL93" s="491"/>
      <c r="SZM93" s="491"/>
      <c r="SZN93" s="491"/>
      <c r="SZO93" s="491"/>
      <c r="SZP93" s="491"/>
      <c r="SZQ93" s="491"/>
      <c r="SZR93" s="491"/>
      <c r="SZS93" s="491"/>
      <c r="SZT93" s="491"/>
      <c r="SZU93" s="491"/>
      <c r="SZV93" s="491"/>
      <c r="SZW93" s="491"/>
      <c r="SZX93" s="491"/>
      <c r="SZY93" s="491"/>
      <c r="SZZ93" s="492"/>
      <c r="TAA93" s="492"/>
      <c r="TAB93" s="492"/>
      <c r="TAC93" s="492"/>
      <c r="TAD93" s="493"/>
      <c r="TAE93" s="493"/>
      <c r="TAF93" s="192"/>
      <c r="TAG93" s="489"/>
      <c r="TAH93" s="489"/>
      <c r="TAI93" s="490"/>
      <c r="TAJ93" s="490"/>
      <c r="TAK93" s="491"/>
      <c r="TAL93" s="491"/>
      <c r="TAM93" s="491"/>
      <c r="TAN93" s="491"/>
      <c r="TAO93" s="491"/>
      <c r="TAP93" s="491"/>
      <c r="TAQ93" s="491"/>
      <c r="TAR93" s="491"/>
      <c r="TAS93" s="491"/>
      <c r="TAT93" s="491"/>
      <c r="TAU93" s="491"/>
      <c r="TAV93" s="491"/>
      <c r="TAW93" s="491"/>
      <c r="TAX93" s="491"/>
      <c r="TAY93" s="491"/>
      <c r="TAZ93" s="491"/>
      <c r="TBA93" s="491"/>
      <c r="TBB93" s="491"/>
      <c r="TBC93" s="491"/>
      <c r="TBD93" s="491"/>
      <c r="TBE93" s="491"/>
      <c r="TBF93" s="491"/>
      <c r="TBG93" s="491"/>
      <c r="TBH93" s="491"/>
      <c r="TBI93" s="491"/>
      <c r="TBJ93" s="491"/>
      <c r="TBK93" s="491"/>
      <c r="TBL93" s="491"/>
      <c r="TBM93" s="491"/>
      <c r="TBN93" s="491"/>
      <c r="TBO93" s="491"/>
      <c r="TBP93" s="491"/>
      <c r="TBQ93" s="491"/>
      <c r="TBR93" s="491"/>
      <c r="TBS93" s="492"/>
      <c r="TBT93" s="492"/>
      <c r="TBU93" s="492"/>
      <c r="TBV93" s="492"/>
      <c r="TBW93" s="493"/>
      <c r="TBX93" s="493"/>
      <c r="TBY93" s="192"/>
      <c r="TBZ93" s="489"/>
      <c r="TCA93" s="489"/>
      <c r="TCB93" s="490"/>
      <c r="TCC93" s="490"/>
      <c r="TCD93" s="491"/>
      <c r="TCE93" s="491"/>
      <c r="TCF93" s="491"/>
      <c r="TCG93" s="491"/>
      <c r="TCH93" s="491"/>
      <c r="TCI93" s="491"/>
      <c r="TCJ93" s="491"/>
      <c r="TCK93" s="491"/>
      <c r="TCL93" s="491"/>
      <c r="TCM93" s="491"/>
      <c r="TCN93" s="491"/>
      <c r="TCO93" s="491"/>
      <c r="TCP93" s="491"/>
      <c r="TCQ93" s="491"/>
      <c r="TCR93" s="491"/>
      <c r="TCS93" s="491"/>
      <c r="TCT93" s="491"/>
      <c r="TCU93" s="491"/>
      <c r="TCV93" s="491"/>
      <c r="TCW93" s="491"/>
      <c r="TCX93" s="491"/>
      <c r="TCY93" s="491"/>
      <c r="TCZ93" s="491"/>
      <c r="TDA93" s="491"/>
      <c r="TDB93" s="491"/>
      <c r="TDC93" s="491"/>
      <c r="TDD93" s="491"/>
      <c r="TDE93" s="491"/>
      <c r="TDF93" s="491"/>
      <c r="TDG93" s="491"/>
      <c r="TDH93" s="491"/>
      <c r="TDI93" s="491"/>
      <c r="TDJ93" s="491"/>
      <c r="TDK93" s="491"/>
      <c r="TDL93" s="492"/>
      <c r="TDM93" s="492"/>
      <c r="TDN93" s="492"/>
      <c r="TDO93" s="492"/>
      <c r="TDP93" s="493"/>
      <c r="TDQ93" s="493"/>
      <c r="TDR93" s="192"/>
      <c r="TDS93" s="489"/>
      <c r="TDT93" s="489"/>
      <c r="TDU93" s="490"/>
      <c r="TDV93" s="490"/>
      <c r="TDW93" s="491"/>
      <c r="TDX93" s="491"/>
      <c r="TDY93" s="491"/>
      <c r="TDZ93" s="491"/>
      <c r="TEA93" s="491"/>
      <c r="TEB93" s="491"/>
      <c r="TEC93" s="491"/>
      <c r="TED93" s="491"/>
      <c r="TEE93" s="491"/>
      <c r="TEF93" s="491"/>
      <c r="TEG93" s="491"/>
      <c r="TEH93" s="491"/>
      <c r="TEI93" s="491"/>
      <c r="TEJ93" s="491"/>
      <c r="TEK93" s="491"/>
      <c r="TEL93" s="491"/>
      <c r="TEM93" s="491"/>
      <c r="TEN93" s="491"/>
      <c r="TEO93" s="491"/>
      <c r="TEP93" s="491"/>
      <c r="TEQ93" s="491"/>
      <c r="TER93" s="491"/>
      <c r="TES93" s="491"/>
      <c r="TET93" s="491"/>
      <c r="TEU93" s="491"/>
      <c r="TEV93" s="491"/>
      <c r="TEW93" s="491"/>
      <c r="TEX93" s="491"/>
      <c r="TEY93" s="491"/>
      <c r="TEZ93" s="491"/>
      <c r="TFA93" s="491"/>
      <c r="TFB93" s="491"/>
      <c r="TFC93" s="491"/>
      <c r="TFD93" s="491"/>
      <c r="TFE93" s="492"/>
      <c r="TFF93" s="492"/>
      <c r="TFG93" s="492"/>
      <c r="TFH93" s="492"/>
      <c r="TFI93" s="493"/>
      <c r="TFJ93" s="493"/>
      <c r="TFK93" s="192"/>
      <c r="TFL93" s="489"/>
      <c r="TFM93" s="489"/>
      <c r="TFN93" s="490"/>
      <c r="TFO93" s="490"/>
      <c r="TFP93" s="491"/>
      <c r="TFQ93" s="491"/>
      <c r="TFR93" s="491"/>
      <c r="TFS93" s="491"/>
      <c r="TFT93" s="491"/>
      <c r="TFU93" s="491"/>
      <c r="TFV93" s="491"/>
      <c r="TFW93" s="491"/>
      <c r="TFX93" s="491"/>
      <c r="TFY93" s="491"/>
      <c r="TFZ93" s="491"/>
      <c r="TGA93" s="491"/>
      <c r="TGB93" s="491"/>
      <c r="TGC93" s="491"/>
      <c r="TGD93" s="491"/>
      <c r="TGE93" s="491"/>
      <c r="TGF93" s="491"/>
      <c r="TGG93" s="491"/>
      <c r="TGH93" s="491"/>
      <c r="TGI93" s="491"/>
      <c r="TGJ93" s="491"/>
      <c r="TGK93" s="491"/>
      <c r="TGL93" s="491"/>
      <c r="TGM93" s="491"/>
      <c r="TGN93" s="491"/>
      <c r="TGO93" s="491"/>
      <c r="TGP93" s="491"/>
      <c r="TGQ93" s="491"/>
      <c r="TGR93" s="491"/>
      <c r="TGS93" s="491"/>
      <c r="TGT93" s="491"/>
      <c r="TGU93" s="491"/>
      <c r="TGV93" s="491"/>
      <c r="TGW93" s="491"/>
      <c r="TGX93" s="492"/>
      <c r="TGY93" s="492"/>
      <c r="TGZ93" s="492"/>
      <c r="THA93" s="492"/>
      <c r="THB93" s="493"/>
      <c r="THC93" s="493"/>
      <c r="THD93" s="192"/>
      <c r="THE93" s="489"/>
      <c r="THF93" s="489"/>
      <c r="THG93" s="490"/>
      <c r="THH93" s="490"/>
      <c r="THI93" s="491"/>
      <c r="THJ93" s="491"/>
      <c r="THK93" s="491"/>
      <c r="THL93" s="491"/>
      <c r="THM93" s="491"/>
      <c r="THN93" s="491"/>
      <c r="THO93" s="491"/>
      <c r="THP93" s="491"/>
      <c r="THQ93" s="491"/>
      <c r="THR93" s="491"/>
      <c r="THS93" s="491"/>
      <c r="THT93" s="491"/>
      <c r="THU93" s="491"/>
      <c r="THV93" s="491"/>
      <c r="THW93" s="491"/>
      <c r="THX93" s="491"/>
      <c r="THY93" s="491"/>
      <c r="THZ93" s="491"/>
      <c r="TIA93" s="491"/>
      <c r="TIB93" s="491"/>
      <c r="TIC93" s="491"/>
      <c r="TID93" s="491"/>
      <c r="TIE93" s="491"/>
      <c r="TIF93" s="491"/>
      <c r="TIG93" s="491"/>
      <c r="TIH93" s="491"/>
      <c r="TII93" s="491"/>
      <c r="TIJ93" s="491"/>
      <c r="TIK93" s="491"/>
      <c r="TIL93" s="491"/>
      <c r="TIM93" s="491"/>
      <c r="TIN93" s="491"/>
      <c r="TIO93" s="491"/>
      <c r="TIP93" s="491"/>
      <c r="TIQ93" s="492"/>
      <c r="TIR93" s="492"/>
      <c r="TIS93" s="492"/>
      <c r="TIT93" s="492"/>
      <c r="TIU93" s="493"/>
      <c r="TIV93" s="493"/>
      <c r="TIW93" s="192"/>
      <c r="TIX93" s="489"/>
      <c r="TIY93" s="489"/>
      <c r="TIZ93" s="490"/>
      <c r="TJA93" s="490"/>
      <c r="TJB93" s="491"/>
      <c r="TJC93" s="491"/>
      <c r="TJD93" s="491"/>
      <c r="TJE93" s="491"/>
      <c r="TJF93" s="491"/>
      <c r="TJG93" s="491"/>
      <c r="TJH93" s="491"/>
      <c r="TJI93" s="491"/>
      <c r="TJJ93" s="491"/>
      <c r="TJK93" s="491"/>
      <c r="TJL93" s="491"/>
      <c r="TJM93" s="491"/>
      <c r="TJN93" s="491"/>
      <c r="TJO93" s="491"/>
      <c r="TJP93" s="491"/>
      <c r="TJQ93" s="491"/>
      <c r="TJR93" s="491"/>
      <c r="TJS93" s="491"/>
      <c r="TJT93" s="491"/>
      <c r="TJU93" s="491"/>
      <c r="TJV93" s="491"/>
      <c r="TJW93" s="491"/>
      <c r="TJX93" s="491"/>
      <c r="TJY93" s="491"/>
      <c r="TJZ93" s="491"/>
      <c r="TKA93" s="491"/>
      <c r="TKB93" s="491"/>
      <c r="TKC93" s="491"/>
      <c r="TKD93" s="491"/>
      <c r="TKE93" s="491"/>
      <c r="TKF93" s="491"/>
      <c r="TKG93" s="491"/>
      <c r="TKH93" s="491"/>
      <c r="TKI93" s="491"/>
      <c r="TKJ93" s="492"/>
      <c r="TKK93" s="492"/>
      <c r="TKL93" s="492"/>
      <c r="TKM93" s="492"/>
      <c r="TKN93" s="493"/>
      <c r="TKO93" s="493"/>
      <c r="TKP93" s="192"/>
      <c r="TKQ93" s="489"/>
      <c r="TKR93" s="489"/>
      <c r="TKS93" s="490"/>
      <c r="TKT93" s="490"/>
      <c r="TKU93" s="491"/>
      <c r="TKV93" s="491"/>
      <c r="TKW93" s="491"/>
      <c r="TKX93" s="491"/>
      <c r="TKY93" s="491"/>
      <c r="TKZ93" s="491"/>
      <c r="TLA93" s="491"/>
      <c r="TLB93" s="491"/>
      <c r="TLC93" s="491"/>
      <c r="TLD93" s="491"/>
      <c r="TLE93" s="491"/>
      <c r="TLF93" s="491"/>
      <c r="TLG93" s="491"/>
      <c r="TLH93" s="491"/>
      <c r="TLI93" s="491"/>
      <c r="TLJ93" s="491"/>
      <c r="TLK93" s="491"/>
      <c r="TLL93" s="491"/>
      <c r="TLM93" s="491"/>
      <c r="TLN93" s="491"/>
      <c r="TLO93" s="491"/>
      <c r="TLP93" s="491"/>
      <c r="TLQ93" s="491"/>
      <c r="TLR93" s="491"/>
      <c r="TLS93" s="491"/>
      <c r="TLT93" s="491"/>
      <c r="TLU93" s="491"/>
      <c r="TLV93" s="491"/>
      <c r="TLW93" s="491"/>
      <c r="TLX93" s="491"/>
      <c r="TLY93" s="491"/>
      <c r="TLZ93" s="491"/>
      <c r="TMA93" s="491"/>
      <c r="TMB93" s="491"/>
      <c r="TMC93" s="492"/>
      <c r="TMD93" s="492"/>
      <c r="TME93" s="492"/>
      <c r="TMF93" s="492"/>
      <c r="TMG93" s="493"/>
      <c r="TMH93" s="493"/>
      <c r="TMI93" s="192"/>
      <c r="TMJ93" s="489"/>
      <c r="TMK93" s="489"/>
      <c r="TML93" s="490"/>
      <c r="TMM93" s="490"/>
      <c r="TMN93" s="491"/>
      <c r="TMO93" s="491"/>
      <c r="TMP93" s="491"/>
      <c r="TMQ93" s="491"/>
      <c r="TMR93" s="491"/>
      <c r="TMS93" s="491"/>
      <c r="TMT93" s="491"/>
      <c r="TMU93" s="491"/>
      <c r="TMV93" s="491"/>
      <c r="TMW93" s="491"/>
      <c r="TMX93" s="491"/>
      <c r="TMY93" s="491"/>
      <c r="TMZ93" s="491"/>
      <c r="TNA93" s="491"/>
      <c r="TNB93" s="491"/>
      <c r="TNC93" s="491"/>
      <c r="TND93" s="491"/>
      <c r="TNE93" s="491"/>
      <c r="TNF93" s="491"/>
      <c r="TNG93" s="491"/>
      <c r="TNH93" s="491"/>
      <c r="TNI93" s="491"/>
      <c r="TNJ93" s="491"/>
      <c r="TNK93" s="491"/>
      <c r="TNL93" s="491"/>
      <c r="TNM93" s="491"/>
      <c r="TNN93" s="491"/>
      <c r="TNO93" s="491"/>
      <c r="TNP93" s="491"/>
      <c r="TNQ93" s="491"/>
      <c r="TNR93" s="491"/>
      <c r="TNS93" s="491"/>
      <c r="TNT93" s="491"/>
      <c r="TNU93" s="491"/>
      <c r="TNV93" s="492"/>
      <c r="TNW93" s="492"/>
      <c r="TNX93" s="492"/>
      <c r="TNY93" s="492"/>
      <c r="TNZ93" s="493"/>
      <c r="TOA93" s="493"/>
      <c r="TOB93" s="192"/>
      <c r="TOC93" s="489"/>
      <c r="TOD93" s="489"/>
      <c r="TOE93" s="490"/>
      <c r="TOF93" s="490"/>
      <c r="TOG93" s="491"/>
      <c r="TOH93" s="491"/>
      <c r="TOI93" s="491"/>
      <c r="TOJ93" s="491"/>
      <c r="TOK93" s="491"/>
      <c r="TOL93" s="491"/>
      <c r="TOM93" s="491"/>
      <c r="TON93" s="491"/>
      <c r="TOO93" s="491"/>
      <c r="TOP93" s="491"/>
      <c r="TOQ93" s="491"/>
      <c r="TOR93" s="491"/>
      <c r="TOS93" s="491"/>
      <c r="TOT93" s="491"/>
      <c r="TOU93" s="491"/>
      <c r="TOV93" s="491"/>
      <c r="TOW93" s="491"/>
      <c r="TOX93" s="491"/>
      <c r="TOY93" s="491"/>
      <c r="TOZ93" s="491"/>
      <c r="TPA93" s="491"/>
      <c r="TPB93" s="491"/>
      <c r="TPC93" s="491"/>
      <c r="TPD93" s="491"/>
      <c r="TPE93" s="491"/>
      <c r="TPF93" s="491"/>
      <c r="TPG93" s="491"/>
      <c r="TPH93" s="491"/>
      <c r="TPI93" s="491"/>
      <c r="TPJ93" s="491"/>
      <c r="TPK93" s="491"/>
      <c r="TPL93" s="491"/>
      <c r="TPM93" s="491"/>
      <c r="TPN93" s="491"/>
      <c r="TPO93" s="492"/>
      <c r="TPP93" s="492"/>
      <c r="TPQ93" s="492"/>
      <c r="TPR93" s="492"/>
      <c r="TPS93" s="493"/>
      <c r="TPT93" s="493"/>
      <c r="TPU93" s="192"/>
      <c r="TPV93" s="489"/>
      <c r="TPW93" s="489"/>
      <c r="TPX93" s="490"/>
      <c r="TPY93" s="490"/>
      <c r="TPZ93" s="491"/>
      <c r="TQA93" s="491"/>
      <c r="TQB93" s="491"/>
      <c r="TQC93" s="491"/>
      <c r="TQD93" s="491"/>
      <c r="TQE93" s="491"/>
      <c r="TQF93" s="491"/>
      <c r="TQG93" s="491"/>
      <c r="TQH93" s="491"/>
      <c r="TQI93" s="491"/>
      <c r="TQJ93" s="491"/>
      <c r="TQK93" s="491"/>
      <c r="TQL93" s="491"/>
      <c r="TQM93" s="491"/>
      <c r="TQN93" s="491"/>
      <c r="TQO93" s="491"/>
      <c r="TQP93" s="491"/>
      <c r="TQQ93" s="491"/>
      <c r="TQR93" s="491"/>
      <c r="TQS93" s="491"/>
      <c r="TQT93" s="491"/>
      <c r="TQU93" s="491"/>
      <c r="TQV93" s="491"/>
      <c r="TQW93" s="491"/>
      <c r="TQX93" s="491"/>
      <c r="TQY93" s="491"/>
      <c r="TQZ93" s="491"/>
      <c r="TRA93" s="491"/>
      <c r="TRB93" s="491"/>
      <c r="TRC93" s="491"/>
      <c r="TRD93" s="491"/>
      <c r="TRE93" s="491"/>
      <c r="TRF93" s="491"/>
      <c r="TRG93" s="491"/>
      <c r="TRH93" s="492"/>
      <c r="TRI93" s="492"/>
      <c r="TRJ93" s="492"/>
      <c r="TRK93" s="492"/>
      <c r="TRL93" s="493"/>
      <c r="TRM93" s="493"/>
      <c r="TRN93" s="192"/>
      <c r="TRO93" s="489"/>
      <c r="TRP93" s="489"/>
      <c r="TRQ93" s="490"/>
      <c r="TRR93" s="490"/>
      <c r="TRS93" s="491"/>
      <c r="TRT93" s="491"/>
      <c r="TRU93" s="491"/>
      <c r="TRV93" s="491"/>
      <c r="TRW93" s="491"/>
      <c r="TRX93" s="491"/>
      <c r="TRY93" s="491"/>
      <c r="TRZ93" s="491"/>
      <c r="TSA93" s="491"/>
      <c r="TSB93" s="491"/>
      <c r="TSC93" s="491"/>
      <c r="TSD93" s="491"/>
      <c r="TSE93" s="491"/>
      <c r="TSF93" s="491"/>
      <c r="TSG93" s="491"/>
      <c r="TSH93" s="491"/>
      <c r="TSI93" s="491"/>
      <c r="TSJ93" s="491"/>
      <c r="TSK93" s="491"/>
      <c r="TSL93" s="491"/>
      <c r="TSM93" s="491"/>
      <c r="TSN93" s="491"/>
      <c r="TSO93" s="491"/>
      <c r="TSP93" s="491"/>
      <c r="TSQ93" s="491"/>
      <c r="TSR93" s="491"/>
      <c r="TSS93" s="491"/>
      <c r="TST93" s="491"/>
      <c r="TSU93" s="491"/>
      <c r="TSV93" s="491"/>
      <c r="TSW93" s="491"/>
      <c r="TSX93" s="491"/>
      <c r="TSY93" s="491"/>
      <c r="TSZ93" s="491"/>
      <c r="TTA93" s="492"/>
      <c r="TTB93" s="492"/>
      <c r="TTC93" s="492"/>
      <c r="TTD93" s="492"/>
      <c r="TTE93" s="493"/>
      <c r="TTF93" s="493"/>
      <c r="TTG93" s="192"/>
      <c r="TTH93" s="489"/>
      <c r="TTI93" s="489"/>
      <c r="TTJ93" s="490"/>
      <c r="TTK93" s="490"/>
      <c r="TTL93" s="491"/>
      <c r="TTM93" s="491"/>
      <c r="TTN93" s="491"/>
      <c r="TTO93" s="491"/>
      <c r="TTP93" s="491"/>
      <c r="TTQ93" s="491"/>
      <c r="TTR93" s="491"/>
      <c r="TTS93" s="491"/>
      <c r="TTT93" s="491"/>
      <c r="TTU93" s="491"/>
      <c r="TTV93" s="491"/>
      <c r="TTW93" s="491"/>
      <c r="TTX93" s="491"/>
      <c r="TTY93" s="491"/>
      <c r="TTZ93" s="491"/>
      <c r="TUA93" s="491"/>
      <c r="TUB93" s="491"/>
      <c r="TUC93" s="491"/>
      <c r="TUD93" s="491"/>
      <c r="TUE93" s="491"/>
      <c r="TUF93" s="491"/>
      <c r="TUG93" s="491"/>
      <c r="TUH93" s="491"/>
      <c r="TUI93" s="491"/>
      <c r="TUJ93" s="491"/>
      <c r="TUK93" s="491"/>
      <c r="TUL93" s="491"/>
      <c r="TUM93" s="491"/>
      <c r="TUN93" s="491"/>
      <c r="TUO93" s="491"/>
      <c r="TUP93" s="491"/>
      <c r="TUQ93" s="491"/>
      <c r="TUR93" s="491"/>
      <c r="TUS93" s="491"/>
      <c r="TUT93" s="492"/>
      <c r="TUU93" s="492"/>
      <c r="TUV93" s="492"/>
      <c r="TUW93" s="492"/>
      <c r="TUX93" s="493"/>
      <c r="TUY93" s="493"/>
      <c r="TUZ93" s="192"/>
      <c r="TVA93" s="489"/>
      <c r="TVB93" s="489"/>
      <c r="TVC93" s="490"/>
      <c r="TVD93" s="490"/>
      <c r="TVE93" s="491"/>
      <c r="TVF93" s="491"/>
      <c r="TVG93" s="491"/>
      <c r="TVH93" s="491"/>
      <c r="TVI93" s="491"/>
      <c r="TVJ93" s="491"/>
      <c r="TVK93" s="491"/>
      <c r="TVL93" s="491"/>
      <c r="TVM93" s="491"/>
      <c r="TVN93" s="491"/>
      <c r="TVO93" s="491"/>
      <c r="TVP93" s="491"/>
      <c r="TVQ93" s="491"/>
      <c r="TVR93" s="491"/>
      <c r="TVS93" s="491"/>
      <c r="TVT93" s="491"/>
      <c r="TVU93" s="491"/>
      <c r="TVV93" s="491"/>
      <c r="TVW93" s="491"/>
      <c r="TVX93" s="491"/>
      <c r="TVY93" s="491"/>
      <c r="TVZ93" s="491"/>
      <c r="TWA93" s="491"/>
      <c r="TWB93" s="491"/>
      <c r="TWC93" s="491"/>
      <c r="TWD93" s="491"/>
      <c r="TWE93" s="491"/>
      <c r="TWF93" s="491"/>
      <c r="TWG93" s="491"/>
      <c r="TWH93" s="491"/>
      <c r="TWI93" s="491"/>
      <c r="TWJ93" s="491"/>
      <c r="TWK93" s="491"/>
      <c r="TWL93" s="491"/>
      <c r="TWM93" s="492"/>
      <c r="TWN93" s="492"/>
      <c r="TWO93" s="492"/>
      <c r="TWP93" s="492"/>
      <c r="TWQ93" s="493"/>
      <c r="TWR93" s="493"/>
      <c r="TWS93" s="192"/>
      <c r="TWT93" s="489"/>
      <c r="TWU93" s="489"/>
      <c r="TWV93" s="490"/>
      <c r="TWW93" s="490"/>
      <c r="TWX93" s="491"/>
      <c r="TWY93" s="491"/>
      <c r="TWZ93" s="491"/>
      <c r="TXA93" s="491"/>
      <c r="TXB93" s="491"/>
      <c r="TXC93" s="491"/>
      <c r="TXD93" s="491"/>
      <c r="TXE93" s="491"/>
      <c r="TXF93" s="491"/>
      <c r="TXG93" s="491"/>
      <c r="TXH93" s="491"/>
      <c r="TXI93" s="491"/>
      <c r="TXJ93" s="491"/>
      <c r="TXK93" s="491"/>
      <c r="TXL93" s="491"/>
      <c r="TXM93" s="491"/>
      <c r="TXN93" s="491"/>
      <c r="TXO93" s="491"/>
      <c r="TXP93" s="491"/>
      <c r="TXQ93" s="491"/>
      <c r="TXR93" s="491"/>
      <c r="TXS93" s="491"/>
      <c r="TXT93" s="491"/>
      <c r="TXU93" s="491"/>
      <c r="TXV93" s="491"/>
      <c r="TXW93" s="491"/>
      <c r="TXX93" s="491"/>
      <c r="TXY93" s="491"/>
      <c r="TXZ93" s="491"/>
      <c r="TYA93" s="491"/>
      <c r="TYB93" s="491"/>
      <c r="TYC93" s="491"/>
      <c r="TYD93" s="491"/>
      <c r="TYE93" s="491"/>
      <c r="TYF93" s="492"/>
      <c r="TYG93" s="492"/>
      <c r="TYH93" s="492"/>
      <c r="TYI93" s="492"/>
      <c r="TYJ93" s="493"/>
      <c r="TYK93" s="493"/>
      <c r="TYL93" s="192"/>
      <c r="TYM93" s="489"/>
      <c r="TYN93" s="489"/>
      <c r="TYO93" s="490"/>
      <c r="TYP93" s="490"/>
      <c r="TYQ93" s="491"/>
      <c r="TYR93" s="491"/>
      <c r="TYS93" s="491"/>
      <c r="TYT93" s="491"/>
      <c r="TYU93" s="491"/>
      <c r="TYV93" s="491"/>
      <c r="TYW93" s="491"/>
      <c r="TYX93" s="491"/>
      <c r="TYY93" s="491"/>
      <c r="TYZ93" s="491"/>
      <c r="TZA93" s="491"/>
      <c r="TZB93" s="491"/>
      <c r="TZC93" s="491"/>
      <c r="TZD93" s="491"/>
      <c r="TZE93" s="491"/>
      <c r="TZF93" s="491"/>
      <c r="TZG93" s="491"/>
      <c r="TZH93" s="491"/>
      <c r="TZI93" s="491"/>
      <c r="TZJ93" s="491"/>
      <c r="TZK93" s="491"/>
      <c r="TZL93" s="491"/>
      <c r="TZM93" s="491"/>
      <c r="TZN93" s="491"/>
      <c r="TZO93" s="491"/>
      <c r="TZP93" s="491"/>
      <c r="TZQ93" s="491"/>
      <c r="TZR93" s="491"/>
      <c r="TZS93" s="491"/>
      <c r="TZT93" s="491"/>
      <c r="TZU93" s="491"/>
      <c r="TZV93" s="491"/>
      <c r="TZW93" s="491"/>
      <c r="TZX93" s="491"/>
      <c r="TZY93" s="492"/>
      <c r="TZZ93" s="492"/>
      <c r="UAA93" s="492"/>
      <c r="UAB93" s="492"/>
      <c r="UAC93" s="493"/>
      <c r="UAD93" s="493"/>
      <c r="UAE93" s="192"/>
      <c r="UAF93" s="489"/>
      <c r="UAG93" s="489"/>
      <c r="UAH93" s="490"/>
      <c r="UAI93" s="490"/>
      <c r="UAJ93" s="491"/>
      <c r="UAK93" s="491"/>
      <c r="UAL93" s="491"/>
      <c r="UAM93" s="491"/>
      <c r="UAN93" s="491"/>
      <c r="UAO93" s="491"/>
      <c r="UAP93" s="491"/>
      <c r="UAQ93" s="491"/>
      <c r="UAR93" s="491"/>
      <c r="UAS93" s="491"/>
      <c r="UAT93" s="491"/>
      <c r="UAU93" s="491"/>
      <c r="UAV93" s="491"/>
      <c r="UAW93" s="491"/>
      <c r="UAX93" s="491"/>
      <c r="UAY93" s="491"/>
      <c r="UAZ93" s="491"/>
      <c r="UBA93" s="491"/>
      <c r="UBB93" s="491"/>
      <c r="UBC93" s="491"/>
      <c r="UBD93" s="491"/>
      <c r="UBE93" s="491"/>
      <c r="UBF93" s="491"/>
      <c r="UBG93" s="491"/>
      <c r="UBH93" s="491"/>
      <c r="UBI93" s="491"/>
      <c r="UBJ93" s="491"/>
      <c r="UBK93" s="491"/>
      <c r="UBL93" s="491"/>
      <c r="UBM93" s="491"/>
      <c r="UBN93" s="491"/>
      <c r="UBO93" s="491"/>
      <c r="UBP93" s="491"/>
      <c r="UBQ93" s="491"/>
      <c r="UBR93" s="492"/>
      <c r="UBS93" s="492"/>
      <c r="UBT93" s="492"/>
      <c r="UBU93" s="492"/>
      <c r="UBV93" s="493"/>
      <c r="UBW93" s="493"/>
      <c r="UBX93" s="192"/>
      <c r="UBY93" s="489"/>
      <c r="UBZ93" s="489"/>
      <c r="UCA93" s="490"/>
      <c r="UCB93" s="490"/>
      <c r="UCC93" s="491"/>
      <c r="UCD93" s="491"/>
      <c r="UCE93" s="491"/>
      <c r="UCF93" s="491"/>
      <c r="UCG93" s="491"/>
      <c r="UCH93" s="491"/>
      <c r="UCI93" s="491"/>
      <c r="UCJ93" s="491"/>
      <c r="UCK93" s="491"/>
      <c r="UCL93" s="491"/>
      <c r="UCM93" s="491"/>
      <c r="UCN93" s="491"/>
      <c r="UCO93" s="491"/>
      <c r="UCP93" s="491"/>
      <c r="UCQ93" s="491"/>
      <c r="UCR93" s="491"/>
      <c r="UCS93" s="491"/>
      <c r="UCT93" s="491"/>
      <c r="UCU93" s="491"/>
      <c r="UCV93" s="491"/>
      <c r="UCW93" s="491"/>
      <c r="UCX93" s="491"/>
      <c r="UCY93" s="491"/>
      <c r="UCZ93" s="491"/>
      <c r="UDA93" s="491"/>
      <c r="UDB93" s="491"/>
      <c r="UDC93" s="491"/>
      <c r="UDD93" s="491"/>
      <c r="UDE93" s="491"/>
      <c r="UDF93" s="491"/>
      <c r="UDG93" s="491"/>
      <c r="UDH93" s="491"/>
      <c r="UDI93" s="491"/>
      <c r="UDJ93" s="491"/>
      <c r="UDK93" s="492"/>
      <c r="UDL93" s="492"/>
      <c r="UDM93" s="492"/>
      <c r="UDN93" s="492"/>
      <c r="UDO93" s="493"/>
      <c r="UDP93" s="493"/>
      <c r="UDQ93" s="192"/>
      <c r="UDR93" s="489"/>
      <c r="UDS93" s="489"/>
      <c r="UDT93" s="490"/>
      <c r="UDU93" s="490"/>
      <c r="UDV93" s="491"/>
      <c r="UDW93" s="491"/>
      <c r="UDX93" s="491"/>
      <c r="UDY93" s="491"/>
      <c r="UDZ93" s="491"/>
      <c r="UEA93" s="491"/>
      <c r="UEB93" s="491"/>
      <c r="UEC93" s="491"/>
      <c r="UED93" s="491"/>
      <c r="UEE93" s="491"/>
      <c r="UEF93" s="491"/>
      <c r="UEG93" s="491"/>
      <c r="UEH93" s="491"/>
      <c r="UEI93" s="491"/>
      <c r="UEJ93" s="491"/>
      <c r="UEK93" s="491"/>
      <c r="UEL93" s="491"/>
      <c r="UEM93" s="491"/>
      <c r="UEN93" s="491"/>
      <c r="UEO93" s="491"/>
      <c r="UEP93" s="491"/>
      <c r="UEQ93" s="491"/>
      <c r="UER93" s="491"/>
      <c r="UES93" s="491"/>
      <c r="UET93" s="491"/>
      <c r="UEU93" s="491"/>
      <c r="UEV93" s="491"/>
      <c r="UEW93" s="491"/>
      <c r="UEX93" s="491"/>
      <c r="UEY93" s="491"/>
      <c r="UEZ93" s="491"/>
      <c r="UFA93" s="491"/>
      <c r="UFB93" s="491"/>
      <c r="UFC93" s="491"/>
      <c r="UFD93" s="492"/>
      <c r="UFE93" s="492"/>
      <c r="UFF93" s="492"/>
      <c r="UFG93" s="492"/>
      <c r="UFH93" s="493"/>
      <c r="UFI93" s="493"/>
      <c r="UFJ93" s="192"/>
      <c r="UFK93" s="489"/>
      <c r="UFL93" s="489"/>
      <c r="UFM93" s="490"/>
      <c r="UFN93" s="490"/>
      <c r="UFO93" s="491"/>
      <c r="UFP93" s="491"/>
      <c r="UFQ93" s="491"/>
      <c r="UFR93" s="491"/>
      <c r="UFS93" s="491"/>
      <c r="UFT93" s="491"/>
      <c r="UFU93" s="491"/>
      <c r="UFV93" s="491"/>
      <c r="UFW93" s="491"/>
      <c r="UFX93" s="491"/>
      <c r="UFY93" s="491"/>
      <c r="UFZ93" s="491"/>
      <c r="UGA93" s="491"/>
      <c r="UGB93" s="491"/>
      <c r="UGC93" s="491"/>
      <c r="UGD93" s="491"/>
      <c r="UGE93" s="491"/>
      <c r="UGF93" s="491"/>
      <c r="UGG93" s="491"/>
      <c r="UGH93" s="491"/>
      <c r="UGI93" s="491"/>
      <c r="UGJ93" s="491"/>
      <c r="UGK93" s="491"/>
      <c r="UGL93" s="491"/>
      <c r="UGM93" s="491"/>
      <c r="UGN93" s="491"/>
      <c r="UGO93" s="491"/>
      <c r="UGP93" s="491"/>
      <c r="UGQ93" s="491"/>
      <c r="UGR93" s="491"/>
      <c r="UGS93" s="491"/>
      <c r="UGT93" s="491"/>
      <c r="UGU93" s="491"/>
      <c r="UGV93" s="491"/>
      <c r="UGW93" s="492"/>
      <c r="UGX93" s="492"/>
      <c r="UGY93" s="492"/>
      <c r="UGZ93" s="492"/>
      <c r="UHA93" s="493"/>
      <c r="UHB93" s="493"/>
      <c r="UHC93" s="192"/>
      <c r="UHD93" s="489"/>
      <c r="UHE93" s="489"/>
      <c r="UHF93" s="490"/>
      <c r="UHG93" s="490"/>
      <c r="UHH93" s="491"/>
      <c r="UHI93" s="491"/>
      <c r="UHJ93" s="491"/>
      <c r="UHK93" s="491"/>
      <c r="UHL93" s="491"/>
      <c r="UHM93" s="491"/>
      <c r="UHN93" s="491"/>
      <c r="UHO93" s="491"/>
      <c r="UHP93" s="491"/>
      <c r="UHQ93" s="491"/>
      <c r="UHR93" s="491"/>
      <c r="UHS93" s="491"/>
      <c r="UHT93" s="491"/>
      <c r="UHU93" s="491"/>
      <c r="UHV93" s="491"/>
      <c r="UHW93" s="491"/>
      <c r="UHX93" s="491"/>
      <c r="UHY93" s="491"/>
      <c r="UHZ93" s="491"/>
      <c r="UIA93" s="491"/>
      <c r="UIB93" s="491"/>
      <c r="UIC93" s="491"/>
      <c r="UID93" s="491"/>
      <c r="UIE93" s="491"/>
      <c r="UIF93" s="491"/>
      <c r="UIG93" s="491"/>
      <c r="UIH93" s="491"/>
      <c r="UII93" s="491"/>
      <c r="UIJ93" s="491"/>
      <c r="UIK93" s="491"/>
      <c r="UIL93" s="491"/>
      <c r="UIM93" s="491"/>
      <c r="UIN93" s="491"/>
      <c r="UIO93" s="491"/>
      <c r="UIP93" s="492"/>
      <c r="UIQ93" s="492"/>
      <c r="UIR93" s="492"/>
      <c r="UIS93" s="492"/>
      <c r="UIT93" s="493"/>
      <c r="UIU93" s="493"/>
      <c r="UIV93" s="192"/>
      <c r="UIW93" s="489"/>
      <c r="UIX93" s="489"/>
      <c r="UIY93" s="490"/>
      <c r="UIZ93" s="490"/>
      <c r="UJA93" s="491"/>
      <c r="UJB93" s="491"/>
      <c r="UJC93" s="491"/>
      <c r="UJD93" s="491"/>
      <c r="UJE93" s="491"/>
      <c r="UJF93" s="491"/>
      <c r="UJG93" s="491"/>
      <c r="UJH93" s="491"/>
      <c r="UJI93" s="491"/>
      <c r="UJJ93" s="491"/>
      <c r="UJK93" s="491"/>
      <c r="UJL93" s="491"/>
      <c r="UJM93" s="491"/>
      <c r="UJN93" s="491"/>
      <c r="UJO93" s="491"/>
      <c r="UJP93" s="491"/>
      <c r="UJQ93" s="491"/>
      <c r="UJR93" s="491"/>
      <c r="UJS93" s="491"/>
      <c r="UJT93" s="491"/>
      <c r="UJU93" s="491"/>
      <c r="UJV93" s="491"/>
      <c r="UJW93" s="491"/>
      <c r="UJX93" s="491"/>
      <c r="UJY93" s="491"/>
      <c r="UJZ93" s="491"/>
      <c r="UKA93" s="491"/>
      <c r="UKB93" s="491"/>
      <c r="UKC93" s="491"/>
      <c r="UKD93" s="491"/>
      <c r="UKE93" s="491"/>
      <c r="UKF93" s="491"/>
      <c r="UKG93" s="491"/>
      <c r="UKH93" s="491"/>
      <c r="UKI93" s="492"/>
      <c r="UKJ93" s="492"/>
      <c r="UKK93" s="492"/>
      <c r="UKL93" s="492"/>
      <c r="UKM93" s="493"/>
      <c r="UKN93" s="493"/>
      <c r="UKO93" s="192"/>
      <c r="UKP93" s="489"/>
      <c r="UKQ93" s="489"/>
      <c r="UKR93" s="490"/>
      <c r="UKS93" s="490"/>
      <c r="UKT93" s="491"/>
      <c r="UKU93" s="491"/>
      <c r="UKV93" s="491"/>
      <c r="UKW93" s="491"/>
      <c r="UKX93" s="491"/>
      <c r="UKY93" s="491"/>
      <c r="UKZ93" s="491"/>
      <c r="ULA93" s="491"/>
      <c r="ULB93" s="491"/>
      <c r="ULC93" s="491"/>
      <c r="ULD93" s="491"/>
      <c r="ULE93" s="491"/>
      <c r="ULF93" s="491"/>
      <c r="ULG93" s="491"/>
      <c r="ULH93" s="491"/>
      <c r="ULI93" s="491"/>
      <c r="ULJ93" s="491"/>
      <c r="ULK93" s="491"/>
      <c r="ULL93" s="491"/>
      <c r="ULM93" s="491"/>
      <c r="ULN93" s="491"/>
      <c r="ULO93" s="491"/>
      <c r="ULP93" s="491"/>
      <c r="ULQ93" s="491"/>
      <c r="ULR93" s="491"/>
      <c r="ULS93" s="491"/>
      <c r="ULT93" s="491"/>
      <c r="ULU93" s="491"/>
      <c r="ULV93" s="491"/>
      <c r="ULW93" s="491"/>
      <c r="ULX93" s="491"/>
      <c r="ULY93" s="491"/>
      <c r="ULZ93" s="491"/>
      <c r="UMA93" s="491"/>
      <c r="UMB93" s="492"/>
      <c r="UMC93" s="492"/>
      <c r="UMD93" s="492"/>
      <c r="UME93" s="492"/>
      <c r="UMF93" s="493"/>
      <c r="UMG93" s="493"/>
      <c r="UMH93" s="192"/>
      <c r="UMI93" s="489"/>
      <c r="UMJ93" s="489"/>
      <c r="UMK93" s="490"/>
      <c r="UML93" s="490"/>
      <c r="UMM93" s="491"/>
      <c r="UMN93" s="491"/>
      <c r="UMO93" s="491"/>
      <c r="UMP93" s="491"/>
      <c r="UMQ93" s="491"/>
      <c r="UMR93" s="491"/>
      <c r="UMS93" s="491"/>
      <c r="UMT93" s="491"/>
      <c r="UMU93" s="491"/>
      <c r="UMV93" s="491"/>
      <c r="UMW93" s="491"/>
      <c r="UMX93" s="491"/>
      <c r="UMY93" s="491"/>
      <c r="UMZ93" s="491"/>
      <c r="UNA93" s="491"/>
      <c r="UNB93" s="491"/>
      <c r="UNC93" s="491"/>
      <c r="UND93" s="491"/>
      <c r="UNE93" s="491"/>
      <c r="UNF93" s="491"/>
      <c r="UNG93" s="491"/>
      <c r="UNH93" s="491"/>
      <c r="UNI93" s="491"/>
      <c r="UNJ93" s="491"/>
      <c r="UNK93" s="491"/>
      <c r="UNL93" s="491"/>
      <c r="UNM93" s="491"/>
      <c r="UNN93" s="491"/>
      <c r="UNO93" s="491"/>
      <c r="UNP93" s="491"/>
      <c r="UNQ93" s="491"/>
      <c r="UNR93" s="491"/>
      <c r="UNS93" s="491"/>
      <c r="UNT93" s="491"/>
      <c r="UNU93" s="492"/>
      <c r="UNV93" s="492"/>
      <c r="UNW93" s="492"/>
      <c r="UNX93" s="492"/>
      <c r="UNY93" s="493"/>
      <c r="UNZ93" s="493"/>
      <c r="UOA93" s="192"/>
      <c r="UOB93" s="489"/>
      <c r="UOC93" s="489"/>
      <c r="UOD93" s="490"/>
      <c r="UOE93" s="490"/>
      <c r="UOF93" s="491"/>
      <c r="UOG93" s="491"/>
      <c r="UOH93" s="491"/>
      <c r="UOI93" s="491"/>
      <c r="UOJ93" s="491"/>
      <c r="UOK93" s="491"/>
      <c r="UOL93" s="491"/>
      <c r="UOM93" s="491"/>
      <c r="UON93" s="491"/>
      <c r="UOO93" s="491"/>
      <c r="UOP93" s="491"/>
      <c r="UOQ93" s="491"/>
      <c r="UOR93" s="491"/>
      <c r="UOS93" s="491"/>
      <c r="UOT93" s="491"/>
      <c r="UOU93" s="491"/>
      <c r="UOV93" s="491"/>
      <c r="UOW93" s="491"/>
      <c r="UOX93" s="491"/>
      <c r="UOY93" s="491"/>
      <c r="UOZ93" s="491"/>
      <c r="UPA93" s="491"/>
      <c r="UPB93" s="491"/>
      <c r="UPC93" s="491"/>
      <c r="UPD93" s="491"/>
      <c r="UPE93" s="491"/>
      <c r="UPF93" s="491"/>
      <c r="UPG93" s="491"/>
      <c r="UPH93" s="491"/>
      <c r="UPI93" s="491"/>
      <c r="UPJ93" s="491"/>
      <c r="UPK93" s="491"/>
      <c r="UPL93" s="491"/>
      <c r="UPM93" s="491"/>
      <c r="UPN93" s="492"/>
      <c r="UPO93" s="492"/>
      <c r="UPP93" s="492"/>
      <c r="UPQ93" s="492"/>
      <c r="UPR93" s="493"/>
      <c r="UPS93" s="493"/>
      <c r="UPT93" s="192"/>
      <c r="UPU93" s="489"/>
      <c r="UPV93" s="489"/>
      <c r="UPW93" s="490"/>
      <c r="UPX93" s="490"/>
      <c r="UPY93" s="491"/>
      <c r="UPZ93" s="491"/>
      <c r="UQA93" s="491"/>
      <c r="UQB93" s="491"/>
      <c r="UQC93" s="491"/>
      <c r="UQD93" s="491"/>
      <c r="UQE93" s="491"/>
      <c r="UQF93" s="491"/>
      <c r="UQG93" s="491"/>
      <c r="UQH93" s="491"/>
      <c r="UQI93" s="491"/>
      <c r="UQJ93" s="491"/>
      <c r="UQK93" s="491"/>
      <c r="UQL93" s="491"/>
      <c r="UQM93" s="491"/>
      <c r="UQN93" s="491"/>
      <c r="UQO93" s="491"/>
      <c r="UQP93" s="491"/>
      <c r="UQQ93" s="491"/>
      <c r="UQR93" s="491"/>
      <c r="UQS93" s="491"/>
      <c r="UQT93" s="491"/>
      <c r="UQU93" s="491"/>
      <c r="UQV93" s="491"/>
      <c r="UQW93" s="491"/>
      <c r="UQX93" s="491"/>
      <c r="UQY93" s="491"/>
      <c r="UQZ93" s="491"/>
      <c r="URA93" s="491"/>
      <c r="URB93" s="491"/>
      <c r="URC93" s="491"/>
      <c r="URD93" s="491"/>
      <c r="URE93" s="491"/>
      <c r="URF93" s="491"/>
      <c r="URG93" s="492"/>
      <c r="URH93" s="492"/>
      <c r="URI93" s="492"/>
      <c r="URJ93" s="492"/>
      <c r="URK93" s="493"/>
      <c r="URL93" s="493"/>
      <c r="URM93" s="192"/>
      <c r="URN93" s="489"/>
      <c r="URO93" s="489"/>
      <c r="URP93" s="490"/>
      <c r="URQ93" s="490"/>
      <c r="URR93" s="491"/>
      <c r="URS93" s="491"/>
      <c r="URT93" s="491"/>
      <c r="URU93" s="491"/>
      <c r="URV93" s="491"/>
      <c r="URW93" s="491"/>
      <c r="URX93" s="491"/>
      <c r="URY93" s="491"/>
      <c r="URZ93" s="491"/>
      <c r="USA93" s="491"/>
      <c r="USB93" s="491"/>
      <c r="USC93" s="491"/>
      <c r="USD93" s="491"/>
      <c r="USE93" s="491"/>
      <c r="USF93" s="491"/>
      <c r="USG93" s="491"/>
      <c r="USH93" s="491"/>
      <c r="USI93" s="491"/>
      <c r="USJ93" s="491"/>
      <c r="USK93" s="491"/>
      <c r="USL93" s="491"/>
      <c r="USM93" s="491"/>
      <c r="USN93" s="491"/>
      <c r="USO93" s="491"/>
      <c r="USP93" s="491"/>
      <c r="USQ93" s="491"/>
      <c r="USR93" s="491"/>
      <c r="USS93" s="491"/>
      <c r="UST93" s="491"/>
      <c r="USU93" s="491"/>
      <c r="USV93" s="491"/>
      <c r="USW93" s="491"/>
      <c r="USX93" s="491"/>
      <c r="USY93" s="491"/>
      <c r="USZ93" s="492"/>
      <c r="UTA93" s="492"/>
      <c r="UTB93" s="492"/>
      <c r="UTC93" s="492"/>
      <c r="UTD93" s="493"/>
      <c r="UTE93" s="493"/>
      <c r="UTF93" s="192"/>
      <c r="UTG93" s="489"/>
      <c r="UTH93" s="489"/>
      <c r="UTI93" s="490"/>
      <c r="UTJ93" s="490"/>
      <c r="UTK93" s="491"/>
      <c r="UTL93" s="491"/>
      <c r="UTM93" s="491"/>
      <c r="UTN93" s="491"/>
      <c r="UTO93" s="491"/>
      <c r="UTP93" s="491"/>
      <c r="UTQ93" s="491"/>
      <c r="UTR93" s="491"/>
      <c r="UTS93" s="491"/>
      <c r="UTT93" s="491"/>
      <c r="UTU93" s="491"/>
      <c r="UTV93" s="491"/>
      <c r="UTW93" s="491"/>
      <c r="UTX93" s="491"/>
      <c r="UTY93" s="491"/>
      <c r="UTZ93" s="491"/>
      <c r="UUA93" s="491"/>
      <c r="UUB93" s="491"/>
      <c r="UUC93" s="491"/>
      <c r="UUD93" s="491"/>
      <c r="UUE93" s="491"/>
      <c r="UUF93" s="491"/>
      <c r="UUG93" s="491"/>
      <c r="UUH93" s="491"/>
      <c r="UUI93" s="491"/>
      <c r="UUJ93" s="491"/>
      <c r="UUK93" s="491"/>
      <c r="UUL93" s="491"/>
      <c r="UUM93" s="491"/>
      <c r="UUN93" s="491"/>
      <c r="UUO93" s="491"/>
      <c r="UUP93" s="491"/>
      <c r="UUQ93" s="491"/>
      <c r="UUR93" s="491"/>
      <c r="UUS93" s="492"/>
      <c r="UUT93" s="492"/>
      <c r="UUU93" s="492"/>
      <c r="UUV93" s="492"/>
      <c r="UUW93" s="493"/>
      <c r="UUX93" s="493"/>
      <c r="UUY93" s="192"/>
      <c r="UUZ93" s="489"/>
      <c r="UVA93" s="489"/>
      <c r="UVB93" s="490"/>
      <c r="UVC93" s="490"/>
      <c r="UVD93" s="491"/>
      <c r="UVE93" s="491"/>
      <c r="UVF93" s="491"/>
      <c r="UVG93" s="491"/>
      <c r="UVH93" s="491"/>
      <c r="UVI93" s="491"/>
      <c r="UVJ93" s="491"/>
      <c r="UVK93" s="491"/>
      <c r="UVL93" s="491"/>
      <c r="UVM93" s="491"/>
      <c r="UVN93" s="491"/>
      <c r="UVO93" s="491"/>
      <c r="UVP93" s="491"/>
      <c r="UVQ93" s="491"/>
      <c r="UVR93" s="491"/>
      <c r="UVS93" s="491"/>
      <c r="UVT93" s="491"/>
      <c r="UVU93" s="491"/>
      <c r="UVV93" s="491"/>
      <c r="UVW93" s="491"/>
      <c r="UVX93" s="491"/>
      <c r="UVY93" s="491"/>
      <c r="UVZ93" s="491"/>
      <c r="UWA93" s="491"/>
      <c r="UWB93" s="491"/>
      <c r="UWC93" s="491"/>
      <c r="UWD93" s="491"/>
      <c r="UWE93" s="491"/>
      <c r="UWF93" s="491"/>
      <c r="UWG93" s="491"/>
      <c r="UWH93" s="491"/>
      <c r="UWI93" s="491"/>
      <c r="UWJ93" s="491"/>
      <c r="UWK93" s="491"/>
      <c r="UWL93" s="492"/>
      <c r="UWM93" s="492"/>
      <c r="UWN93" s="492"/>
      <c r="UWO93" s="492"/>
      <c r="UWP93" s="493"/>
      <c r="UWQ93" s="493"/>
      <c r="UWR93" s="192"/>
      <c r="UWS93" s="489"/>
      <c r="UWT93" s="489"/>
      <c r="UWU93" s="490"/>
      <c r="UWV93" s="490"/>
      <c r="UWW93" s="491"/>
      <c r="UWX93" s="491"/>
      <c r="UWY93" s="491"/>
      <c r="UWZ93" s="491"/>
      <c r="UXA93" s="491"/>
      <c r="UXB93" s="491"/>
      <c r="UXC93" s="491"/>
      <c r="UXD93" s="491"/>
      <c r="UXE93" s="491"/>
      <c r="UXF93" s="491"/>
      <c r="UXG93" s="491"/>
      <c r="UXH93" s="491"/>
      <c r="UXI93" s="491"/>
      <c r="UXJ93" s="491"/>
      <c r="UXK93" s="491"/>
      <c r="UXL93" s="491"/>
      <c r="UXM93" s="491"/>
      <c r="UXN93" s="491"/>
      <c r="UXO93" s="491"/>
      <c r="UXP93" s="491"/>
      <c r="UXQ93" s="491"/>
      <c r="UXR93" s="491"/>
      <c r="UXS93" s="491"/>
      <c r="UXT93" s="491"/>
      <c r="UXU93" s="491"/>
      <c r="UXV93" s="491"/>
      <c r="UXW93" s="491"/>
      <c r="UXX93" s="491"/>
      <c r="UXY93" s="491"/>
      <c r="UXZ93" s="491"/>
      <c r="UYA93" s="491"/>
      <c r="UYB93" s="491"/>
      <c r="UYC93" s="491"/>
      <c r="UYD93" s="491"/>
      <c r="UYE93" s="492"/>
      <c r="UYF93" s="492"/>
      <c r="UYG93" s="492"/>
      <c r="UYH93" s="492"/>
      <c r="UYI93" s="493"/>
      <c r="UYJ93" s="493"/>
      <c r="UYK93" s="192"/>
      <c r="UYL93" s="489"/>
      <c r="UYM93" s="489"/>
      <c r="UYN93" s="490"/>
      <c r="UYO93" s="490"/>
      <c r="UYP93" s="491"/>
      <c r="UYQ93" s="491"/>
      <c r="UYR93" s="491"/>
      <c r="UYS93" s="491"/>
      <c r="UYT93" s="491"/>
      <c r="UYU93" s="491"/>
      <c r="UYV93" s="491"/>
      <c r="UYW93" s="491"/>
      <c r="UYX93" s="491"/>
      <c r="UYY93" s="491"/>
      <c r="UYZ93" s="491"/>
      <c r="UZA93" s="491"/>
      <c r="UZB93" s="491"/>
      <c r="UZC93" s="491"/>
      <c r="UZD93" s="491"/>
      <c r="UZE93" s="491"/>
      <c r="UZF93" s="491"/>
      <c r="UZG93" s="491"/>
      <c r="UZH93" s="491"/>
      <c r="UZI93" s="491"/>
      <c r="UZJ93" s="491"/>
      <c r="UZK93" s="491"/>
      <c r="UZL93" s="491"/>
      <c r="UZM93" s="491"/>
      <c r="UZN93" s="491"/>
      <c r="UZO93" s="491"/>
      <c r="UZP93" s="491"/>
      <c r="UZQ93" s="491"/>
      <c r="UZR93" s="491"/>
      <c r="UZS93" s="491"/>
      <c r="UZT93" s="491"/>
      <c r="UZU93" s="491"/>
      <c r="UZV93" s="491"/>
      <c r="UZW93" s="491"/>
      <c r="UZX93" s="492"/>
      <c r="UZY93" s="492"/>
      <c r="UZZ93" s="492"/>
      <c r="VAA93" s="492"/>
      <c r="VAB93" s="493"/>
      <c r="VAC93" s="493"/>
      <c r="VAD93" s="192"/>
      <c r="VAE93" s="489"/>
      <c r="VAF93" s="489"/>
      <c r="VAG93" s="490"/>
      <c r="VAH93" s="490"/>
      <c r="VAI93" s="491"/>
      <c r="VAJ93" s="491"/>
      <c r="VAK93" s="491"/>
      <c r="VAL93" s="491"/>
      <c r="VAM93" s="491"/>
      <c r="VAN93" s="491"/>
      <c r="VAO93" s="491"/>
      <c r="VAP93" s="491"/>
      <c r="VAQ93" s="491"/>
      <c r="VAR93" s="491"/>
      <c r="VAS93" s="491"/>
      <c r="VAT93" s="491"/>
      <c r="VAU93" s="491"/>
      <c r="VAV93" s="491"/>
      <c r="VAW93" s="491"/>
      <c r="VAX93" s="491"/>
      <c r="VAY93" s="491"/>
      <c r="VAZ93" s="491"/>
      <c r="VBA93" s="491"/>
      <c r="VBB93" s="491"/>
      <c r="VBC93" s="491"/>
      <c r="VBD93" s="491"/>
      <c r="VBE93" s="491"/>
      <c r="VBF93" s="491"/>
      <c r="VBG93" s="491"/>
      <c r="VBH93" s="491"/>
      <c r="VBI93" s="491"/>
      <c r="VBJ93" s="491"/>
      <c r="VBK93" s="491"/>
      <c r="VBL93" s="491"/>
      <c r="VBM93" s="491"/>
      <c r="VBN93" s="491"/>
      <c r="VBO93" s="491"/>
      <c r="VBP93" s="491"/>
      <c r="VBQ93" s="492"/>
      <c r="VBR93" s="492"/>
      <c r="VBS93" s="492"/>
      <c r="VBT93" s="492"/>
      <c r="VBU93" s="493"/>
      <c r="VBV93" s="493"/>
      <c r="VBW93" s="192"/>
      <c r="VBX93" s="489"/>
      <c r="VBY93" s="489"/>
      <c r="VBZ93" s="490"/>
      <c r="VCA93" s="490"/>
      <c r="VCB93" s="491"/>
      <c r="VCC93" s="491"/>
      <c r="VCD93" s="491"/>
      <c r="VCE93" s="491"/>
      <c r="VCF93" s="491"/>
      <c r="VCG93" s="491"/>
      <c r="VCH93" s="491"/>
      <c r="VCI93" s="491"/>
      <c r="VCJ93" s="491"/>
      <c r="VCK93" s="491"/>
      <c r="VCL93" s="491"/>
      <c r="VCM93" s="491"/>
      <c r="VCN93" s="491"/>
      <c r="VCO93" s="491"/>
      <c r="VCP93" s="491"/>
      <c r="VCQ93" s="491"/>
      <c r="VCR93" s="491"/>
      <c r="VCS93" s="491"/>
      <c r="VCT93" s="491"/>
      <c r="VCU93" s="491"/>
      <c r="VCV93" s="491"/>
      <c r="VCW93" s="491"/>
      <c r="VCX93" s="491"/>
      <c r="VCY93" s="491"/>
      <c r="VCZ93" s="491"/>
      <c r="VDA93" s="491"/>
      <c r="VDB93" s="491"/>
      <c r="VDC93" s="491"/>
      <c r="VDD93" s="491"/>
      <c r="VDE93" s="491"/>
      <c r="VDF93" s="491"/>
      <c r="VDG93" s="491"/>
      <c r="VDH93" s="491"/>
      <c r="VDI93" s="491"/>
      <c r="VDJ93" s="492"/>
      <c r="VDK93" s="492"/>
      <c r="VDL93" s="492"/>
      <c r="VDM93" s="492"/>
      <c r="VDN93" s="493"/>
      <c r="VDO93" s="493"/>
      <c r="VDP93" s="192"/>
      <c r="VDQ93" s="489"/>
      <c r="VDR93" s="489"/>
      <c r="VDS93" s="490"/>
      <c r="VDT93" s="490"/>
      <c r="VDU93" s="491"/>
      <c r="VDV93" s="491"/>
      <c r="VDW93" s="491"/>
      <c r="VDX93" s="491"/>
      <c r="VDY93" s="491"/>
      <c r="VDZ93" s="491"/>
      <c r="VEA93" s="491"/>
      <c r="VEB93" s="491"/>
      <c r="VEC93" s="491"/>
      <c r="VED93" s="491"/>
      <c r="VEE93" s="491"/>
      <c r="VEF93" s="491"/>
      <c r="VEG93" s="491"/>
      <c r="VEH93" s="491"/>
      <c r="VEI93" s="491"/>
      <c r="VEJ93" s="491"/>
      <c r="VEK93" s="491"/>
      <c r="VEL93" s="491"/>
      <c r="VEM93" s="491"/>
      <c r="VEN93" s="491"/>
      <c r="VEO93" s="491"/>
      <c r="VEP93" s="491"/>
      <c r="VEQ93" s="491"/>
      <c r="VER93" s="491"/>
      <c r="VES93" s="491"/>
      <c r="VET93" s="491"/>
      <c r="VEU93" s="491"/>
      <c r="VEV93" s="491"/>
      <c r="VEW93" s="491"/>
      <c r="VEX93" s="491"/>
      <c r="VEY93" s="491"/>
      <c r="VEZ93" s="491"/>
      <c r="VFA93" s="491"/>
      <c r="VFB93" s="491"/>
      <c r="VFC93" s="492"/>
      <c r="VFD93" s="492"/>
      <c r="VFE93" s="492"/>
      <c r="VFF93" s="492"/>
      <c r="VFG93" s="493"/>
      <c r="VFH93" s="493"/>
      <c r="VFI93" s="192"/>
      <c r="VFJ93" s="489"/>
      <c r="VFK93" s="489"/>
      <c r="VFL93" s="490"/>
      <c r="VFM93" s="490"/>
      <c r="VFN93" s="491"/>
      <c r="VFO93" s="491"/>
      <c r="VFP93" s="491"/>
      <c r="VFQ93" s="491"/>
      <c r="VFR93" s="491"/>
      <c r="VFS93" s="491"/>
      <c r="VFT93" s="491"/>
      <c r="VFU93" s="491"/>
      <c r="VFV93" s="491"/>
      <c r="VFW93" s="491"/>
      <c r="VFX93" s="491"/>
      <c r="VFY93" s="491"/>
      <c r="VFZ93" s="491"/>
      <c r="VGA93" s="491"/>
      <c r="VGB93" s="491"/>
      <c r="VGC93" s="491"/>
      <c r="VGD93" s="491"/>
      <c r="VGE93" s="491"/>
      <c r="VGF93" s="491"/>
      <c r="VGG93" s="491"/>
      <c r="VGH93" s="491"/>
      <c r="VGI93" s="491"/>
      <c r="VGJ93" s="491"/>
      <c r="VGK93" s="491"/>
      <c r="VGL93" s="491"/>
      <c r="VGM93" s="491"/>
      <c r="VGN93" s="491"/>
      <c r="VGO93" s="491"/>
      <c r="VGP93" s="491"/>
      <c r="VGQ93" s="491"/>
      <c r="VGR93" s="491"/>
      <c r="VGS93" s="491"/>
      <c r="VGT93" s="491"/>
      <c r="VGU93" s="491"/>
      <c r="VGV93" s="492"/>
      <c r="VGW93" s="492"/>
      <c r="VGX93" s="492"/>
      <c r="VGY93" s="492"/>
      <c r="VGZ93" s="493"/>
      <c r="VHA93" s="493"/>
      <c r="VHB93" s="192"/>
      <c r="VHC93" s="489"/>
      <c r="VHD93" s="489"/>
      <c r="VHE93" s="490"/>
      <c r="VHF93" s="490"/>
      <c r="VHG93" s="491"/>
      <c r="VHH93" s="491"/>
      <c r="VHI93" s="491"/>
      <c r="VHJ93" s="491"/>
      <c r="VHK93" s="491"/>
      <c r="VHL93" s="491"/>
      <c r="VHM93" s="491"/>
      <c r="VHN93" s="491"/>
      <c r="VHO93" s="491"/>
      <c r="VHP93" s="491"/>
      <c r="VHQ93" s="491"/>
      <c r="VHR93" s="491"/>
      <c r="VHS93" s="491"/>
      <c r="VHT93" s="491"/>
      <c r="VHU93" s="491"/>
      <c r="VHV93" s="491"/>
      <c r="VHW93" s="491"/>
      <c r="VHX93" s="491"/>
      <c r="VHY93" s="491"/>
      <c r="VHZ93" s="491"/>
      <c r="VIA93" s="491"/>
      <c r="VIB93" s="491"/>
      <c r="VIC93" s="491"/>
      <c r="VID93" s="491"/>
      <c r="VIE93" s="491"/>
      <c r="VIF93" s="491"/>
      <c r="VIG93" s="491"/>
      <c r="VIH93" s="491"/>
      <c r="VII93" s="491"/>
      <c r="VIJ93" s="491"/>
      <c r="VIK93" s="491"/>
      <c r="VIL93" s="491"/>
      <c r="VIM93" s="491"/>
      <c r="VIN93" s="491"/>
      <c r="VIO93" s="492"/>
      <c r="VIP93" s="492"/>
      <c r="VIQ93" s="492"/>
      <c r="VIR93" s="492"/>
      <c r="VIS93" s="493"/>
      <c r="VIT93" s="493"/>
      <c r="VIU93" s="192"/>
      <c r="VIV93" s="489"/>
      <c r="VIW93" s="489"/>
      <c r="VIX93" s="490"/>
      <c r="VIY93" s="490"/>
      <c r="VIZ93" s="491"/>
      <c r="VJA93" s="491"/>
      <c r="VJB93" s="491"/>
      <c r="VJC93" s="491"/>
      <c r="VJD93" s="491"/>
      <c r="VJE93" s="491"/>
      <c r="VJF93" s="491"/>
      <c r="VJG93" s="491"/>
      <c r="VJH93" s="491"/>
      <c r="VJI93" s="491"/>
      <c r="VJJ93" s="491"/>
      <c r="VJK93" s="491"/>
      <c r="VJL93" s="491"/>
      <c r="VJM93" s="491"/>
      <c r="VJN93" s="491"/>
      <c r="VJO93" s="491"/>
      <c r="VJP93" s="491"/>
      <c r="VJQ93" s="491"/>
      <c r="VJR93" s="491"/>
      <c r="VJS93" s="491"/>
      <c r="VJT93" s="491"/>
      <c r="VJU93" s="491"/>
      <c r="VJV93" s="491"/>
      <c r="VJW93" s="491"/>
      <c r="VJX93" s="491"/>
      <c r="VJY93" s="491"/>
      <c r="VJZ93" s="491"/>
      <c r="VKA93" s="491"/>
      <c r="VKB93" s="491"/>
      <c r="VKC93" s="491"/>
      <c r="VKD93" s="491"/>
      <c r="VKE93" s="491"/>
      <c r="VKF93" s="491"/>
      <c r="VKG93" s="491"/>
      <c r="VKH93" s="492"/>
      <c r="VKI93" s="492"/>
      <c r="VKJ93" s="492"/>
      <c r="VKK93" s="492"/>
      <c r="VKL93" s="493"/>
      <c r="VKM93" s="493"/>
      <c r="VKN93" s="192"/>
      <c r="VKO93" s="489"/>
      <c r="VKP93" s="489"/>
      <c r="VKQ93" s="490"/>
      <c r="VKR93" s="490"/>
      <c r="VKS93" s="491"/>
      <c r="VKT93" s="491"/>
      <c r="VKU93" s="491"/>
      <c r="VKV93" s="491"/>
      <c r="VKW93" s="491"/>
      <c r="VKX93" s="491"/>
      <c r="VKY93" s="491"/>
      <c r="VKZ93" s="491"/>
      <c r="VLA93" s="491"/>
      <c r="VLB93" s="491"/>
      <c r="VLC93" s="491"/>
      <c r="VLD93" s="491"/>
      <c r="VLE93" s="491"/>
      <c r="VLF93" s="491"/>
      <c r="VLG93" s="491"/>
      <c r="VLH93" s="491"/>
      <c r="VLI93" s="491"/>
      <c r="VLJ93" s="491"/>
      <c r="VLK93" s="491"/>
      <c r="VLL93" s="491"/>
      <c r="VLM93" s="491"/>
      <c r="VLN93" s="491"/>
      <c r="VLO93" s="491"/>
      <c r="VLP93" s="491"/>
      <c r="VLQ93" s="491"/>
      <c r="VLR93" s="491"/>
      <c r="VLS93" s="491"/>
      <c r="VLT93" s="491"/>
      <c r="VLU93" s="491"/>
      <c r="VLV93" s="491"/>
      <c r="VLW93" s="491"/>
      <c r="VLX93" s="491"/>
      <c r="VLY93" s="491"/>
      <c r="VLZ93" s="491"/>
      <c r="VMA93" s="492"/>
      <c r="VMB93" s="492"/>
      <c r="VMC93" s="492"/>
      <c r="VMD93" s="492"/>
      <c r="VME93" s="493"/>
      <c r="VMF93" s="493"/>
      <c r="VMG93" s="192"/>
      <c r="VMH93" s="489"/>
      <c r="VMI93" s="489"/>
      <c r="VMJ93" s="490"/>
      <c r="VMK93" s="490"/>
      <c r="VML93" s="491"/>
      <c r="VMM93" s="491"/>
      <c r="VMN93" s="491"/>
      <c r="VMO93" s="491"/>
      <c r="VMP93" s="491"/>
      <c r="VMQ93" s="491"/>
      <c r="VMR93" s="491"/>
      <c r="VMS93" s="491"/>
      <c r="VMT93" s="491"/>
      <c r="VMU93" s="491"/>
      <c r="VMV93" s="491"/>
      <c r="VMW93" s="491"/>
      <c r="VMX93" s="491"/>
      <c r="VMY93" s="491"/>
      <c r="VMZ93" s="491"/>
      <c r="VNA93" s="491"/>
      <c r="VNB93" s="491"/>
      <c r="VNC93" s="491"/>
      <c r="VND93" s="491"/>
      <c r="VNE93" s="491"/>
      <c r="VNF93" s="491"/>
      <c r="VNG93" s="491"/>
      <c r="VNH93" s="491"/>
      <c r="VNI93" s="491"/>
      <c r="VNJ93" s="491"/>
      <c r="VNK93" s="491"/>
      <c r="VNL93" s="491"/>
      <c r="VNM93" s="491"/>
      <c r="VNN93" s="491"/>
      <c r="VNO93" s="491"/>
      <c r="VNP93" s="491"/>
      <c r="VNQ93" s="491"/>
      <c r="VNR93" s="491"/>
      <c r="VNS93" s="491"/>
      <c r="VNT93" s="492"/>
      <c r="VNU93" s="492"/>
      <c r="VNV93" s="492"/>
      <c r="VNW93" s="492"/>
      <c r="VNX93" s="493"/>
      <c r="VNY93" s="493"/>
      <c r="VNZ93" s="192"/>
      <c r="VOA93" s="489"/>
      <c r="VOB93" s="489"/>
      <c r="VOC93" s="490"/>
      <c r="VOD93" s="490"/>
      <c r="VOE93" s="491"/>
      <c r="VOF93" s="491"/>
      <c r="VOG93" s="491"/>
      <c r="VOH93" s="491"/>
      <c r="VOI93" s="491"/>
      <c r="VOJ93" s="491"/>
      <c r="VOK93" s="491"/>
      <c r="VOL93" s="491"/>
      <c r="VOM93" s="491"/>
      <c r="VON93" s="491"/>
      <c r="VOO93" s="491"/>
      <c r="VOP93" s="491"/>
      <c r="VOQ93" s="491"/>
      <c r="VOR93" s="491"/>
      <c r="VOS93" s="491"/>
      <c r="VOT93" s="491"/>
      <c r="VOU93" s="491"/>
      <c r="VOV93" s="491"/>
      <c r="VOW93" s="491"/>
      <c r="VOX93" s="491"/>
      <c r="VOY93" s="491"/>
      <c r="VOZ93" s="491"/>
      <c r="VPA93" s="491"/>
      <c r="VPB93" s="491"/>
      <c r="VPC93" s="491"/>
      <c r="VPD93" s="491"/>
      <c r="VPE93" s="491"/>
      <c r="VPF93" s="491"/>
      <c r="VPG93" s="491"/>
      <c r="VPH93" s="491"/>
      <c r="VPI93" s="491"/>
      <c r="VPJ93" s="491"/>
      <c r="VPK93" s="491"/>
      <c r="VPL93" s="491"/>
      <c r="VPM93" s="492"/>
      <c r="VPN93" s="492"/>
      <c r="VPO93" s="492"/>
      <c r="VPP93" s="492"/>
      <c r="VPQ93" s="493"/>
      <c r="VPR93" s="493"/>
      <c r="VPS93" s="192"/>
      <c r="VPT93" s="489"/>
      <c r="VPU93" s="489"/>
      <c r="VPV93" s="490"/>
      <c r="VPW93" s="490"/>
      <c r="VPX93" s="491"/>
      <c r="VPY93" s="491"/>
      <c r="VPZ93" s="491"/>
      <c r="VQA93" s="491"/>
      <c r="VQB93" s="491"/>
      <c r="VQC93" s="491"/>
      <c r="VQD93" s="491"/>
      <c r="VQE93" s="491"/>
      <c r="VQF93" s="491"/>
      <c r="VQG93" s="491"/>
      <c r="VQH93" s="491"/>
      <c r="VQI93" s="491"/>
      <c r="VQJ93" s="491"/>
      <c r="VQK93" s="491"/>
      <c r="VQL93" s="491"/>
      <c r="VQM93" s="491"/>
      <c r="VQN93" s="491"/>
      <c r="VQO93" s="491"/>
      <c r="VQP93" s="491"/>
      <c r="VQQ93" s="491"/>
      <c r="VQR93" s="491"/>
      <c r="VQS93" s="491"/>
      <c r="VQT93" s="491"/>
      <c r="VQU93" s="491"/>
      <c r="VQV93" s="491"/>
      <c r="VQW93" s="491"/>
      <c r="VQX93" s="491"/>
      <c r="VQY93" s="491"/>
      <c r="VQZ93" s="491"/>
      <c r="VRA93" s="491"/>
      <c r="VRB93" s="491"/>
      <c r="VRC93" s="491"/>
      <c r="VRD93" s="491"/>
      <c r="VRE93" s="491"/>
      <c r="VRF93" s="492"/>
      <c r="VRG93" s="492"/>
      <c r="VRH93" s="492"/>
      <c r="VRI93" s="492"/>
      <c r="VRJ93" s="493"/>
      <c r="VRK93" s="493"/>
      <c r="VRL93" s="192"/>
      <c r="VRM93" s="489"/>
      <c r="VRN93" s="489"/>
      <c r="VRO93" s="490"/>
      <c r="VRP93" s="490"/>
      <c r="VRQ93" s="491"/>
      <c r="VRR93" s="491"/>
      <c r="VRS93" s="491"/>
      <c r="VRT93" s="491"/>
      <c r="VRU93" s="491"/>
      <c r="VRV93" s="491"/>
      <c r="VRW93" s="491"/>
      <c r="VRX93" s="491"/>
      <c r="VRY93" s="491"/>
      <c r="VRZ93" s="491"/>
      <c r="VSA93" s="491"/>
      <c r="VSB93" s="491"/>
      <c r="VSC93" s="491"/>
      <c r="VSD93" s="491"/>
      <c r="VSE93" s="491"/>
      <c r="VSF93" s="491"/>
      <c r="VSG93" s="491"/>
      <c r="VSH93" s="491"/>
      <c r="VSI93" s="491"/>
      <c r="VSJ93" s="491"/>
      <c r="VSK93" s="491"/>
      <c r="VSL93" s="491"/>
      <c r="VSM93" s="491"/>
      <c r="VSN93" s="491"/>
      <c r="VSO93" s="491"/>
      <c r="VSP93" s="491"/>
      <c r="VSQ93" s="491"/>
      <c r="VSR93" s="491"/>
      <c r="VSS93" s="491"/>
      <c r="VST93" s="491"/>
      <c r="VSU93" s="491"/>
      <c r="VSV93" s="491"/>
      <c r="VSW93" s="491"/>
      <c r="VSX93" s="491"/>
      <c r="VSY93" s="492"/>
      <c r="VSZ93" s="492"/>
      <c r="VTA93" s="492"/>
      <c r="VTB93" s="492"/>
      <c r="VTC93" s="493"/>
      <c r="VTD93" s="493"/>
      <c r="VTE93" s="192"/>
      <c r="VTF93" s="489"/>
      <c r="VTG93" s="489"/>
      <c r="VTH93" s="490"/>
      <c r="VTI93" s="490"/>
      <c r="VTJ93" s="491"/>
      <c r="VTK93" s="491"/>
      <c r="VTL93" s="491"/>
      <c r="VTM93" s="491"/>
      <c r="VTN93" s="491"/>
      <c r="VTO93" s="491"/>
      <c r="VTP93" s="491"/>
      <c r="VTQ93" s="491"/>
      <c r="VTR93" s="491"/>
      <c r="VTS93" s="491"/>
      <c r="VTT93" s="491"/>
      <c r="VTU93" s="491"/>
      <c r="VTV93" s="491"/>
      <c r="VTW93" s="491"/>
      <c r="VTX93" s="491"/>
      <c r="VTY93" s="491"/>
      <c r="VTZ93" s="491"/>
      <c r="VUA93" s="491"/>
      <c r="VUB93" s="491"/>
      <c r="VUC93" s="491"/>
      <c r="VUD93" s="491"/>
      <c r="VUE93" s="491"/>
      <c r="VUF93" s="491"/>
      <c r="VUG93" s="491"/>
      <c r="VUH93" s="491"/>
      <c r="VUI93" s="491"/>
      <c r="VUJ93" s="491"/>
      <c r="VUK93" s="491"/>
      <c r="VUL93" s="491"/>
      <c r="VUM93" s="491"/>
      <c r="VUN93" s="491"/>
      <c r="VUO93" s="491"/>
      <c r="VUP93" s="491"/>
      <c r="VUQ93" s="491"/>
      <c r="VUR93" s="492"/>
      <c r="VUS93" s="492"/>
      <c r="VUT93" s="492"/>
      <c r="VUU93" s="492"/>
      <c r="VUV93" s="493"/>
      <c r="VUW93" s="493"/>
      <c r="VUX93" s="192"/>
      <c r="VUY93" s="489"/>
      <c r="VUZ93" s="489"/>
      <c r="VVA93" s="490"/>
      <c r="VVB93" s="490"/>
      <c r="VVC93" s="491"/>
      <c r="VVD93" s="491"/>
      <c r="VVE93" s="491"/>
      <c r="VVF93" s="491"/>
      <c r="VVG93" s="491"/>
      <c r="VVH93" s="491"/>
      <c r="VVI93" s="491"/>
      <c r="VVJ93" s="491"/>
      <c r="VVK93" s="491"/>
      <c r="VVL93" s="491"/>
      <c r="VVM93" s="491"/>
      <c r="VVN93" s="491"/>
      <c r="VVO93" s="491"/>
      <c r="VVP93" s="491"/>
      <c r="VVQ93" s="491"/>
      <c r="VVR93" s="491"/>
      <c r="VVS93" s="491"/>
      <c r="VVT93" s="491"/>
      <c r="VVU93" s="491"/>
      <c r="VVV93" s="491"/>
      <c r="VVW93" s="491"/>
      <c r="VVX93" s="491"/>
      <c r="VVY93" s="491"/>
      <c r="VVZ93" s="491"/>
      <c r="VWA93" s="491"/>
      <c r="VWB93" s="491"/>
      <c r="VWC93" s="491"/>
      <c r="VWD93" s="491"/>
      <c r="VWE93" s="491"/>
      <c r="VWF93" s="491"/>
      <c r="VWG93" s="491"/>
      <c r="VWH93" s="491"/>
      <c r="VWI93" s="491"/>
      <c r="VWJ93" s="491"/>
      <c r="VWK93" s="492"/>
      <c r="VWL93" s="492"/>
      <c r="VWM93" s="492"/>
      <c r="VWN93" s="492"/>
      <c r="VWO93" s="493"/>
      <c r="VWP93" s="493"/>
      <c r="VWQ93" s="192"/>
      <c r="VWR93" s="489"/>
      <c r="VWS93" s="489"/>
      <c r="VWT93" s="490"/>
      <c r="VWU93" s="490"/>
      <c r="VWV93" s="491"/>
      <c r="VWW93" s="491"/>
      <c r="VWX93" s="491"/>
      <c r="VWY93" s="491"/>
      <c r="VWZ93" s="491"/>
      <c r="VXA93" s="491"/>
      <c r="VXB93" s="491"/>
      <c r="VXC93" s="491"/>
      <c r="VXD93" s="491"/>
      <c r="VXE93" s="491"/>
      <c r="VXF93" s="491"/>
      <c r="VXG93" s="491"/>
      <c r="VXH93" s="491"/>
      <c r="VXI93" s="491"/>
      <c r="VXJ93" s="491"/>
      <c r="VXK93" s="491"/>
      <c r="VXL93" s="491"/>
      <c r="VXM93" s="491"/>
      <c r="VXN93" s="491"/>
      <c r="VXO93" s="491"/>
      <c r="VXP93" s="491"/>
      <c r="VXQ93" s="491"/>
      <c r="VXR93" s="491"/>
      <c r="VXS93" s="491"/>
      <c r="VXT93" s="491"/>
      <c r="VXU93" s="491"/>
      <c r="VXV93" s="491"/>
      <c r="VXW93" s="491"/>
      <c r="VXX93" s="491"/>
      <c r="VXY93" s="491"/>
      <c r="VXZ93" s="491"/>
      <c r="VYA93" s="491"/>
      <c r="VYB93" s="491"/>
      <c r="VYC93" s="491"/>
      <c r="VYD93" s="492"/>
      <c r="VYE93" s="492"/>
      <c r="VYF93" s="492"/>
      <c r="VYG93" s="492"/>
      <c r="VYH93" s="493"/>
      <c r="VYI93" s="493"/>
      <c r="VYJ93" s="192"/>
      <c r="VYK93" s="489"/>
      <c r="VYL93" s="489"/>
      <c r="VYM93" s="490"/>
      <c r="VYN93" s="490"/>
      <c r="VYO93" s="491"/>
      <c r="VYP93" s="491"/>
      <c r="VYQ93" s="491"/>
      <c r="VYR93" s="491"/>
      <c r="VYS93" s="491"/>
      <c r="VYT93" s="491"/>
      <c r="VYU93" s="491"/>
      <c r="VYV93" s="491"/>
      <c r="VYW93" s="491"/>
      <c r="VYX93" s="491"/>
      <c r="VYY93" s="491"/>
      <c r="VYZ93" s="491"/>
      <c r="VZA93" s="491"/>
      <c r="VZB93" s="491"/>
      <c r="VZC93" s="491"/>
      <c r="VZD93" s="491"/>
      <c r="VZE93" s="491"/>
      <c r="VZF93" s="491"/>
      <c r="VZG93" s="491"/>
      <c r="VZH93" s="491"/>
      <c r="VZI93" s="491"/>
      <c r="VZJ93" s="491"/>
      <c r="VZK93" s="491"/>
      <c r="VZL93" s="491"/>
      <c r="VZM93" s="491"/>
      <c r="VZN93" s="491"/>
      <c r="VZO93" s="491"/>
      <c r="VZP93" s="491"/>
      <c r="VZQ93" s="491"/>
      <c r="VZR93" s="491"/>
      <c r="VZS93" s="491"/>
      <c r="VZT93" s="491"/>
      <c r="VZU93" s="491"/>
      <c r="VZV93" s="491"/>
      <c r="VZW93" s="492"/>
      <c r="VZX93" s="492"/>
      <c r="VZY93" s="492"/>
      <c r="VZZ93" s="492"/>
      <c r="WAA93" s="493"/>
      <c r="WAB93" s="493"/>
      <c r="WAC93" s="192"/>
      <c r="WAD93" s="489"/>
      <c r="WAE93" s="489"/>
      <c r="WAF93" s="490"/>
      <c r="WAG93" s="490"/>
      <c r="WAH93" s="491"/>
      <c r="WAI93" s="491"/>
      <c r="WAJ93" s="491"/>
      <c r="WAK93" s="491"/>
      <c r="WAL93" s="491"/>
      <c r="WAM93" s="491"/>
      <c r="WAN93" s="491"/>
      <c r="WAO93" s="491"/>
      <c r="WAP93" s="491"/>
      <c r="WAQ93" s="491"/>
      <c r="WAR93" s="491"/>
      <c r="WAS93" s="491"/>
      <c r="WAT93" s="491"/>
      <c r="WAU93" s="491"/>
      <c r="WAV93" s="491"/>
      <c r="WAW93" s="491"/>
      <c r="WAX93" s="491"/>
      <c r="WAY93" s="491"/>
      <c r="WAZ93" s="491"/>
      <c r="WBA93" s="491"/>
      <c r="WBB93" s="491"/>
      <c r="WBC93" s="491"/>
      <c r="WBD93" s="491"/>
      <c r="WBE93" s="491"/>
      <c r="WBF93" s="491"/>
      <c r="WBG93" s="491"/>
      <c r="WBH93" s="491"/>
      <c r="WBI93" s="491"/>
      <c r="WBJ93" s="491"/>
      <c r="WBK93" s="491"/>
      <c r="WBL93" s="491"/>
      <c r="WBM93" s="491"/>
      <c r="WBN93" s="491"/>
      <c r="WBO93" s="491"/>
      <c r="WBP93" s="492"/>
      <c r="WBQ93" s="492"/>
      <c r="WBR93" s="492"/>
      <c r="WBS93" s="492"/>
      <c r="WBT93" s="493"/>
      <c r="WBU93" s="493"/>
      <c r="WBV93" s="192"/>
      <c r="WBW93" s="489"/>
      <c r="WBX93" s="489"/>
      <c r="WBY93" s="490"/>
      <c r="WBZ93" s="490"/>
      <c r="WCA93" s="491"/>
      <c r="WCB93" s="491"/>
      <c r="WCC93" s="491"/>
      <c r="WCD93" s="491"/>
      <c r="WCE93" s="491"/>
      <c r="WCF93" s="491"/>
      <c r="WCG93" s="491"/>
      <c r="WCH93" s="491"/>
      <c r="WCI93" s="491"/>
      <c r="WCJ93" s="491"/>
      <c r="WCK93" s="491"/>
      <c r="WCL93" s="491"/>
      <c r="WCM93" s="491"/>
      <c r="WCN93" s="491"/>
      <c r="WCO93" s="491"/>
      <c r="WCP93" s="491"/>
      <c r="WCQ93" s="491"/>
      <c r="WCR93" s="491"/>
      <c r="WCS93" s="491"/>
      <c r="WCT93" s="491"/>
      <c r="WCU93" s="491"/>
      <c r="WCV93" s="491"/>
      <c r="WCW93" s="491"/>
      <c r="WCX93" s="491"/>
      <c r="WCY93" s="491"/>
      <c r="WCZ93" s="491"/>
      <c r="WDA93" s="491"/>
      <c r="WDB93" s="491"/>
      <c r="WDC93" s="491"/>
      <c r="WDD93" s="491"/>
      <c r="WDE93" s="491"/>
      <c r="WDF93" s="491"/>
      <c r="WDG93" s="491"/>
      <c r="WDH93" s="491"/>
      <c r="WDI93" s="492"/>
      <c r="WDJ93" s="492"/>
      <c r="WDK93" s="492"/>
      <c r="WDL93" s="492"/>
      <c r="WDM93" s="493"/>
      <c r="WDN93" s="493"/>
      <c r="WDO93" s="192"/>
      <c r="WDP93" s="489"/>
      <c r="WDQ93" s="489"/>
      <c r="WDR93" s="490"/>
      <c r="WDS93" s="490"/>
      <c r="WDT93" s="491"/>
      <c r="WDU93" s="491"/>
      <c r="WDV93" s="491"/>
      <c r="WDW93" s="491"/>
      <c r="WDX93" s="491"/>
      <c r="WDY93" s="491"/>
      <c r="WDZ93" s="491"/>
      <c r="WEA93" s="491"/>
      <c r="WEB93" s="491"/>
      <c r="WEC93" s="491"/>
      <c r="WED93" s="491"/>
      <c r="WEE93" s="491"/>
      <c r="WEF93" s="491"/>
      <c r="WEG93" s="491"/>
      <c r="WEH93" s="491"/>
      <c r="WEI93" s="491"/>
      <c r="WEJ93" s="491"/>
      <c r="WEK93" s="491"/>
      <c r="WEL93" s="491"/>
      <c r="WEM93" s="491"/>
      <c r="WEN93" s="491"/>
      <c r="WEO93" s="491"/>
      <c r="WEP93" s="491"/>
      <c r="WEQ93" s="491"/>
      <c r="WER93" s="491"/>
      <c r="WES93" s="491"/>
      <c r="WET93" s="491"/>
      <c r="WEU93" s="491"/>
      <c r="WEV93" s="491"/>
      <c r="WEW93" s="491"/>
      <c r="WEX93" s="491"/>
      <c r="WEY93" s="491"/>
      <c r="WEZ93" s="491"/>
      <c r="WFA93" s="491"/>
      <c r="WFB93" s="492"/>
      <c r="WFC93" s="492"/>
      <c r="WFD93" s="492"/>
      <c r="WFE93" s="492"/>
      <c r="WFF93" s="493"/>
      <c r="WFG93" s="493"/>
      <c r="WFH93" s="192"/>
      <c r="WFI93" s="489"/>
      <c r="WFJ93" s="489"/>
      <c r="WFK93" s="490"/>
      <c r="WFL93" s="490"/>
      <c r="WFM93" s="491"/>
      <c r="WFN93" s="491"/>
      <c r="WFO93" s="491"/>
      <c r="WFP93" s="491"/>
      <c r="WFQ93" s="491"/>
      <c r="WFR93" s="491"/>
      <c r="WFS93" s="491"/>
      <c r="WFT93" s="491"/>
      <c r="WFU93" s="491"/>
      <c r="WFV93" s="491"/>
      <c r="WFW93" s="491"/>
      <c r="WFX93" s="491"/>
      <c r="WFY93" s="491"/>
      <c r="WFZ93" s="491"/>
      <c r="WGA93" s="491"/>
      <c r="WGB93" s="491"/>
      <c r="WGC93" s="491"/>
      <c r="WGD93" s="491"/>
      <c r="WGE93" s="491"/>
      <c r="WGF93" s="491"/>
      <c r="WGG93" s="491"/>
      <c r="WGH93" s="491"/>
      <c r="WGI93" s="491"/>
      <c r="WGJ93" s="491"/>
      <c r="WGK93" s="491"/>
      <c r="WGL93" s="491"/>
      <c r="WGM93" s="491"/>
      <c r="WGN93" s="491"/>
      <c r="WGO93" s="491"/>
      <c r="WGP93" s="491"/>
      <c r="WGQ93" s="491"/>
      <c r="WGR93" s="491"/>
      <c r="WGS93" s="491"/>
      <c r="WGT93" s="491"/>
      <c r="WGU93" s="492"/>
      <c r="WGV93" s="492"/>
      <c r="WGW93" s="492"/>
      <c r="WGX93" s="492"/>
      <c r="WGY93" s="493"/>
      <c r="WGZ93" s="493"/>
      <c r="WHA93" s="192"/>
      <c r="WHB93" s="489"/>
      <c r="WHC93" s="489"/>
      <c r="WHD93" s="490"/>
      <c r="WHE93" s="490"/>
      <c r="WHF93" s="491"/>
      <c r="WHG93" s="491"/>
      <c r="WHH93" s="491"/>
      <c r="WHI93" s="491"/>
      <c r="WHJ93" s="491"/>
      <c r="WHK93" s="491"/>
      <c r="WHL93" s="491"/>
      <c r="WHM93" s="491"/>
      <c r="WHN93" s="491"/>
      <c r="WHO93" s="491"/>
      <c r="WHP93" s="491"/>
      <c r="WHQ93" s="491"/>
      <c r="WHR93" s="491"/>
      <c r="WHS93" s="491"/>
      <c r="WHT93" s="491"/>
      <c r="WHU93" s="491"/>
      <c r="WHV93" s="491"/>
      <c r="WHW93" s="491"/>
      <c r="WHX93" s="491"/>
      <c r="WHY93" s="491"/>
      <c r="WHZ93" s="491"/>
      <c r="WIA93" s="491"/>
      <c r="WIB93" s="491"/>
      <c r="WIC93" s="491"/>
      <c r="WID93" s="491"/>
      <c r="WIE93" s="491"/>
      <c r="WIF93" s="491"/>
      <c r="WIG93" s="491"/>
      <c r="WIH93" s="491"/>
      <c r="WII93" s="491"/>
      <c r="WIJ93" s="491"/>
      <c r="WIK93" s="491"/>
      <c r="WIL93" s="491"/>
      <c r="WIM93" s="491"/>
      <c r="WIN93" s="492"/>
      <c r="WIO93" s="492"/>
      <c r="WIP93" s="492"/>
      <c r="WIQ93" s="492"/>
      <c r="WIR93" s="493"/>
      <c r="WIS93" s="493"/>
      <c r="WIT93" s="192"/>
      <c r="WIU93" s="489"/>
      <c r="WIV93" s="489"/>
      <c r="WIW93" s="490"/>
      <c r="WIX93" s="490"/>
      <c r="WIY93" s="491"/>
      <c r="WIZ93" s="491"/>
      <c r="WJA93" s="491"/>
      <c r="WJB93" s="491"/>
      <c r="WJC93" s="491"/>
      <c r="WJD93" s="491"/>
      <c r="WJE93" s="491"/>
      <c r="WJF93" s="491"/>
      <c r="WJG93" s="491"/>
      <c r="WJH93" s="491"/>
      <c r="WJI93" s="491"/>
      <c r="WJJ93" s="491"/>
      <c r="WJK93" s="491"/>
      <c r="WJL93" s="491"/>
      <c r="WJM93" s="491"/>
      <c r="WJN93" s="491"/>
      <c r="WJO93" s="491"/>
      <c r="WJP93" s="491"/>
      <c r="WJQ93" s="491"/>
      <c r="WJR93" s="491"/>
      <c r="WJS93" s="491"/>
      <c r="WJT93" s="491"/>
      <c r="WJU93" s="491"/>
      <c r="WJV93" s="491"/>
      <c r="WJW93" s="491"/>
      <c r="WJX93" s="491"/>
      <c r="WJY93" s="491"/>
      <c r="WJZ93" s="491"/>
      <c r="WKA93" s="491"/>
      <c r="WKB93" s="491"/>
      <c r="WKC93" s="491"/>
      <c r="WKD93" s="491"/>
      <c r="WKE93" s="491"/>
      <c r="WKF93" s="491"/>
      <c r="WKG93" s="492"/>
      <c r="WKH93" s="492"/>
      <c r="WKI93" s="492"/>
      <c r="WKJ93" s="492"/>
      <c r="WKK93" s="493"/>
      <c r="WKL93" s="493"/>
      <c r="WKM93" s="192"/>
      <c r="WKN93" s="489"/>
      <c r="WKO93" s="489"/>
      <c r="WKP93" s="490"/>
      <c r="WKQ93" s="490"/>
      <c r="WKR93" s="491"/>
      <c r="WKS93" s="491"/>
      <c r="WKT93" s="491"/>
      <c r="WKU93" s="491"/>
      <c r="WKV93" s="491"/>
      <c r="WKW93" s="491"/>
      <c r="WKX93" s="491"/>
      <c r="WKY93" s="491"/>
      <c r="WKZ93" s="491"/>
      <c r="WLA93" s="491"/>
      <c r="WLB93" s="491"/>
      <c r="WLC93" s="491"/>
      <c r="WLD93" s="491"/>
      <c r="WLE93" s="491"/>
      <c r="WLF93" s="491"/>
      <c r="WLG93" s="491"/>
      <c r="WLH93" s="491"/>
      <c r="WLI93" s="491"/>
      <c r="WLJ93" s="491"/>
      <c r="WLK93" s="491"/>
      <c r="WLL93" s="491"/>
      <c r="WLM93" s="491"/>
      <c r="WLN93" s="491"/>
      <c r="WLO93" s="491"/>
      <c r="WLP93" s="491"/>
      <c r="WLQ93" s="491"/>
      <c r="WLR93" s="491"/>
      <c r="WLS93" s="491"/>
      <c r="WLT93" s="491"/>
      <c r="WLU93" s="491"/>
      <c r="WLV93" s="491"/>
      <c r="WLW93" s="491"/>
      <c r="WLX93" s="491"/>
      <c r="WLY93" s="491"/>
      <c r="WLZ93" s="492"/>
      <c r="WMA93" s="492"/>
      <c r="WMB93" s="492"/>
      <c r="WMC93" s="492"/>
      <c r="WMD93" s="493"/>
      <c r="WME93" s="493"/>
      <c r="WMF93" s="192"/>
      <c r="WMG93" s="489"/>
      <c r="WMH93" s="489"/>
      <c r="WMI93" s="490"/>
      <c r="WMJ93" s="490"/>
      <c r="WMK93" s="491"/>
      <c r="WML93" s="491"/>
      <c r="WMM93" s="491"/>
      <c r="WMN93" s="491"/>
      <c r="WMO93" s="491"/>
      <c r="WMP93" s="491"/>
      <c r="WMQ93" s="491"/>
      <c r="WMR93" s="491"/>
      <c r="WMS93" s="491"/>
      <c r="WMT93" s="491"/>
      <c r="WMU93" s="491"/>
      <c r="WMV93" s="491"/>
      <c r="WMW93" s="491"/>
      <c r="WMX93" s="491"/>
      <c r="WMY93" s="491"/>
      <c r="WMZ93" s="491"/>
      <c r="WNA93" s="491"/>
      <c r="WNB93" s="491"/>
      <c r="WNC93" s="491"/>
      <c r="WND93" s="491"/>
      <c r="WNE93" s="491"/>
      <c r="WNF93" s="491"/>
      <c r="WNG93" s="491"/>
      <c r="WNH93" s="491"/>
      <c r="WNI93" s="491"/>
      <c r="WNJ93" s="491"/>
      <c r="WNK93" s="491"/>
      <c r="WNL93" s="491"/>
      <c r="WNM93" s="491"/>
      <c r="WNN93" s="491"/>
      <c r="WNO93" s="491"/>
      <c r="WNP93" s="491"/>
      <c r="WNQ93" s="491"/>
      <c r="WNR93" s="491"/>
      <c r="WNS93" s="492"/>
      <c r="WNT93" s="492"/>
      <c r="WNU93" s="492"/>
      <c r="WNV93" s="492"/>
      <c r="WNW93" s="493"/>
      <c r="WNX93" s="493"/>
      <c r="WNY93" s="192"/>
      <c r="WNZ93" s="489"/>
      <c r="WOA93" s="489"/>
      <c r="WOB93" s="490"/>
      <c r="WOC93" s="490"/>
      <c r="WOD93" s="491"/>
      <c r="WOE93" s="491"/>
      <c r="WOF93" s="491"/>
      <c r="WOG93" s="491"/>
      <c r="WOH93" s="491"/>
      <c r="WOI93" s="491"/>
      <c r="WOJ93" s="491"/>
      <c r="WOK93" s="491"/>
      <c r="WOL93" s="491"/>
      <c r="WOM93" s="491"/>
      <c r="WON93" s="491"/>
      <c r="WOO93" s="491"/>
      <c r="WOP93" s="491"/>
      <c r="WOQ93" s="491"/>
      <c r="WOR93" s="491"/>
      <c r="WOS93" s="491"/>
      <c r="WOT93" s="491"/>
      <c r="WOU93" s="491"/>
      <c r="WOV93" s="491"/>
      <c r="WOW93" s="491"/>
      <c r="WOX93" s="491"/>
      <c r="WOY93" s="491"/>
      <c r="WOZ93" s="491"/>
      <c r="WPA93" s="491"/>
      <c r="WPB93" s="491"/>
      <c r="WPC93" s="491"/>
      <c r="WPD93" s="491"/>
      <c r="WPE93" s="491"/>
      <c r="WPF93" s="491"/>
      <c r="WPG93" s="491"/>
      <c r="WPH93" s="491"/>
      <c r="WPI93" s="491"/>
      <c r="WPJ93" s="491"/>
      <c r="WPK93" s="491"/>
      <c r="WPL93" s="492"/>
      <c r="WPM93" s="492"/>
      <c r="WPN93" s="492"/>
      <c r="WPO93" s="492"/>
      <c r="WPP93" s="493"/>
      <c r="WPQ93" s="493"/>
      <c r="WPR93" s="192"/>
      <c r="WPS93" s="489"/>
      <c r="WPT93" s="489"/>
      <c r="WPU93" s="490"/>
      <c r="WPV93" s="490"/>
      <c r="WPW93" s="491"/>
      <c r="WPX93" s="491"/>
      <c r="WPY93" s="491"/>
      <c r="WPZ93" s="491"/>
      <c r="WQA93" s="491"/>
      <c r="WQB93" s="491"/>
      <c r="WQC93" s="491"/>
      <c r="WQD93" s="491"/>
      <c r="WQE93" s="491"/>
      <c r="WQF93" s="491"/>
      <c r="WQG93" s="491"/>
      <c r="WQH93" s="491"/>
      <c r="WQI93" s="491"/>
      <c r="WQJ93" s="491"/>
      <c r="WQK93" s="491"/>
      <c r="WQL93" s="491"/>
      <c r="WQM93" s="491"/>
      <c r="WQN93" s="491"/>
      <c r="WQO93" s="491"/>
      <c r="WQP93" s="491"/>
      <c r="WQQ93" s="491"/>
      <c r="WQR93" s="491"/>
      <c r="WQS93" s="491"/>
      <c r="WQT93" s="491"/>
      <c r="WQU93" s="491"/>
      <c r="WQV93" s="491"/>
      <c r="WQW93" s="491"/>
      <c r="WQX93" s="491"/>
      <c r="WQY93" s="491"/>
      <c r="WQZ93" s="491"/>
      <c r="WRA93" s="491"/>
      <c r="WRB93" s="491"/>
      <c r="WRC93" s="491"/>
      <c r="WRD93" s="491"/>
      <c r="WRE93" s="492"/>
      <c r="WRF93" s="492"/>
      <c r="WRG93" s="492"/>
      <c r="WRH93" s="492"/>
      <c r="WRI93" s="493"/>
      <c r="WRJ93" s="493"/>
      <c r="WRK93" s="192"/>
      <c r="WRL93" s="489"/>
      <c r="WRM93" s="489"/>
      <c r="WRN93" s="490"/>
      <c r="WRO93" s="490"/>
      <c r="WRP93" s="491"/>
      <c r="WRQ93" s="491"/>
      <c r="WRR93" s="491"/>
      <c r="WRS93" s="491"/>
      <c r="WRT93" s="491"/>
      <c r="WRU93" s="491"/>
      <c r="WRV93" s="491"/>
      <c r="WRW93" s="491"/>
      <c r="WRX93" s="491"/>
      <c r="WRY93" s="491"/>
      <c r="WRZ93" s="491"/>
      <c r="WSA93" s="491"/>
      <c r="WSB93" s="491"/>
      <c r="WSC93" s="491"/>
      <c r="WSD93" s="491"/>
      <c r="WSE93" s="491"/>
      <c r="WSF93" s="491"/>
      <c r="WSG93" s="491"/>
      <c r="WSH93" s="491"/>
      <c r="WSI93" s="491"/>
      <c r="WSJ93" s="491"/>
      <c r="WSK93" s="491"/>
      <c r="WSL93" s="491"/>
      <c r="WSM93" s="491"/>
      <c r="WSN93" s="491"/>
      <c r="WSO93" s="491"/>
      <c r="WSP93" s="491"/>
      <c r="WSQ93" s="491"/>
      <c r="WSR93" s="491"/>
      <c r="WSS93" s="491"/>
      <c r="WST93" s="491"/>
      <c r="WSU93" s="491"/>
      <c r="WSV93" s="491"/>
      <c r="WSW93" s="491"/>
      <c r="WSX93" s="492"/>
      <c r="WSY93" s="492"/>
      <c r="WSZ93" s="492"/>
      <c r="WTA93" s="492"/>
      <c r="WTB93" s="493"/>
      <c r="WTC93" s="493"/>
      <c r="WTD93" s="192"/>
      <c r="WTE93" s="489"/>
      <c r="WTF93" s="489"/>
      <c r="WTG93" s="490"/>
      <c r="WTH93" s="490"/>
      <c r="WTI93" s="491"/>
      <c r="WTJ93" s="491"/>
      <c r="WTK93" s="491"/>
      <c r="WTL93" s="491"/>
      <c r="WTM93" s="491"/>
      <c r="WTN93" s="491"/>
      <c r="WTO93" s="491"/>
      <c r="WTP93" s="491"/>
      <c r="WTQ93" s="491"/>
      <c r="WTR93" s="491"/>
      <c r="WTS93" s="491"/>
      <c r="WTT93" s="491"/>
      <c r="WTU93" s="491"/>
      <c r="WTV93" s="491"/>
      <c r="WTW93" s="491"/>
      <c r="WTX93" s="491"/>
      <c r="WTY93" s="491"/>
      <c r="WTZ93" s="491"/>
      <c r="WUA93" s="491"/>
      <c r="WUB93" s="491"/>
      <c r="WUC93" s="491"/>
      <c r="WUD93" s="491"/>
      <c r="WUE93" s="491"/>
      <c r="WUF93" s="491"/>
      <c r="WUG93" s="491"/>
      <c r="WUH93" s="491"/>
      <c r="WUI93" s="491"/>
      <c r="WUJ93" s="491"/>
      <c r="WUK93" s="491"/>
      <c r="WUL93" s="491"/>
      <c r="WUM93" s="491"/>
      <c r="WUN93" s="491"/>
      <c r="WUO93" s="491"/>
      <c r="WUP93" s="491"/>
      <c r="WUQ93" s="492"/>
      <c r="WUR93" s="492"/>
      <c r="WUS93" s="492"/>
      <c r="WUT93" s="492"/>
      <c r="WUU93" s="493"/>
      <c r="WUV93" s="493"/>
      <c r="WUW93" s="192"/>
      <c r="WUX93" s="489"/>
      <c r="WUY93" s="489"/>
      <c r="WUZ93" s="490"/>
      <c r="WVA93" s="490"/>
      <c r="WVB93" s="491"/>
      <c r="WVC93" s="491"/>
      <c r="WVD93" s="491"/>
      <c r="WVE93" s="491"/>
      <c r="WVF93" s="491"/>
      <c r="WVG93" s="491"/>
      <c r="WVH93" s="491"/>
      <c r="WVI93" s="491"/>
      <c r="WVJ93" s="491"/>
      <c r="WVK93" s="491"/>
      <c r="WVL93" s="491"/>
      <c r="WVM93" s="491"/>
      <c r="WVN93" s="491"/>
      <c r="WVO93" s="491"/>
      <c r="WVP93" s="491"/>
      <c r="WVQ93" s="491"/>
      <c r="WVR93" s="491"/>
      <c r="WVS93" s="491"/>
      <c r="WVT93" s="491"/>
      <c r="WVU93" s="491"/>
      <c r="WVV93" s="491"/>
      <c r="WVW93" s="491"/>
      <c r="WVX93" s="491"/>
      <c r="WVY93" s="491"/>
      <c r="WVZ93" s="491"/>
      <c r="WWA93" s="491"/>
      <c r="WWB93" s="491"/>
      <c r="WWC93" s="491"/>
      <c r="WWD93" s="491"/>
      <c r="WWE93" s="491"/>
      <c r="WWF93" s="491"/>
      <c r="WWG93" s="491"/>
      <c r="WWH93" s="491"/>
      <c r="WWI93" s="491"/>
      <c r="WWJ93" s="492"/>
      <c r="WWK93" s="492"/>
      <c r="WWL93" s="492"/>
      <c r="WWM93" s="492"/>
      <c r="WWN93" s="493"/>
      <c r="WWO93" s="493"/>
      <c r="WWP93" s="192"/>
      <c r="WWQ93" s="489"/>
      <c r="WWR93" s="489"/>
      <c r="WWS93" s="490"/>
      <c r="WWT93" s="490"/>
      <c r="WWU93" s="491"/>
      <c r="WWV93" s="491"/>
      <c r="WWW93" s="491"/>
      <c r="WWX93" s="491"/>
      <c r="WWY93" s="491"/>
      <c r="WWZ93" s="491"/>
      <c r="WXA93" s="491"/>
      <c r="WXB93" s="491"/>
      <c r="WXC93" s="491"/>
      <c r="WXD93" s="491"/>
      <c r="WXE93" s="491"/>
      <c r="WXF93" s="491"/>
      <c r="WXG93" s="491"/>
      <c r="WXH93" s="491"/>
      <c r="WXI93" s="491"/>
      <c r="WXJ93" s="491"/>
      <c r="WXK93" s="491"/>
      <c r="WXL93" s="491"/>
      <c r="WXM93" s="491"/>
      <c r="WXN93" s="491"/>
      <c r="WXO93" s="491"/>
      <c r="WXP93" s="491"/>
      <c r="WXQ93" s="491"/>
      <c r="WXR93" s="491"/>
      <c r="WXS93" s="491"/>
      <c r="WXT93" s="491"/>
      <c r="WXU93" s="491"/>
      <c r="WXV93" s="491"/>
      <c r="WXW93" s="491"/>
      <c r="WXX93" s="491"/>
      <c r="WXY93" s="491"/>
      <c r="WXZ93" s="491"/>
      <c r="WYA93" s="491"/>
      <c r="WYB93" s="491"/>
      <c r="WYC93" s="492"/>
      <c r="WYD93" s="492"/>
      <c r="WYE93" s="492"/>
      <c r="WYF93" s="492"/>
      <c r="WYG93" s="493"/>
      <c r="WYH93" s="493"/>
      <c r="WYI93" s="192"/>
      <c r="WYJ93" s="489"/>
      <c r="WYK93" s="489"/>
      <c r="WYL93" s="490"/>
      <c r="WYM93" s="490"/>
      <c r="WYN93" s="491"/>
      <c r="WYO93" s="491"/>
      <c r="WYP93" s="491"/>
      <c r="WYQ93" s="491"/>
      <c r="WYR93" s="491"/>
      <c r="WYS93" s="491"/>
      <c r="WYT93" s="491"/>
      <c r="WYU93" s="491"/>
      <c r="WYV93" s="491"/>
      <c r="WYW93" s="491"/>
      <c r="WYX93" s="491"/>
      <c r="WYY93" s="491"/>
      <c r="WYZ93" s="491"/>
      <c r="WZA93" s="491"/>
      <c r="WZB93" s="491"/>
      <c r="WZC93" s="491"/>
      <c r="WZD93" s="491"/>
      <c r="WZE93" s="491"/>
      <c r="WZF93" s="491"/>
      <c r="WZG93" s="491"/>
      <c r="WZH93" s="491"/>
      <c r="WZI93" s="491"/>
      <c r="WZJ93" s="491"/>
      <c r="WZK93" s="491"/>
      <c r="WZL93" s="491"/>
      <c r="WZM93" s="491"/>
      <c r="WZN93" s="491"/>
      <c r="WZO93" s="491"/>
      <c r="WZP93" s="491"/>
      <c r="WZQ93" s="491"/>
      <c r="WZR93" s="491"/>
      <c r="WZS93" s="491"/>
      <c r="WZT93" s="491"/>
      <c r="WZU93" s="491"/>
      <c r="WZV93" s="492"/>
      <c r="WZW93" s="492"/>
      <c r="WZX93" s="492"/>
      <c r="WZY93" s="492"/>
      <c r="WZZ93" s="493"/>
      <c r="XAA93" s="493"/>
      <c r="XAB93" s="192"/>
      <c r="XAC93" s="489"/>
      <c r="XAD93" s="489"/>
      <c r="XAE93" s="490"/>
      <c r="XAF93" s="490"/>
      <c r="XAG93" s="491"/>
      <c r="XAH93" s="491"/>
      <c r="XAI93" s="491"/>
      <c r="XAJ93" s="491"/>
      <c r="XAK93" s="491"/>
      <c r="XAL93" s="491"/>
      <c r="XAM93" s="491"/>
      <c r="XAN93" s="491"/>
      <c r="XAO93" s="491"/>
      <c r="XAP93" s="491"/>
      <c r="XAQ93" s="491"/>
      <c r="XAR93" s="491"/>
      <c r="XAS93" s="491"/>
      <c r="XAT93" s="491"/>
      <c r="XAU93" s="491"/>
      <c r="XAV93" s="491"/>
      <c r="XAW93" s="491"/>
      <c r="XAX93" s="491"/>
      <c r="XAY93" s="491"/>
      <c r="XAZ93" s="491"/>
      <c r="XBA93" s="491"/>
      <c r="XBB93" s="491"/>
      <c r="XBC93" s="491"/>
      <c r="XBD93" s="491"/>
      <c r="XBE93" s="491"/>
      <c r="XBF93" s="491"/>
      <c r="XBG93" s="491"/>
      <c r="XBH93" s="491"/>
      <c r="XBI93" s="491"/>
      <c r="XBJ93" s="491"/>
      <c r="XBK93" s="491"/>
      <c r="XBL93" s="491"/>
      <c r="XBM93" s="491"/>
      <c r="XBN93" s="491"/>
      <c r="XBO93" s="492"/>
      <c r="XBP93" s="492"/>
      <c r="XBQ93" s="492"/>
      <c r="XBR93" s="492"/>
      <c r="XBS93" s="493"/>
      <c r="XBT93" s="493"/>
      <c r="XBU93" s="192"/>
      <c r="XBV93" s="489"/>
      <c r="XBW93" s="489"/>
      <c r="XBX93" s="490"/>
      <c r="XBY93" s="490"/>
      <c r="XBZ93" s="491"/>
      <c r="XCA93" s="491"/>
      <c r="XCB93" s="491"/>
      <c r="XCC93" s="491"/>
      <c r="XCD93" s="491"/>
      <c r="XCE93" s="491"/>
      <c r="XCF93" s="491"/>
      <c r="XCG93" s="491"/>
      <c r="XCH93" s="491"/>
      <c r="XCI93" s="491"/>
      <c r="XCJ93" s="491"/>
      <c r="XCK93" s="491"/>
      <c r="XCL93" s="491"/>
      <c r="XCM93" s="491"/>
      <c r="XCN93" s="491"/>
      <c r="XCO93" s="491"/>
      <c r="XCP93" s="491"/>
      <c r="XCQ93" s="491"/>
      <c r="XCR93" s="491"/>
      <c r="XCS93" s="491"/>
      <c r="XCT93" s="491"/>
      <c r="XCU93" s="491"/>
      <c r="XCV93" s="491"/>
      <c r="XCW93" s="491"/>
      <c r="XCX93" s="491"/>
      <c r="XCY93" s="491"/>
      <c r="XCZ93" s="491"/>
      <c r="XDA93" s="491"/>
      <c r="XDB93" s="491"/>
      <c r="XDC93" s="491"/>
      <c r="XDD93" s="491"/>
      <c r="XDE93" s="491"/>
      <c r="XDF93" s="491"/>
      <c r="XDG93" s="491"/>
      <c r="XDH93" s="492"/>
      <c r="XDI93" s="492"/>
      <c r="XDJ93" s="492"/>
      <c r="XDK93" s="492"/>
      <c r="XDL93" s="493"/>
      <c r="XDM93" s="493"/>
      <c r="XDN93" s="192"/>
      <c r="XDO93" s="489"/>
      <c r="XDP93" s="489"/>
      <c r="XDQ93" s="490"/>
      <c r="XDR93" s="490"/>
      <c r="XDS93" s="491"/>
      <c r="XDT93" s="491"/>
      <c r="XDU93" s="491"/>
      <c r="XDV93" s="491"/>
      <c r="XDW93" s="491"/>
      <c r="XDX93" s="491"/>
      <c r="XDY93" s="491"/>
      <c r="XDZ93" s="491"/>
      <c r="XEA93" s="491"/>
      <c r="XEB93" s="491"/>
      <c r="XEC93" s="491"/>
      <c r="XED93" s="491"/>
      <c r="XEE93" s="491"/>
      <c r="XEF93" s="491"/>
      <c r="XEG93" s="491"/>
      <c r="XEH93" s="491"/>
      <c r="XEI93" s="491"/>
      <c r="XEJ93" s="491"/>
      <c r="XEK93" s="491"/>
      <c r="XEL93" s="491"/>
      <c r="XEM93" s="491"/>
      <c r="XEN93" s="491"/>
      <c r="XEO93" s="491"/>
      <c r="XEP93" s="491"/>
      <c r="XEQ93" s="491"/>
      <c r="XER93" s="491"/>
      <c r="XES93" s="491"/>
      <c r="XET93" s="491"/>
      <c r="XEU93" s="491"/>
      <c r="XEV93" s="491"/>
      <c r="XEW93" s="491"/>
      <c r="XEX93" s="491"/>
      <c r="XEY93" s="491"/>
      <c r="XEZ93" s="491"/>
      <c r="XFA93" s="492"/>
      <c r="XFB93" s="492"/>
      <c r="XFC93" s="492"/>
      <c r="XFD93" s="492"/>
    </row>
    <row r="94" spans="1:16384" ht="12.75" customHeight="1" x14ac:dyDescent="0.3">
      <c r="A94" s="393"/>
      <c r="B94" s="394"/>
      <c r="C94" s="393"/>
      <c r="D94" s="394"/>
      <c r="E94" s="395"/>
      <c r="F94" s="396"/>
      <c r="G94" s="164"/>
      <c r="H94" s="450"/>
      <c r="I94" s="451"/>
      <c r="J94" s="452"/>
      <c r="K94" s="453"/>
      <c r="L94" s="421"/>
      <c r="M94" s="422"/>
      <c r="N94" s="422"/>
      <c r="O94" s="422"/>
      <c r="P94" s="422"/>
      <c r="Q94" s="422"/>
      <c r="R94" s="422"/>
      <c r="S94" s="422"/>
      <c r="T94" s="422"/>
      <c r="U94" s="422"/>
      <c r="V94" s="422"/>
      <c r="W94" s="422"/>
      <c r="X94" s="422"/>
      <c r="Y94" s="422"/>
      <c r="Z94" s="422"/>
      <c r="AA94" s="422"/>
      <c r="AB94" s="422"/>
      <c r="AC94" s="422"/>
      <c r="AD94" s="422"/>
      <c r="AE94" s="422"/>
      <c r="AF94" s="422"/>
      <c r="AG94" s="422"/>
      <c r="AH94" s="422"/>
      <c r="AI94" s="422"/>
      <c r="AJ94" s="422"/>
      <c r="AK94" s="422"/>
      <c r="AL94" s="422"/>
      <c r="AM94" s="422"/>
      <c r="AN94" s="422"/>
      <c r="AO94" s="422"/>
      <c r="AP94" s="422"/>
      <c r="AQ94" s="422"/>
      <c r="AR94" s="422"/>
      <c r="AS94" s="423"/>
      <c r="AT94" s="193"/>
      <c r="AU94" s="193"/>
      <c r="AV94" s="193"/>
      <c r="AW94" s="193"/>
      <c r="AX94" s="194"/>
      <c r="AY94" s="195"/>
      <c r="AZ94" s="196"/>
      <c r="BA94" s="197"/>
      <c r="BB94" s="197"/>
      <c r="BC94" s="198"/>
      <c r="BD94" s="198"/>
      <c r="BE94" s="199"/>
      <c r="BF94" s="199"/>
      <c r="BG94" s="199"/>
      <c r="BH94" s="199"/>
      <c r="BI94" s="199"/>
      <c r="BJ94" s="199"/>
      <c r="BK94" s="199"/>
      <c r="BL94" s="199"/>
      <c r="BM94" s="199"/>
      <c r="BN94" s="199"/>
      <c r="BO94" s="199"/>
      <c r="BP94" s="199"/>
      <c r="BQ94" s="199"/>
      <c r="BR94" s="199"/>
      <c r="BS94" s="199"/>
      <c r="BT94" s="199"/>
      <c r="BU94" s="199"/>
      <c r="BV94" s="199"/>
      <c r="BW94" s="199"/>
      <c r="BX94" s="199"/>
      <c r="BY94" s="199"/>
      <c r="BZ94" s="199"/>
      <c r="CA94" s="199"/>
      <c r="CB94" s="199"/>
      <c r="CC94" s="199"/>
      <c r="CD94" s="199"/>
      <c r="CE94" s="199"/>
      <c r="CF94" s="199"/>
      <c r="CG94" s="199"/>
      <c r="CH94" s="199"/>
      <c r="CI94" s="199"/>
      <c r="CJ94" s="199"/>
      <c r="CK94" s="199"/>
      <c r="CL94" s="199"/>
      <c r="CM94" s="193"/>
      <c r="CN94" s="193"/>
      <c r="CO94" s="193"/>
      <c r="CP94" s="193"/>
      <c r="CQ94" s="194"/>
      <c r="CR94" s="194"/>
      <c r="CS94" s="196"/>
      <c r="CT94" s="197"/>
      <c r="CU94" s="197"/>
      <c r="CV94" s="198"/>
      <c r="CW94" s="198"/>
      <c r="CX94" s="199"/>
      <c r="CY94" s="199"/>
      <c r="CZ94" s="199"/>
      <c r="DA94" s="199"/>
      <c r="DB94" s="199"/>
      <c r="DC94" s="199"/>
      <c r="DD94" s="199"/>
      <c r="DE94" s="199"/>
      <c r="DF94" s="199"/>
      <c r="DG94" s="199"/>
      <c r="DH94" s="199"/>
      <c r="DI94" s="199"/>
      <c r="DJ94" s="199"/>
      <c r="DK94" s="199"/>
      <c r="DL94" s="199"/>
      <c r="DM94" s="199"/>
      <c r="DN94" s="199"/>
      <c r="DO94" s="199"/>
      <c r="DP94" s="199"/>
      <c r="DQ94" s="199"/>
      <c r="DR94" s="199"/>
      <c r="DS94" s="199"/>
      <c r="DT94" s="199"/>
      <c r="DU94" s="199"/>
      <c r="DV94" s="199"/>
      <c r="DW94" s="199"/>
      <c r="DX94" s="199"/>
      <c r="DY94" s="199"/>
      <c r="DZ94" s="199"/>
      <c r="EA94" s="199"/>
      <c r="EB94" s="199"/>
      <c r="EC94" s="199"/>
      <c r="ED94" s="199"/>
      <c r="EE94" s="199"/>
      <c r="EF94" s="193"/>
      <c r="EG94" s="193"/>
      <c r="EH94" s="193"/>
      <c r="EI94" s="193"/>
      <c r="EJ94" s="194"/>
      <c r="EK94" s="194"/>
      <c r="EL94" s="196"/>
      <c r="EM94" s="197"/>
      <c r="EN94" s="197"/>
      <c r="EO94" s="198"/>
      <c r="EP94" s="198"/>
      <c r="EQ94" s="199"/>
      <c r="ER94" s="199"/>
      <c r="ES94" s="199"/>
      <c r="ET94" s="199"/>
      <c r="EU94" s="199"/>
      <c r="EV94" s="199"/>
      <c r="EW94" s="199"/>
      <c r="EX94" s="199"/>
      <c r="EY94" s="199"/>
      <c r="EZ94" s="199"/>
      <c r="FA94" s="199"/>
      <c r="FB94" s="199"/>
      <c r="FC94" s="199"/>
      <c r="FD94" s="199"/>
      <c r="FE94" s="199"/>
      <c r="FF94" s="199"/>
      <c r="FG94" s="199"/>
      <c r="FH94" s="199"/>
      <c r="FI94" s="199"/>
      <c r="FJ94" s="199"/>
      <c r="FK94" s="199"/>
      <c r="FL94" s="199"/>
      <c r="FM94" s="199"/>
      <c r="FN94" s="199"/>
      <c r="FO94" s="199"/>
      <c r="FP94" s="199"/>
      <c r="FQ94" s="199"/>
      <c r="FR94" s="199"/>
      <c r="FS94" s="199"/>
      <c r="FT94" s="199"/>
      <c r="FU94" s="199"/>
      <c r="FV94" s="199"/>
      <c r="FW94" s="199"/>
      <c r="FX94" s="199"/>
      <c r="FY94" s="193"/>
      <c r="FZ94" s="193"/>
      <c r="GA94" s="193"/>
      <c r="GB94" s="193"/>
      <c r="GC94" s="194"/>
      <c r="GD94" s="194"/>
      <c r="GE94" s="196"/>
      <c r="GF94" s="197"/>
      <c r="GG94" s="197"/>
      <c r="GH94" s="198"/>
      <c r="GI94" s="198"/>
      <c r="GJ94" s="199"/>
      <c r="GK94" s="199"/>
      <c r="GL94" s="199"/>
      <c r="GM94" s="199"/>
      <c r="GN94" s="199"/>
      <c r="GO94" s="199"/>
      <c r="GP94" s="199"/>
      <c r="GQ94" s="199"/>
      <c r="GR94" s="199"/>
      <c r="GS94" s="199"/>
      <c r="GT94" s="199"/>
      <c r="GU94" s="199"/>
      <c r="GV94" s="199"/>
      <c r="GW94" s="199"/>
      <c r="GX94" s="199"/>
      <c r="GY94" s="199"/>
      <c r="GZ94" s="199"/>
      <c r="HA94" s="199"/>
      <c r="HB94" s="199"/>
      <c r="HC94" s="199"/>
      <c r="HD94" s="199"/>
      <c r="HE94" s="199"/>
      <c r="HF94" s="199"/>
      <c r="HG94" s="199"/>
      <c r="HH94" s="199"/>
      <c r="HI94" s="199"/>
      <c r="HJ94" s="199"/>
      <c r="HK94" s="199"/>
      <c r="HL94" s="199"/>
      <c r="HM94" s="199"/>
      <c r="HN94" s="199"/>
      <c r="HO94" s="199"/>
      <c r="HP94" s="199"/>
      <c r="HQ94" s="199"/>
      <c r="HR94" s="193"/>
      <c r="HS94" s="193"/>
      <c r="HT94" s="193"/>
      <c r="HU94" s="193"/>
      <c r="HV94" s="194"/>
      <c r="HW94" s="194"/>
      <c r="HX94" s="196"/>
      <c r="HY94" s="197"/>
      <c r="HZ94" s="197"/>
      <c r="IA94" s="198"/>
      <c r="IB94" s="198"/>
      <c r="IC94" s="199"/>
      <c r="ID94" s="199"/>
      <c r="IE94" s="199"/>
      <c r="IF94" s="199"/>
      <c r="IG94" s="199"/>
      <c r="IH94" s="199"/>
      <c r="II94" s="199"/>
      <c r="IJ94" s="199"/>
      <c r="IK94" s="199"/>
      <c r="IL94" s="199"/>
      <c r="IM94" s="199"/>
      <c r="IN94" s="199"/>
      <c r="IO94" s="199"/>
      <c r="IP94" s="199"/>
      <c r="IQ94" s="199"/>
      <c r="IR94" s="199"/>
      <c r="IS94" s="199"/>
      <c r="IT94" s="199"/>
      <c r="IU94" s="199"/>
      <c r="IV94" s="199"/>
      <c r="IW94" s="199"/>
      <c r="IX94" s="199"/>
      <c r="IY94" s="199"/>
      <c r="IZ94" s="199"/>
      <c r="JA94" s="199"/>
      <c r="JB94" s="199"/>
      <c r="JC94" s="199"/>
      <c r="JD94" s="199"/>
      <c r="JE94" s="199"/>
      <c r="JF94" s="199"/>
      <c r="JG94" s="199"/>
      <c r="JH94" s="199"/>
      <c r="JI94" s="199"/>
      <c r="JJ94" s="199"/>
      <c r="JK94" s="193"/>
      <c r="JL94" s="193"/>
      <c r="JM94" s="193"/>
      <c r="JN94" s="193"/>
      <c r="JO94" s="194"/>
      <c r="JP94" s="194"/>
      <c r="JQ94" s="196"/>
      <c r="JR94" s="197"/>
      <c r="JS94" s="197"/>
      <c r="JT94" s="198"/>
      <c r="JU94" s="198"/>
      <c r="JV94" s="199"/>
      <c r="JW94" s="199"/>
      <c r="JX94" s="199"/>
      <c r="JY94" s="199"/>
      <c r="JZ94" s="199"/>
      <c r="KA94" s="199"/>
      <c r="KB94" s="199"/>
      <c r="KC94" s="199"/>
      <c r="KD94" s="199"/>
      <c r="KE94" s="199"/>
      <c r="KF94" s="199"/>
      <c r="KG94" s="199"/>
      <c r="KH94" s="199"/>
      <c r="KI94" s="199"/>
      <c r="KJ94" s="199"/>
      <c r="KK94" s="199"/>
      <c r="KL94" s="199"/>
      <c r="KM94" s="199"/>
      <c r="KN94" s="199"/>
      <c r="KO94" s="199"/>
      <c r="KP94" s="199"/>
      <c r="KQ94" s="199"/>
      <c r="KR94" s="199"/>
      <c r="KS94" s="199"/>
      <c r="KT94" s="199"/>
      <c r="KU94" s="199"/>
      <c r="KV94" s="199"/>
      <c r="KW94" s="199"/>
      <c r="KX94" s="199"/>
      <c r="KY94" s="199"/>
      <c r="KZ94" s="199"/>
      <c r="LA94" s="199"/>
      <c r="LB94" s="199"/>
      <c r="LC94" s="199"/>
      <c r="LD94" s="193"/>
      <c r="LE94" s="193"/>
      <c r="LF94" s="193"/>
      <c r="LG94" s="193"/>
      <c r="LH94" s="194"/>
      <c r="LI94" s="194"/>
      <c r="LJ94" s="196"/>
      <c r="LK94" s="197"/>
      <c r="LL94" s="197"/>
      <c r="LM94" s="198"/>
      <c r="LN94" s="198"/>
      <c r="LO94" s="199"/>
      <c r="LP94" s="199"/>
      <c r="LQ94" s="199"/>
      <c r="LR94" s="199"/>
      <c r="LS94" s="199"/>
      <c r="LT94" s="199"/>
      <c r="LU94" s="199"/>
      <c r="LV94" s="199"/>
      <c r="LW94" s="199"/>
      <c r="LX94" s="199"/>
      <c r="LY94" s="199"/>
      <c r="LZ94" s="199"/>
      <c r="MA94" s="199"/>
      <c r="MB94" s="199"/>
      <c r="MC94" s="199"/>
      <c r="MD94" s="199"/>
      <c r="ME94" s="199"/>
      <c r="MF94" s="199"/>
      <c r="MG94" s="199"/>
      <c r="MH94" s="199"/>
      <c r="MI94" s="199"/>
      <c r="MJ94" s="199"/>
      <c r="MK94" s="199"/>
      <c r="ML94" s="199"/>
      <c r="MM94" s="199"/>
      <c r="MN94" s="199"/>
      <c r="MO94" s="199"/>
      <c r="MP94" s="199"/>
      <c r="MQ94" s="199"/>
      <c r="MR94" s="199"/>
      <c r="MS94" s="199"/>
      <c r="MT94" s="199"/>
      <c r="MU94" s="199"/>
      <c r="MV94" s="199"/>
      <c r="MW94" s="193"/>
      <c r="MX94" s="193"/>
      <c r="MY94" s="193"/>
      <c r="MZ94" s="193"/>
      <c r="NA94" s="194"/>
      <c r="NB94" s="194"/>
      <c r="NC94" s="196"/>
      <c r="ND94" s="197"/>
      <c r="NE94" s="197"/>
      <c r="NF94" s="198"/>
      <c r="NG94" s="198"/>
      <c r="NH94" s="199"/>
      <c r="NI94" s="199"/>
      <c r="NJ94" s="199"/>
      <c r="NK94" s="199"/>
      <c r="NL94" s="199"/>
      <c r="NM94" s="199"/>
      <c r="NN94" s="199"/>
      <c r="NO94" s="199"/>
      <c r="NP94" s="199"/>
      <c r="NQ94" s="199"/>
      <c r="NR94" s="199"/>
      <c r="NS94" s="199"/>
      <c r="NT94" s="199"/>
      <c r="NU94" s="199"/>
      <c r="NV94" s="199"/>
      <c r="NW94" s="199"/>
      <c r="NX94" s="199"/>
      <c r="NY94" s="199"/>
      <c r="NZ94" s="199"/>
      <c r="OA94" s="199"/>
      <c r="OB94" s="199"/>
      <c r="OC94" s="199"/>
      <c r="OD94" s="199"/>
      <c r="OE94" s="199"/>
      <c r="OF94" s="199"/>
      <c r="OG94" s="199"/>
      <c r="OH94" s="199"/>
      <c r="OI94" s="199"/>
      <c r="OJ94" s="199"/>
      <c r="OK94" s="199"/>
      <c r="OL94" s="199"/>
      <c r="OM94" s="199"/>
      <c r="ON94" s="199"/>
      <c r="OO94" s="199"/>
      <c r="OP94" s="193"/>
      <c r="OQ94" s="193"/>
      <c r="OR94" s="193"/>
      <c r="OS94" s="193"/>
      <c r="OT94" s="194"/>
      <c r="OU94" s="194"/>
      <c r="OV94" s="196"/>
      <c r="OW94" s="197"/>
      <c r="OX94" s="197"/>
      <c r="OY94" s="198"/>
      <c r="OZ94" s="198"/>
      <c r="PA94" s="199"/>
      <c r="PB94" s="199"/>
      <c r="PC94" s="199"/>
      <c r="PD94" s="199"/>
      <c r="PE94" s="199"/>
      <c r="PF94" s="199"/>
      <c r="PG94" s="199"/>
      <c r="PH94" s="199"/>
      <c r="PI94" s="199"/>
      <c r="PJ94" s="199"/>
      <c r="PK94" s="199"/>
      <c r="PL94" s="199"/>
      <c r="PM94" s="199"/>
      <c r="PN94" s="199"/>
      <c r="PO94" s="199"/>
      <c r="PP94" s="199"/>
      <c r="PQ94" s="199"/>
      <c r="PR94" s="199"/>
      <c r="PS94" s="199"/>
      <c r="PT94" s="199"/>
      <c r="PU94" s="199"/>
      <c r="PV94" s="199"/>
      <c r="PW94" s="199"/>
      <c r="PX94" s="199"/>
      <c r="PY94" s="199"/>
      <c r="PZ94" s="199"/>
      <c r="QA94" s="199"/>
      <c r="QB94" s="199"/>
      <c r="QC94" s="199"/>
      <c r="QD94" s="199"/>
      <c r="QE94" s="199"/>
      <c r="QF94" s="199"/>
      <c r="QG94" s="199"/>
      <c r="QH94" s="199"/>
      <c r="QI94" s="193"/>
      <c r="QJ94" s="193"/>
      <c r="QK94" s="193"/>
      <c r="QL94" s="193"/>
      <c r="QM94" s="194"/>
      <c r="QN94" s="194"/>
      <c r="QO94" s="196"/>
      <c r="QP94" s="197"/>
      <c r="QQ94" s="197"/>
      <c r="QR94" s="198"/>
      <c r="QS94" s="198"/>
      <c r="QT94" s="199"/>
      <c r="QU94" s="199"/>
      <c r="QV94" s="199"/>
      <c r="QW94" s="199"/>
      <c r="QX94" s="199"/>
      <c r="QY94" s="199"/>
      <c r="QZ94" s="199"/>
      <c r="RA94" s="199"/>
      <c r="RB94" s="199"/>
      <c r="RC94" s="199"/>
      <c r="RD94" s="199"/>
      <c r="RE94" s="199"/>
      <c r="RF94" s="199"/>
      <c r="RG94" s="199"/>
      <c r="RH94" s="199"/>
      <c r="RI94" s="199"/>
      <c r="RJ94" s="199"/>
      <c r="RK94" s="199"/>
      <c r="RL94" s="199"/>
      <c r="RM94" s="199"/>
      <c r="RN94" s="199"/>
      <c r="RO94" s="199"/>
      <c r="RP94" s="199"/>
      <c r="RQ94" s="199"/>
      <c r="RR94" s="199"/>
      <c r="RS94" s="199"/>
      <c r="RT94" s="199"/>
      <c r="RU94" s="199"/>
      <c r="RV94" s="199"/>
      <c r="RW94" s="199"/>
      <c r="RX94" s="199"/>
      <c r="RY94" s="199"/>
      <c r="RZ94" s="199"/>
      <c r="SA94" s="199"/>
      <c r="SB94" s="193"/>
      <c r="SC94" s="193"/>
      <c r="SD94" s="193"/>
      <c r="SE94" s="193"/>
      <c r="SF94" s="194"/>
      <c r="SG94" s="194"/>
      <c r="SH94" s="196"/>
      <c r="SI94" s="197"/>
      <c r="SJ94" s="197"/>
      <c r="SK94" s="198"/>
      <c r="SL94" s="198"/>
      <c r="SM94" s="199"/>
      <c r="SN94" s="199"/>
      <c r="SO94" s="199"/>
      <c r="SP94" s="199"/>
      <c r="SQ94" s="199"/>
      <c r="SR94" s="199"/>
      <c r="SS94" s="199"/>
      <c r="ST94" s="199"/>
      <c r="SU94" s="199"/>
      <c r="SV94" s="199"/>
      <c r="SW94" s="199"/>
      <c r="SX94" s="199"/>
      <c r="SY94" s="199"/>
      <c r="SZ94" s="199"/>
      <c r="TA94" s="199"/>
      <c r="TB94" s="199"/>
      <c r="TC94" s="199"/>
      <c r="TD94" s="199"/>
      <c r="TE94" s="199"/>
      <c r="TF94" s="199"/>
      <c r="TG94" s="199"/>
      <c r="TH94" s="199"/>
      <c r="TI94" s="199"/>
      <c r="TJ94" s="199"/>
      <c r="TK94" s="199"/>
      <c r="TL94" s="199"/>
      <c r="TM94" s="199"/>
      <c r="TN94" s="199"/>
      <c r="TO94" s="199"/>
      <c r="TP94" s="199"/>
      <c r="TQ94" s="199"/>
      <c r="TR94" s="199"/>
      <c r="TS94" s="199"/>
      <c r="TT94" s="199"/>
      <c r="TU94" s="193"/>
      <c r="TV94" s="193"/>
      <c r="TW94" s="193"/>
      <c r="TX94" s="193"/>
      <c r="TY94" s="194"/>
      <c r="TZ94" s="194"/>
      <c r="UA94" s="196"/>
      <c r="UB94" s="197"/>
      <c r="UC94" s="197"/>
      <c r="UD94" s="198"/>
      <c r="UE94" s="198"/>
      <c r="UF94" s="199"/>
      <c r="UG94" s="199"/>
      <c r="UH94" s="199"/>
      <c r="UI94" s="199"/>
      <c r="UJ94" s="199"/>
      <c r="UK94" s="199"/>
      <c r="UL94" s="199"/>
      <c r="UM94" s="199"/>
      <c r="UN94" s="199"/>
      <c r="UO94" s="199"/>
      <c r="UP94" s="199"/>
      <c r="UQ94" s="199"/>
      <c r="UR94" s="199"/>
      <c r="US94" s="199"/>
      <c r="UT94" s="199"/>
      <c r="UU94" s="199"/>
      <c r="UV94" s="199"/>
      <c r="UW94" s="199"/>
      <c r="UX94" s="199"/>
      <c r="UY94" s="199"/>
      <c r="UZ94" s="199"/>
      <c r="VA94" s="199"/>
      <c r="VB94" s="199"/>
      <c r="VC94" s="199"/>
      <c r="VD94" s="199"/>
      <c r="VE94" s="199"/>
      <c r="VF94" s="199"/>
      <c r="VG94" s="199"/>
      <c r="VH94" s="199"/>
      <c r="VI94" s="199"/>
      <c r="VJ94" s="199"/>
      <c r="VK94" s="199"/>
      <c r="VL94" s="199"/>
      <c r="VM94" s="199"/>
      <c r="VN94" s="193"/>
      <c r="VO94" s="193"/>
      <c r="VP94" s="193"/>
      <c r="VQ94" s="193"/>
      <c r="VR94" s="194"/>
      <c r="VS94" s="194"/>
      <c r="VT94" s="196"/>
      <c r="VU94" s="197"/>
      <c r="VV94" s="197"/>
      <c r="VW94" s="198"/>
      <c r="VX94" s="198"/>
      <c r="VY94" s="199"/>
      <c r="VZ94" s="199"/>
      <c r="WA94" s="199"/>
      <c r="WB94" s="199"/>
      <c r="WC94" s="199"/>
      <c r="WD94" s="199"/>
      <c r="WE94" s="199"/>
      <c r="WF94" s="199"/>
      <c r="WG94" s="199"/>
      <c r="WH94" s="199"/>
      <c r="WI94" s="199"/>
      <c r="WJ94" s="199"/>
      <c r="WK94" s="199"/>
      <c r="WL94" s="199"/>
      <c r="WM94" s="199"/>
      <c r="WN94" s="199"/>
      <c r="WO94" s="199"/>
      <c r="WP94" s="199"/>
      <c r="WQ94" s="199"/>
      <c r="WR94" s="199"/>
      <c r="WS94" s="199"/>
      <c r="WT94" s="199"/>
      <c r="WU94" s="199"/>
      <c r="WV94" s="199"/>
      <c r="WW94" s="199"/>
      <c r="WX94" s="199"/>
      <c r="WY94" s="199"/>
      <c r="WZ94" s="199"/>
      <c r="XA94" s="199"/>
      <c r="XB94" s="199"/>
      <c r="XC94" s="199"/>
      <c r="XD94" s="199"/>
      <c r="XE94" s="199"/>
      <c r="XF94" s="199"/>
      <c r="XG94" s="193"/>
      <c r="XH94" s="193"/>
      <c r="XI94" s="193"/>
      <c r="XJ94" s="193"/>
      <c r="XK94" s="194"/>
      <c r="XL94" s="194"/>
      <c r="XM94" s="196"/>
      <c r="XN94" s="197"/>
      <c r="XO94" s="197"/>
      <c r="XP94" s="198"/>
      <c r="XQ94" s="198"/>
      <c r="XR94" s="199"/>
      <c r="XS94" s="199"/>
      <c r="XT94" s="199"/>
      <c r="XU94" s="199"/>
      <c r="XV94" s="199"/>
      <c r="XW94" s="199"/>
      <c r="XX94" s="199"/>
      <c r="XY94" s="199"/>
      <c r="XZ94" s="199"/>
      <c r="YA94" s="199"/>
      <c r="YB94" s="199"/>
      <c r="YC94" s="199"/>
      <c r="YD94" s="199"/>
      <c r="YE94" s="199"/>
      <c r="YF94" s="199"/>
      <c r="YG94" s="199"/>
      <c r="YH94" s="199"/>
      <c r="YI94" s="199"/>
      <c r="YJ94" s="199"/>
      <c r="YK94" s="199"/>
      <c r="YL94" s="199"/>
      <c r="YM94" s="199"/>
      <c r="YN94" s="199"/>
      <c r="YO94" s="199"/>
      <c r="YP94" s="199"/>
      <c r="YQ94" s="199"/>
      <c r="YR94" s="199"/>
      <c r="YS94" s="199"/>
      <c r="YT94" s="199"/>
      <c r="YU94" s="199"/>
      <c r="YV94" s="199"/>
      <c r="YW94" s="199"/>
      <c r="YX94" s="199"/>
      <c r="YY94" s="199"/>
      <c r="YZ94" s="193"/>
      <c r="ZA94" s="193"/>
      <c r="ZB94" s="193"/>
      <c r="ZC94" s="193"/>
      <c r="ZD94" s="194"/>
      <c r="ZE94" s="194"/>
      <c r="ZF94" s="196"/>
      <c r="ZG94" s="197"/>
      <c r="ZH94" s="197"/>
      <c r="ZI94" s="198"/>
      <c r="ZJ94" s="198"/>
      <c r="ZK94" s="199"/>
      <c r="ZL94" s="199"/>
      <c r="ZM94" s="199"/>
      <c r="ZN94" s="199"/>
      <c r="ZO94" s="199"/>
      <c r="ZP94" s="199"/>
      <c r="ZQ94" s="199"/>
      <c r="ZR94" s="199"/>
      <c r="ZS94" s="199"/>
      <c r="ZT94" s="199"/>
      <c r="ZU94" s="199"/>
      <c r="ZV94" s="199"/>
      <c r="ZW94" s="199"/>
      <c r="ZX94" s="199"/>
      <c r="ZY94" s="199"/>
      <c r="ZZ94" s="199"/>
      <c r="AAA94" s="199"/>
      <c r="AAB94" s="199"/>
      <c r="AAC94" s="199"/>
      <c r="AAD94" s="199"/>
      <c r="AAE94" s="199"/>
      <c r="AAF94" s="199"/>
      <c r="AAG94" s="199"/>
      <c r="AAH94" s="199"/>
      <c r="AAI94" s="199"/>
      <c r="AAJ94" s="199"/>
      <c r="AAK94" s="199"/>
      <c r="AAL94" s="199"/>
      <c r="AAM94" s="199"/>
      <c r="AAN94" s="199"/>
      <c r="AAO94" s="199"/>
      <c r="AAP94" s="199"/>
      <c r="AAQ94" s="199"/>
      <c r="AAR94" s="199"/>
      <c r="AAS94" s="193"/>
      <c r="AAT94" s="193"/>
      <c r="AAU94" s="193"/>
      <c r="AAV94" s="193"/>
      <c r="AAW94" s="194"/>
      <c r="AAX94" s="194"/>
      <c r="AAY94" s="196"/>
      <c r="AAZ94" s="197"/>
      <c r="ABA94" s="197"/>
      <c r="ABB94" s="198"/>
      <c r="ABC94" s="198"/>
      <c r="ABD94" s="199"/>
      <c r="ABE94" s="199"/>
      <c r="ABF94" s="199"/>
      <c r="ABG94" s="199"/>
      <c r="ABH94" s="199"/>
      <c r="ABI94" s="199"/>
      <c r="ABJ94" s="199"/>
      <c r="ABK94" s="199"/>
      <c r="ABL94" s="199"/>
      <c r="ABM94" s="199"/>
      <c r="ABN94" s="199"/>
      <c r="ABO94" s="199"/>
      <c r="ABP94" s="199"/>
      <c r="ABQ94" s="199"/>
      <c r="ABR94" s="199"/>
      <c r="ABS94" s="199"/>
      <c r="ABT94" s="199"/>
      <c r="ABU94" s="199"/>
      <c r="ABV94" s="199"/>
      <c r="ABW94" s="199"/>
      <c r="ABX94" s="199"/>
      <c r="ABY94" s="199"/>
      <c r="ABZ94" s="199"/>
      <c r="ACA94" s="199"/>
      <c r="ACB94" s="199"/>
      <c r="ACC94" s="199"/>
      <c r="ACD94" s="199"/>
      <c r="ACE94" s="199"/>
      <c r="ACF94" s="199"/>
      <c r="ACG94" s="199"/>
      <c r="ACH94" s="199"/>
      <c r="ACI94" s="199"/>
      <c r="ACJ94" s="199"/>
      <c r="ACK94" s="199"/>
      <c r="ACL94" s="193"/>
      <c r="ACM94" s="193"/>
      <c r="ACN94" s="193"/>
      <c r="ACO94" s="193"/>
      <c r="ACP94" s="194"/>
      <c r="ACQ94" s="194"/>
      <c r="ACR94" s="196"/>
      <c r="ACS94" s="197"/>
      <c r="ACT94" s="197"/>
      <c r="ACU94" s="198"/>
      <c r="ACV94" s="198"/>
      <c r="ACW94" s="199"/>
      <c r="ACX94" s="199"/>
      <c r="ACY94" s="199"/>
      <c r="ACZ94" s="199"/>
      <c r="ADA94" s="199"/>
      <c r="ADB94" s="199"/>
      <c r="ADC94" s="199"/>
      <c r="ADD94" s="199"/>
      <c r="ADE94" s="199"/>
      <c r="ADF94" s="199"/>
      <c r="ADG94" s="199"/>
      <c r="ADH94" s="199"/>
      <c r="ADI94" s="199"/>
      <c r="ADJ94" s="199"/>
      <c r="ADK94" s="199"/>
      <c r="ADL94" s="199"/>
      <c r="ADM94" s="199"/>
      <c r="ADN94" s="199"/>
      <c r="ADO94" s="199"/>
      <c r="ADP94" s="199"/>
      <c r="ADQ94" s="199"/>
      <c r="ADR94" s="199"/>
      <c r="ADS94" s="199"/>
      <c r="ADT94" s="199"/>
      <c r="ADU94" s="199"/>
      <c r="ADV94" s="199"/>
      <c r="ADW94" s="199"/>
      <c r="ADX94" s="199"/>
      <c r="ADY94" s="199"/>
      <c r="ADZ94" s="199"/>
      <c r="AEA94" s="199"/>
      <c r="AEB94" s="199"/>
      <c r="AEC94" s="199"/>
      <c r="AED94" s="199"/>
      <c r="AEE94" s="193"/>
      <c r="AEF94" s="193"/>
      <c r="AEG94" s="193"/>
      <c r="AEH94" s="193"/>
      <c r="AEI94" s="194"/>
      <c r="AEJ94" s="194"/>
      <c r="AEK94" s="196"/>
      <c r="AEL94" s="197"/>
      <c r="AEM94" s="197"/>
      <c r="AEN94" s="198"/>
      <c r="AEO94" s="198"/>
      <c r="AEP94" s="199"/>
      <c r="AEQ94" s="199"/>
      <c r="AER94" s="199"/>
      <c r="AES94" s="199"/>
      <c r="AET94" s="199"/>
      <c r="AEU94" s="199"/>
      <c r="AEV94" s="199"/>
      <c r="AEW94" s="199"/>
      <c r="AEX94" s="199"/>
      <c r="AEY94" s="199"/>
      <c r="AEZ94" s="199"/>
      <c r="AFA94" s="199"/>
      <c r="AFB94" s="199"/>
      <c r="AFC94" s="199"/>
      <c r="AFD94" s="199"/>
      <c r="AFE94" s="199"/>
      <c r="AFF94" s="199"/>
      <c r="AFG94" s="199"/>
      <c r="AFH94" s="199"/>
      <c r="AFI94" s="199"/>
      <c r="AFJ94" s="199"/>
      <c r="AFK94" s="199"/>
      <c r="AFL94" s="199"/>
      <c r="AFM94" s="199"/>
      <c r="AFN94" s="199"/>
      <c r="AFO94" s="199"/>
      <c r="AFP94" s="199"/>
      <c r="AFQ94" s="199"/>
      <c r="AFR94" s="199"/>
      <c r="AFS94" s="199"/>
      <c r="AFT94" s="199"/>
      <c r="AFU94" s="199"/>
      <c r="AFV94" s="199"/>
      <c r="AFW94" s="199"/>
      <c r="AFX94" s="193"/>
      <c r="AFY94" s="193"/>
      <c r="AFZ94" s="193"/>
      <c r="AGA94" s="193"/>
      <c r="AGB94" s="194"/>
      <c r="AGC94" s="194"/>
      <c r="AGD94" s="196"/>
      <c r="AGE94" s="197"/>
      <c r="AGF94" s="197"/>
      <c r="AGG94" s="198"/>
      <c r="AGH94" s="198"/>
      <c r="AGI94" s="199"/>
      <c r="AGJ94" s="199"/>
      <c r="AGK94" s="199"/>
      <c r="AGL94" s="199"/>
      <c r="AGM94" s="199"/>
      <c r="AGN94" s="199"/>
      <c r="AGO94" s="199"/>
      <c r="AGP94" s="199"/>
      <c r="AGQ94" s="199"/>
      <c r="AGR94" s="199"/>
      <c r="AGS94" s="199"/>
      <c r="AGT94" s="199"/>
      <c r="AGU94" s="199"/>
      <c r="AGV94" s="199"/>
      <c r="AGW94" s="199"/>
      <c r="AGX94" s="199"/>
      <c r="AGY94" s="199"/>
      <c r="AGZ94" s="199"/>
      <c r="AHA94" s="199"/>
      <c r="AHB94" s="199"/>
      <c r="AHC94" s="199"/>
      <c r="AHD94" s="199"/>
      <c r="AHE94" s="199"/>
      <c r="AHF94" s="199"/>
      <c r="AHG94" s="199"/>
      <c r="AHH94" s="199"/>
      <c r="AHI94" s="199"/>
      <c r="AHJ94" s="199"/>
      <c r="AHK94" s="199"/>
      <c r="AHL94" s="199"/>
      <c r="AHM94" s="199"/>
      <c r="AHN94" s="199"/>
      <c r="AHO94" s="199"/>
      <c r="AHP94" s="199"/>
      <c r="AHQ94" s="193"/>
      <c r="AHR94" s="193"/>
      <c r="AHS94" s="193"/>
      <c r="AHT94" s="193"/>
      <c r="AHU94" s="194"/>
      <c r="AHV94" s="194"/>
      <c r="AHW94" s="196"/>
      <c r="AHX94" s="197"/>
      <c r="AHY94" s="197"/>
      <c r="AHZ94" s="198"/>
      <c r="AIA94" s="198"/>
      <c r="AIB94" s="199"/>
      <c r="AIC94" s="199"/>
      <c r="AID94" s="199"/>
      <c r="AIE94" s="199"/>
      <c r="AIF94" s="199"/>
      <c r="AIG94" s="199"/>
      <c r="AIH94" s="199"/>
      <c r="AII94" s="199"/>
      <c r="AIJ94" s="199"/>
      <c r="AIK94" s="199"/>
      <c r="AIL94" s="199"/>
      <c r="AIM94" s="199"/>
      <c r="AIN94" s="199"/>
      <c r="AIO94" s="199"/>
      <c r="AIP94" s="199"/>
      <c r="AIQ94" s="199"/>
      <c r="AIR94" s="199"/>
      <c r="AIS94" s="199"/>
      <c r="AIT94" s="199"/>
      <c r="AIU94" s="199"/>
      <c r="AIV94" s="199"/>
      <c r="AIW94" s="199"/>
      <c r="AIX94" s="199"/>
      <c r="AIY94" s="199"/>
      <c r="AIZ94" s="199"/>
      <c r="AJA94" s="199"/>
      <c r="AJB94" s="199"/>
      <c r="AJC94" s="199"/>
      <c r="AJD94" s="199"/>
      <c r="AJE94" s="199"/>
      <c r="AJF94" s="199"/>
      <c r="AJG94" s="199"/>
      <c r="AJH94" s="199"/>
      <c r="AJI94" s="199"/>
      <c r="AJJ94" s="193"/>
      <c r="AJK94" s="193"/>
      <c r="AJL94" s="193"/>
      <c r="AJM94" s="193"/>
      <c r="AJN94" s="194"/>
      <c r="AJO94" s="194"/>
      <c r="AJP94" s="196"/>
      <c r="AJQ94" s="197"/>
      <c r="AJR94" s="197"/>
      <c r="AJS94" s="198"/>
      <c r="AJT94" s="198"/>
      <c r="AJU94" s="199"/>
      <c r="AJV94" s="199"/>
      <c r="AJW94" s="199"/>
      <c r="AJX94" s="199"/>
      <c r="AJY94" s="199"/>
      <c r="AJZ94" s="199"/>
      <c r="AKA94" s="199"/>
      <c r="AKB94" s="199"/>
      <c r="AKC94" s="199"/>
      <c r="AKD94" s="199"/>
      <c r="AKE94" s="199"/>
      <c r="AKF94" s="199"/>
      <c r="AKG94" s="199"/>
      <c r="AKH94" s="199"/>
      <c r="AKI94" s="199"/>
      <c r="AKJ94" s="199"/>
      <c r="AKK94" s="199"/>
      <c r="AKL94" s="199"/>
      <c r="AKM94" s="199"/>
      <c r="AKN94" s="199"/>
      <c r="AKO94" s="199"/>
      <c r="AKP94" s="199"/>
      <c r="AKQ94" s="199"/>
      <c r="AKR94" s="199"/>
      <c r="AKS94" s="199"/>
      <c r="AKT94" s="199"/>
      <c r="AKU94" s="199"/>
      <c r="AKV94" s="199"/>
      <c r="AKW94" s="199"/>
      <c r="AKX94" s="199"/>
      <c r="AKY94" s="199"/>
      <c r="AKZ94" s="199"/>
      <c r="ALA94" s="199"/>
      <c r="ALB94" s="199"/>
      <c r="ALC94" s="193"/>
      <c r="ALD94" s="193"/>
      <c r="ALE94" s="193"/>
      <c r="ALF94" s="193"/>
      <c r="ALG94" s="194"/>
      <c r="ALH94" s="194"/>
      <c r="ALI94" s="196"/>
      <c r="ALJ94" s="197"/>
      <c r="ALK94" s="197"/>
      <c r="ALL94" s="198"/>
      <c r="ALM94" s="198"/>
      <c r="ALN94" s="199"/>
      <c r="ALO94" s="199"/>
      <c r="ALP94" s="199"/>
      <c r="ALQ94" s="199"/>
      <c r="ALR94" s="199"/>
      <c r="ALS94" s="199"/>
      <c r="ALT94" s="199"/>
      <c r="ALU94" s="199"/>
      <c r="ALV94" s="199"/>
      <c r="ALW94" s="199"/>
      <c r="ALX94" s="199"/>
      <c r="ALY94" s="199"/>
      <c r="ALZ94" s="199"/>
      <c r="AMA94" s="199"/>
      <c r="AMB94" s="199"/>
      <c r="AMC94" s="199"/>
      <c r="AMD94" s="199"/>
      <c r="AME94" s="199"/>
      <c r="AMF94" s="199"/>
      <c r="AMG94" s="199"/>
      <c r="AMH94" s="199"/>
      <c r="AMI94" s="199"/>
      <c r="AMJ94" s="199"/>
      <c r="AMK94" s="199"/>
      <c r="AML94" s="199"/>
      <c r="AMM94" s="199"/>
      <c r="AMN94" s="199"/>
      <c r="AMO94" s="199"/>
      <c r="AMP94" s="199"/>
      <c r="AMQ94" s="199"/>
      <c r="AMR94" s="199"/>
      <c r="AMS94" s="199"/>
      <c r="AMT94" s="199"/>
      <c r="AMU94" s="199"/>
      <c r="AMV94" s="193"/>
      <c r="AMW94" s="193"/>
      <c r="AMX94" s="193"/>
      <c r="AMY94" s="193"/>
      <c r="AMZ94" s="194"/>
      <c r="ANA94" s="194"/>
      <c r="ANB94" s="196"/>
      <c r="ANC94" s="197"/>
      <c r="AND94" s="197"/>
      <c r="ANE94" s="198"/>
      <c r="ANF94" s="198"/>
      <c r="ANG94" s="199"/>
      <c r="ANH94" s="199"/>
      <c r="ANI94" s="199"/>
      <c r="ANJ94" s="199"/>
      <c r="ANK94" s="199"/>
      <c r="ANL94" s="199"/>
      <c r="ANM94" s="199"/>
      <c r="ANN94" s="199"/>
      <c r="ANO94" s="199"/>
      <c r="ANP94" s="199"/>
      <c r="ANQ94" s="199"/>
      <c r="ANR94" s="199"/>
      <c r="ANS94" s="199"/>
      <c r="ANT94" s="199"/>
      <c r="ANU94" s="199"/>
      <c r="ANV94" s="199"/>
      <c r="ANW94" s="199"/>
      <c r="ANX94" s="199"/>
      <c r="ANY94" s="199"/>
      <c r="ANZ94" s="199"/>
      <c r="AOA94" s="199"/>
      <c r="AOB94" s="199"/>
      <c r="AOC94" s="199"/>
      <c r="AOD94" s="199"/>
      <c r="AOE94" s="199"/>
      <c r="AOF94" s="199"/>
      <c r="AOG94" s="199"/>
      <c r="AOH94" s="199"/>
      <c r="AOI94" s="199"/>
      <c r="AOJ94" s="199"/>
      <c r="AOK94" s="199"/>
      <c r="AOL94" s="199"/>
      <c r="AOM94" s="199"/>
      <c r="AON94" s="199"/>
      <c r="AOO94" s="193"/>
      <c r="AOP94" s="193"/>
      <c r="AOQ94" s="193"/>
      <c r="AOR94" s="193"/>
      <c r="AOS94" s="194"/>
      <c r="AOT94" s="194"/>
      <c r="AOU94" s="196"/>
      <c r="AOV94" s="197"/>
      <c r="AOW94" s="197"/>
      <c r="AOX94" s="198"/>
      <c r="AOY94" s="198"/>
      <c r="AOZ94" s="199"/>
      <c r="APA94" s="199"/>
      <c r="APB94" s="199"/>
      <c r="APC94" s="199"/>
      <c r="APD94" s="199"/>
      <c r="APE94" s="199"/>
      <c r="APF94" s="199"/>
      <c r="APG94" s="199"/>
      <c r="APH94" s="199"/>
      <c r="API94" s="199"/>
      <c r="APJ94" s="199"/>
      <c r="APK94" s="199"/>
      <c r="APL94" s="199"/>
      <c r="APM94" s="199"/>
      <c r="APN94" s="199"/>
      <c r="APO94" s="199"/>
      <c r="APP94" s="199"/>
      <c r="APQ94" s="199"/>
      <c r="APR94" s="199"/>
      <c r="APS94" s="199"/>
      <c r="APT94" s="199"/>
      <c r="APU94" s="199"/>
      <c r="APV94" s="199"/>
      <c r="APW94" s="199"/>
      <c r="APX94" s="199"/>
      <c r="APY94" s="199"/>
      <c r="APZ94" s="199"/>
      <c r="AQA94" s="199"/>
      <c r="AQB94" s="199"/>
      <c r="AQC94" s="199"/>
      <c r="AQD94" s="199"/>
      <c r="AQE94" s="199"/>
      <c r="AQF94" s="199"/>
      <c r="AQG94" s="199"/>
      <c r="AQH94" s="193"/>
      <c r="AQI94" s="193"/>
      <c r="AQJ94" s="193"/>
      <c r="AQK94" s="193"/>
      <c r="AQL94" s="194"/>
      <c r="AQM94" s="194"/>
      <c r="AQN94" s="196"/>
      <c r="AQO94" s="197"/>
      <c r="AQP94" s="197"/>
      <c r="AQQ94" s="198"/>
      <c r="AQR94" s="198"/>
      <c r="AQS94" s="199"/>
      <c r="AQT94" s="199"/>
      <c r="AQU94" s="199"/>
      <c r="AQV94" s="199"/>
      <c r="AQW94" s="199"/>
      <c r="AQX94" s="199"/>
      <c r="AQY94" s="199"/>
      <c r="AQZ94" s="199"/>
      <c r="ARA94" s="199"/>
      <c r="ARB94" s="199"/>
      <c r="ARC94" s="199"/>
      <c r="ARD94" s="199"/>
      <c r="ARE94" s="199"/>
      <c r="ARF94" s="199"/>
      <c r="ARG94" s="199"/>
      <c r="ARH94" s="199"/>
      <c r="ARI94" s="199"/>
      <c r="ARJ94" s="199"/>
      <c r="ARK94" s="199"/>
      <c r="ARL94" s="199"/>
      <c r="ARM94" s="199"/>
      <c r="ARN94" s="199"/>
      <c r="ARO94" s="199"/>
      <c r="ARP94" s="199"/>
      <c r="ARQ94" s="199"/>
      <c r="ARR94" s="199"/>
      <c r="ARS94" s="199"/>
      <c r="ART94" s="199"/>
      <c r="ARU94" s="199"/>
      <c r="ARV94" s="199"/>
      <c r="ARW94" s="199"/>
      <c r="ARX94" s="199"/>
      <c r="ARY94" s="199"/>
      <c r="ARZ94" s="199"/>
      <c r="ASA94" s="193"/>
      <c r="ASB94" s="193"/>
      <c r="ASC94" s="193"/>
      <c r="ASD94" s="193"/>
      <c r="ASE94" s="194"/>
      <c r="ASF94" s="194"/>
      <c r="ASG94" s="196"/>
      <c r="ASH94" s="197"/>
      <c r="ASI94" s="197"/>
      <c r="ASJ94" s="198"/>
      <c r="ASK94" s="198"/>
      <c r="ASL94" s="199"/>
      <c r="ASM94" s="199"/>
      <c r="ASN94" s="199"/>
      <c r="ASO94" s="199"/>
      <c r="ASP94" s="199"/>
      <c r="ASQ94" s="199"/>
      <c r="ASR94" s="199"/>
      <c r="ASS94" s="199"/>
      <c r="AST94" s="199"/>
      <c r="ASU94" s="199"/>
      <c r="ASV94" s="199"/>
      <c r="ASW94" s="199"/>
      <c r="ASX94" s="199"/>
      <c r="ASY94" s="199"/>
      <c r="ASZ94" s="199"/>
      <c r="ATA94" s="199"/>
      <c r="ATB94" s="199"/>
      <c r="ATC94" s="199"/>
      <c r="ATD94" s="199"/>
      <c r="ATE94" s="199"/>
      <c r="ATF94" s="199"/>
      <c r="ATG94" s="199"/>
      <c r="ATH94" s="199"/>
      <c r="ATI94" s="199"/>
      <c r="ATJ94" s="199"/>
      <c r="ATK94" s="199"/>
      <c r="ATL94" s="199"/>
      <c r="ATM94" s="199"/>
      <c r="ATN94" s="199"/>
      <c r="ATO94" s="199"/>
      <c r="ATP94" s="199"/>
      <c r="ATQ94" s="199"/>
      <c r="ATR94" s="199"/>
      <c r="ATS94" s="199"/>
      <c r="ATT94" s="193"/>
      <c r="ATU94" s="193"/>
      <c r="ATV94" s="193"/>
      <c r="ATW94" s="193"/>
      <c r="ATX94" s="194"/>
      <c r="ATY94" s="194"/>
      <c r="ATZ94" s="196"/>
      <c r="AUA94" s="197"/>
      <c r="AUB94" s="197"/>
      <c r="AUC94" s="198"/>
      <c r="AUD94" s="198"/>
      <c r="AUE94" s="199"/>
      <c r="AUF94" s="199"/>
      <c r="AUG94" s="199"/>
      <c r="AUH94" s="199"/>
      <c r="AUI94" s="199"/>
      <c r="AUJ94" s="199"/>
      <c r="AUK94" s="199"/>
      <c r="AUL94" s="199"/>
      <c r="AUM94" s="199"/>
      <c r="AUN94" s="199"/>
      <c r="AUO94" s="199"/>
      <c r="AUP94" s="199"/>
      <c r="AUQ94" s="199"/>
      <c r="AUR94" s="199"/>
      <c r="AUS94" s="199"/>
      <c r="AUT94" s="199"/>
      <c r="AUU94" s="199"/>
      <c r="AUV94" s="199"/>
      <c r="AUW94" s="199"/>
      <c r="AUX94" s="199"/>
      <c r="AUY94" s="199"/>
      <c r="AUZ94" s="199"/>
      <c r="AVA94" s="199"/>
      <c r="AVB94" s="199"/>
      <c r="AVC94" s="199"/>
      <c r="AVD94" s="199"/>
      <c r="AVE94" s="199"/>
      <c r="AVF94" s="199"/>
      <c r="AVG94" s="199"/>
      <c r="AVH94" s="199"/>
      <c r="AVI94" s="199"/>
      <c r="AVJ94" s="199"/>
      <c r="AVK94" s="199"/>
      <c r="AVL94" s="199"/>
      <c r="AVM94" s="193"/>
      <c r="AVN94" s="193"/>
      <c r="AVO94" s="193"/>
      <c r="AVP94" s="193"/>
      <c r="AVQ94" s="194"/>
      <c r="AVR94" s="194"/>
      <c r="AVS94" s="196"/>
      <c r="AVT94" s="197"/>
      <c r="AVU94" s="197"/>
      <c r="AVV94" s="198"/>
      <c r="AVW94" s="198"/>
      <c r="AVX94" s="199"/>
      <c r="AVY94" s="199"/>
      <c r="AVZ94" s="199"/>
      <c r="AWA94" s="199"/>
      <c r="AWB94" s="199"/>
      <c r="AWC94" s="199"/>
      <c r="AWD94" s="199"/>
      <c r="AWE94" s="199"/>
      <c r="AWF94" s="199"/>
      <c r="AWG94" s="199"/>
      <c r="AWH94" s="199"/>
      <c r="AWI94" s="199"/>
      <c r="AWJ94" s="199"/>
      <c r="AWK94" s="199"/>
      <c r="AWL94" s="199"/>
      <c r="AWM94" s="199"/>
      <c r="AWN94" s="199"/>
      <c r="AWO94" s="199"/>
      <c r="AWP94" s="199"/>
      <c r="AWQ94" s="199"/>
      <c r="AWR94" s="199"/>
      <c r="AWS94" s="199"/>
      <c r="AWT94" s="199"/>
      <c r="AWU94" s="199"/>
      <c r="AWV94" s="199"/>
      <c r="AWW94" s="199"/>
      <c r="AWX94" s="199"/>
      <c r="AWY94" s="199"/>
      <c r="AWZ94" s="199"/>
      <c r="AXA94" s="199"/>
      <c r="AXB94" s="199"/>
      <c r="AXC94" s="199"/>
      <c r="AXD94" s="199"/>
      <c r="AXE94" s="199"/>
      <c r="AXF94" s="193"/>
      <c r="AXG94" s="193"/>
      <c r="AXH94" s="193"/>
      <c r="AXI94" s="193"/>
      <c r="AXJ94" s="194"/>
      <c r="AXK94" s="194"/>
      <c r="AXL94" s="196"/>
      <c r="AXM94" s="197"/>
      <c r="AXN94" s="197"/>
      <c r="AXO94" s="198"/>
      <c r="AXP94" s="198"/>
      <c r="AXQ94" s="199"/>
      <c r="AXR94" s="199"/>
      <c r="AXS94" s="199"/>
      <c r="AXT94" s="199"/>
      <c r="AXU94" s="199"/>
      <c r="AXV94" s="199"/>
      <c r="AXW94" s="199"/>
      <c r="AXX94" s="199"/>
      <c r="AXY94" s="199"/>
      <c r="AXZ94" s="199"/>
      <c r="AYA94" s="199"/>
      <c r="AYB94" s="199"/>
      <c r="AYC94" s="199"/>
      <c r="AYD94" s="199"/>
      <c r="AYE94" s="199"/>
      <c r="AYF94" s="199"/>
      <c r="AYG94" s="199"/>
      <c r="AYH94" s="199"/>
      <c r="AYI94" s="199"/>
      <c r="AYJ94" s="199"/>
      <c r="AYK94" s="199"/>
      <c r="AYL94" s="199"/>
      <c r="AYM94" s="199"/>
      <c r="AYN94" s="199"/>
      <c r="AYO94" s="199"/>
      <c r="AYP94" s="199"/>
      <c r="AYQ94" s="199"/>
      <c r="AYR94" s="199"/>
      <c r="AYS94" s="199"/>
      <c r="AYT94" s="199"/>
      <c r="AYU94" s="199"/>
      <c r="AYV94" s="199"/>
      <c r="AYW94" s="199"/>
      <c r="AYX94" s="199"/>
      <c r="AYY94" s="193"/>
      <c r="AYZ94" s="193"/>
      <c r="AZA94" s="193"/>
      <c r="AZB94" s="193"/>
      <c r="AZC94" s="194"/>
      <c r="AZD94" s="194"/>
      <c r="AZE94" s="196"/>
      <c r="AZF94" s="197"/>
      <c r="AZG94" s="197"/>
      <c r="AZH94" s="198"/>
      <c r="AZI94" s="198"/>
      <c r="AZJ94" s="199"/>
      <c r="AZK94" s="199"/>
      <c r="AZL94" s="199"/>
      <c r="AZM94" s="199"/>
      <c r="AZN94" s="199"/>
      <c r="AZO94" s="199"/>
      <c r="AZP94" s="199"/>
      <c r="AZQ94" s="199"/>
      <c r="AZR94" s="199"/>
      <c r="AZS94" s="199"/>
      <c r="AZT94" s="199"/>
      <c r="AZU94" s="199"/>
      <c r="AZV94" s="199"/>
      <c r="AZW94" s="199"/>
      <c r="AZX94" s="199"/>
      <c r="AZY94" s="199"/>
      <c r="AZZ94" s="199"/>
      <c r="BAA94" s="199"/>
      <c r="BAB94" s="199"/>
      <c r="BAC94" s="199"/>
      <c r="BAD94" s="199"/>
      <c r="BAE94" s="199"/>
      <c r="BAF94" s="199"/>
      <c r="BAG94" s="199"/>
      <c r="BAH94" s="199"/>
      <c r="BAI94" s="199"/>
      <c r="BAJ94" s="199"/>
      <c r="BAK94" s="199"/>
      <c r="BAL94" s="199"/>
      <c r="BAM94" s="199"/>
      <c r="BAN94" s="199"/>
      <c r="BAO94" s="199"/>
      <c r="BAP94" s="199"/>
      <c r="BAQ94" s="199"/>
      <c r="BAR94" s="193"/>
      <c r="BAS94" s="193"/>
      <c r="BAT94" s="193"/>
      <c r="BAU94" s="193"/>
      <c r="BAV94" s="194"/>
      <c r="BAW94" s="194"/>
      <c r="BAX94" s="196"/>
      <c r="BAY94" s="197"/>
      <c r="BAZ94" s="197"/>
      <c r="BBA94" s="198"/>
      <c r="BBB94" s="198"/>
      <c r="BBC94" s="199"/>
      <c r="BBD94" s="199"/>
      <c r="BBE94" s="199"/>
      <c r="BBF94" s="199"/>
      <c r="BBG94" s="199"/>
      <c r="BBH94" s="199"/>
      <c r="BBI94" s="199"/>
      <c r="BBJ94" s="199"/>
      <c r="BBK94" s="199"/>
      <c r="BBL94" s="199"/>
      <c r="BBM94" s="199"/>
      <c r="BBN94" s="199"/>
      <c r="BBO94" s="199"/>
      <c r="BBP94" s="199"/>
      <c r="BBQ94" s="199"/>
      <c r="BBR94" s="199"/>
      <c r="BBS94" s="199"/>
      <c r="BBT94" s="199"/>
      <c r="BBU94" s="199"/>
      <c r="BBV94" s="199"/>
      <c r="BBW94" s="199"/>
      <c r="BBX94" s="199"/>
      <c r="BBY94" s="199"/>
      <c r="BBZ94" s="199"/>
      <c r="BCA94" s="199"/>
      <c r="BCB94" s="199"/>
      <c r="BCC94" s="199"/>
      <c r="BCD94" s="199"/>
      <c r="BCE94" s="199"/>
      <c r="BCF94" s="199"/>
      <c r="BCG94" s="199"/>
      <c r="BCH94" s="199"/>
      <c r="BCI94" s="199"/>
      <c r="BCJ94" s="199"/>
      <c r="BCK94" s="193"/>
      <c r="BCL94" s="193"/>
      <c r="BCM94" s="193"/>
      <c r="BCN94" s="193"/>
      <c r="BCO94" s="194"/>
      <c r="BCP94" s="194"/>
      <c r="BCQ94" s="196"/>
      <c r="BCR94" s="197"/>
      <c r="BCS94" s="197"/>
      <c r="BCT94" s="198"/>
      <c r="BCU94" s="198"/>
      <c r="BCV94" s="199"/>
      <c r="BCW94" s="199"/>
      <c r="BCX94" s="199"/>
      <c r="BCY94" s="199"/>
      <c r="BCZ94" s="199"/>
      <c r="BDA94" s="199"/>
      <c r="BDB94" s="199"/>
      <c r="BDC94" s="199"/>
      <c r="BDD94" s="199"/>
      <c r="BDE94" s="199"/>
      <c r="BDF94" s="199"/>
      <c r="BDG94" s="199"/>
      <c r="BDH94" s="199"/>
      <c r="BDI94" s="199"/>
      <c r="BDJ94" s="199"/>
      <c r="BDK94" s="199"/>
      <c r="BDL94" s="199"/>
      <c r="BDM94" s="199"/>
      <c r="BDN94" s="199"/>
      <c r="BDO94" s="199"/>
      <c r="BDP94" s="199"/>
      <c r="BDQ94" s="199"/>
      <c r="BDR94" s="199"/>
      <c r="BDS94" s="199"/>
      <c r="BDT94" s="199"/>
      <c r="BDU94" s="199"/>
      <c r="BDV94" s="199"/>
      <c r="BDW94" s="199"/>
      <c r="BDX94" s="199"/>
      <c r="BDY94" s="199"/>
      <c r="BDZ94" s="199"/>
      <c r="BEA94" s="199"/>
      <c r="BEB94" s="199"/>
      <c r="BEC94" s="199"/>
      <c r="BED94" s="193"/>
      <c r="BEE94" s="193"/>
      <c r="BEF94" s="193"/>
      <c r="BEG94" s="193"/>
      <c r="BEH94" s="194"/>
      <c r="BEI94" s="194"/>
      <c r="BEJ94" s="196"/>
      <c r="BEK94" s="197"/>
      <c r="BEL94" s="197"/>
      <c r="BEM94" s="198"/>
      <c r="BEN94" s="198"/>
      <c r="BEO94" s="199"/>
      <c r="BEP94" s="199"/>
      <c r="BEQ94" s="199"/>
      <c r="BER94" s="199"/>
      <c r="BES94" s="199"/>
      <c r="BET94" s="199"/>
      <c r="BEU94" s="199"/>
      <c r="BEV94" s="199"/>
      <c r="BEW94" s="199"/>
      <c r="BEX94" s="199"/>
      <c r="BEY94" s="199"/>
      <c r="BEZ94" s="199"/>
      <c r="BFA94" s="199"/>
      <c r="BFB94" s="199"/>
      <c r="BFC94" s="199"/>
      <c r="BFD94" s="199"/>
      <c r="BFE94" s="199"/>
      <c r="BFF94" s="199"/>
      <c r="BFG94" s="199"/>
      <c r="BFH94" s="199"/>
      <c r="BFI94" s="199"/>
      <c r="BFJ94" s="199"/>
      <c r="BFK94" s="199"/>
      <c r="BFL94" s="199"/>
      <c r="BFM94" s="199"/>
      <c r="BFN94" s="199"/>
      <c r="BFO94" s="199"/>
      <c r="BFP94" s="199"/>
      <c r="BFQ94" s="199"/>
      <c r="BFR94" s="199"/>
      <c r="BFS94" s="199"/>
      <c r="BFT94" s="199"/>
      <c r="BFU94" s="199"/>
      <c r="BFV94" s="199"/>
      <c r="BFW94" s="193"/>
      <c r="BFX94" s="193"/>
      <c r="BFY94" s="193"/>
      <c r="BFZ94" s="193"/>
      <c r="BGA94" s="194"/>
      <c r="BGB94" s="194"/>
      <c r="BGC94" s="196"/>
      <c r="BGD94" s="197"/>
      <c r="BGE94" s="197"/>
      <c r="BGF94" s="198"/>
      <c r="BGG94" s="198"/>
      <c r="BGH94" s="199"/>
      <c r="BGI94" s="199"/>
      <c r="BGJ94" s="199"/>
      <c r="BGK94" s="199"/>
      <c r="BGL94" s="199"/>
      <c r="BGM94" s="199"/>
      <c r="BGN94" s="199"/>
      <c r="BGO94" s="199"/>
      <c r="BGP94" s="199"/>
      <c r="BGQ94" s="199"/>
      <c r="BGR94" s="199"/>
      <c r="BGS94" s="199"/>
      <c r="BGT94" s="199"/>
      <c r="BGU94" s="199"/>
      <c r="BGV94" s="199"/>
      <c r="BGW94" s="199"/>
      <c r="BGX94" s="199"/>
      <c r="BGY94" s="199"/>
      <c r="BGZ94" s="199"/>
      <c r="BHA94" s="199"/>
      <c r="BHB94" s="199"/>
      <c r="BHC94" s="199"/>
      <c r="BHD94" s="199"/>
      <c r="BHE94" s="199"/>
      <c r="BHF94" s="199"/>
      <c r="BHG94" s="199"/>
      <c r="BHH94" s="199"/>
      <c r="BHI94" s="199"/>
      <c r="BHJ94" s="199"/>
      <c r="BHK94" s="199"/>
      <c r="BHL94" s="199"/>
      <c r="BHM94" s="199"/>
      <c r="BHN94" s="199"/>
      <c r="BHO94" s="199"/>
      <c r="BHP94" s="193"/>
      <c r="BHQ94" s="193"/>
      <c r="BHR94" s="193"/>
      <c r="BHS94" s="193"/>
      <c r="BHT94" s="194"/>
      <c r="BHU94" s="194"/>
      <c r="BHV94" s="196"/>
      <c r="BHW94" s="197"/>
      <c r="BHX94" s="197"/>
      <c r="BHY94" s="198"/>
      <c r="BHZ94" s="198"/>
      <c r="BIA94" s="199"/>
      <c r="BIB94" s="199"/>
      <c r="BIC94" s="199"/>
      <c r="BID94" s="199"/>
      <c r="BIE94" s="199"/>
      <c r="BIF94" s="199"/>
      <c r="BIG94" s="199"/>
      <c r="BIH94" s="199"/>
      <c r="BII94" s="199"/>
      <c r="BIJ94" s="199"/>
      <c r="BIK94" s="199"/>
      <c r="BIL94" s="199"/>
      <c r="BIM94" s="199"/>
      <c r="BIN94" s="199"/>
      <c r="BIO94" s="199"/>
      <c r="BIP94" s="199"/>
      <c r="BIQ94" s="199"/>
      <c r="BIR94" s="199"/>
      <c r="BIS94" s="199"/>
      <c r="BIT94" s="199"/>
      <c r="BIU94" s="199"/>
      <c r="BIV94" s="199"/>
      <c r="BIW94" s="199"/>
      <c r="BIX94" s="199"/>
      <c r="BIY94" s="199"/>
      <c r="BIZ94" s="199"/>
      <c r="BJA94" s="199"/>
      <c r="BJB94" s="199"/>
      <c r="BJC94" s="199"/>
      <c r="BJD94" s="199"/>
      <c r="BJE94" s="199"/>
      <c r="BJF94" s="199"/>
      <c r="BJG94" s="199"/>
      <c r="BJH94" s="199"/>
      <c r="BJI94" s="193"/>
      <c r="BJJ94" s="193"/>
      <c r="BJK94" s="193"/>
      <c r="BJL94" s="193"/>
      <c r="BJM94" s="194"/>
      <c r="BJN94" s="194"/>
      <c r="BJO94" s="196"/>
      <c r="BJP94" s="197"/>
      <c r="BJQ94" s="197"/>
      <c r="BJR94" s="198"/>
      <c r="BJS94" s="198"/>
      <c r="BJT94" s="199"/>
      <c r="BJU94" s="199"/>
      <c r="BJV94" s="199"/>
      <c r="BJW94" s="199"/>
      <c r="BJX94" s="199"/>
      <c r="BJY94" s="199"/>
      <c r="BJZ94" s="199"/>
      <c r="BKA94" s="199"/>
      <c r="BKB94" s="199"/>
      <c r="BKC94" s="199"/>
      <c r="BKD94" s="199"/>
      <c r="BKE94" s="199"/>
      <c r="BKF94" s="199"/>
      <c r="BKG94" s="199"/>
      <c r="BKH94" s="199"/>
      <c r="BKI94" s="199"/>
      <c r="BKJ94" s="199"/>
      <c r="BKK94" s="199"/>
      <c r="BKL94" s="199"/>
      <c r="BKM94" s="199"/>
      <c r="BKN94" s="199"/>
      <c r="BKO94" s="199"/>
      <c r="BKP94" s="199"/>
      <c r="BKQ94" s="199"/>
      <c r="BKR94" s="199"/>
      <c r="BKS94" s="199"/>
      <c r="BKT94" s="199"/>
      <c r="BKU94" s="199"/>
      <c r="BKV94" s="199"/>
      <c r="BKW94" s="199"/>
      <c r="BKX94" s="199"/>
      <c r="BKY94" s="199"/>
      <c r="BKZ94" s="199"/>
      <c r="BLA94" s="199"/>
      <c r="BLB94" s="193"/>
      <c r="BLC94" s="193"/>
      <c r="BLD94" s="193"/>
      <c r="BLE94" s="193"/>
      <c r="BLF94" s="194"/>
      <c r="BLG94" s="194"/>
      <c r="BLH94" s="196"/>
      <c r="BLI94" s="197"/>
      <c r="BLJ94" s="197"/>
      <c r="BLK94" s="198"/>
      <c r="BLL94" s="198"/>
      <c r="BLM94" s="199"/>
      <c r="BLN94" s="199"/>
      <c r="BLO94" s="199"/>
      <c r="BLP94" s="199"/>
      <c r="BLQ94" s="199"/>
      <c r="BLR94" s="199"/>
      <c r="BLS94" s="199"/>
      <c r="BLT94" s="199"/>
      <c r="BLU94" s="199"/>
      <c r="BLV94" s="199"/>
      <c r="BLW94" s="199"/>
      <c r="BLX94" s="199"/>
      <c r="BLY94" s="199"/>
      <c r="BLZ94" s="199"/>
      <c r="BMA94" s="199"/>
      <c r="BMB94" s="199"/>
      <c r="BMC94" s="199"/>
      <c r="BMD94" s="199"/>
      <c r="BME94" s="199"/>
      <c r="BMF94" s="199"/>
      <c r="BMG94" s="199"/>
      <c r="BMH94" s="199"/>
      <c r="BMI94" s="199"/>
      <c r="BMJ94" s="199"/>
      <c r="BMK94" s="199"/>
      <c r="BML94" s="199"/>
      <c r="BMM94" s="199"/>
      <c r="BMN94" s="199"/>
      <c r="BMO94" s="199"/>
      <c r="BMP94" s="199"/>
      <c r="BMQ94" s="199"/>
      <c r="BMR94" s="199"/>
      <c r="BMS94" s="199"/>
      <c r="BMT94" s="199"/>
      <c r="BMU94" s="193"/>
      <c r="BMV94" s="193"/>
      <c r="BMW94" s="193"/>
      <c r="BMX94" s="193"/>
      <c r="BMY94" s="194"/>
      <c r="BMZ94" s="194"/>
      <c r="BNA94" s="196"/>
      <c r="BNB94" s="197"/>
      <c r="BNC94" s="197"/>
      <c r="BND94" s="198"/>
      <c r="BNE94" s="198"/>
      <c r="BNF94" s="199"/>
      <c r="BNG94" s="199"/>
      <c r="BNH94" s="199"/>
      <c r="BNI94" s="199"/>
      <c r="BNJ94" s="199"/>
      <c r="BNK94" s="199"/>
      <c r="BNL94" s="199"/>
      <c r="BNM94" s="199"/>
      <c r="BNN94" s="199"/>
      <c r="BNO94" s="199"/>
      <c r="BNP94" s="199"/>
      <c r="BNQ94" s="199"/>
      <c r="BNR94" s="199"/>
      <c r="BNS94" s="199"/>
      <c r="BNT94" s="199"/>
      <c r="BNU94" s="199"/>
      <c r="BNV94" s="199"/>
      <c r="BNW94" s="199"/>
      <c r="BNX94" s="199"/>
      <c r="BNY94" s="199"/>
      <c r="BNZ94" s="199"/>
      <c r="BOA94" s="199"/>
      <c r="BOB94" s="199"/>
      <c r="BOC94" s="199"/>
      <c r="BOD94" s="199"/>
      <c r="BOE94" s="199"/>
      <c r="BOF94" s="199"/>
      <c r="BOG94" s="199"/>
      <c r="BOH94" s="199"/>
      <c r="BOI94" s="199"/>
      <c r="BOJ94" s="199"/>
      <c r="BOK94" s="199"/>
      <c r="BOL94" s="199"/>
      <c r="BOM94" s="199"/>
      <c r="BON94" s="193"/>
      <c r="BOO94" s="193"/>
      <c r="BOP94" s="193"/>
      <c r="BOQ94" s="193"/>
      <c r="BOR94" s="194"/>
      <c r="BOS94" s="194"/>
      <c r="BOT94" s="196"/>
      <c r="BOU94" s="197"/>
      <c r="BOV94" s="197"/>
      <c r="BOW94" s="198"/>
      <c r="BOX94" s="198"/>
      <c r="BOY94" s="199"/>
      <c r="BOZ94" s="199"/>
      <c r="BPA94" s="199"/>
      <c r="BPB94" s="199"/>
      <c r="BPC94" s="199"/>
      <c r="BPD94" s="199"/>
      <c r="BPE94" s="199"/>
      <c r="BPF94" s="199"/>
      <c r="BPG94" s="199"/>
      <c r="BPH94" s="199"/>
      <c r="BPI94" s="199"/>
      <c r="BPJ94" s="199"/>
      <c r="BPK94" s="199"/>
      <c r="BPL94" s="199"/>
      <c r="BPM94" s="199"/>
      <c r="BPN94" s="199"/>
      <c r="BPO94" s="199"/>
      <c r="BPP94" s="199"/>
      <c r="BPQ94" s="199"/>
      <c r="BPR94" s="199"/>
      <c r="BPS94" s="199"/>
      <c r="BPT94" s="199"/>
      <c r="BPU94" s="199"/>
      <c r="BPV94" s="199"/>
      <c r="BPW94" s="199"/>
      <c r="BPX94" s="199"/>
      <c r="BPY94" s="199"/>
      <c r="BPZ94" s="199"/>
      <c r="BQA94" s="199"/>
      <c r="BQB94" s="199"/>
      <c r="BQC94" s="199"/>
      <c r="BQD94" s="199"/>
      <c r="BQE94" s="199"/>
      <c r="BQF94" s="199"/>
      <c r="BQG94" s="193"/>
      <c r="BQH94" s="193"/>
      <c r="BQI94" s="193"/>
      <c r="BQJ94" s="193"/>
      <c r="BQK94" s="194"/>
      <c r="BQL94" s="194"/>
      <c r="BQM94" s="196"/>
      <c r="BQN94" s="197"/>
      <c r="BQO94" s="197"/>
      <c r="BQP94" s="198"/>
      <c r="BQQ94" s="198"/>
      <c r="BQR94" s="199"/>
      <c r="BQS94" s="199"/>
      <c r="BQT94" s="199"/>
      <c r="BQU94" s="199"/>
      <c r="BQV94" s="199"/>
      <c r="BQW94" s="199"/>
      <c r="BQX94" s="199"/>
      <c r="BQY94" s="199"/>
      <c r="BQZ94" s="199"/>
      <c r="BRA94" s="199"/>
      <c r="BRB94" s="199"/>
      <c r="BRC94" s="199"/>
      <c r="BRD94" s="199"/>
      <c r="BRE94" s="199"/>
      <c r="BRF94" s="199"/>
      <c r="BRG94" s="199"/>
      <c r="BRH94" s="199"/>
      <c r="BRI94" s="199"/>
      <c r="BRJ94" s="199"/>
      <c r="BRK94" s="199"/>
      <c r="BRL94" s="199"/>
      <c r="BRM94" s="199"/>
      <c r="BRN94" s="199"/>
      <c r="BRO94" s="199"/>
      <c r="BRP94" s="199"/>
      <c r="BRQ94" s="199"/>
      <c r="BRR94" s="199"/>
      <c r="BRS94" s="199"/>
      <c r="BRT94" s="199"/>
      <c r="BRU94" s="199"/>
      <c r="BRV94" s="199"/>
      <c r="BRW94" s="199"/>
      <c r="BRX94" s="199"/>
      <c r="BRY94" s="199"/>
      <c r="BRZ94" s="193"/>
      <c r="BSA94" s="193"/>
      <c r="BSB94" s="193"/>
      <c r="BSC94" s="193"/>
      <c r="BSD94" s="194"/>
      <c r="BSE94" s="194"/>
      <c r="BSF94" s="196"/>
      <c r="BSG94" s="197"/>
      <c r="BSH94" s="197"/>
      <c r="BSI94" s="198"/>
      <c r="BSJ94" s="198"/>
      <c r="BSK94" s="199"/>
      <c r="BSL94" s="199"/>
      <c r="BSM94" s="199"/>
      <c r="BSN94" s="199"/>
      <c r="BSO94" s="199"/>
      <c r="BSP94" s="199"/>
      <c r="BSQ94" s="199"/>
      <c r="BSR94" s="199"/>
      <c r="BSS94" s="199"/>
      <c r="BST94" s="199"/>
      <c r="BSU94" s="199"/>
      <c r="BSV94" s="199"/>
      <c r="BSW94" s="199"/>
      <c r="BSX94" s="199"/>
      <c r="BSY94" s="199"/>
      <c r="BSZ94" s="199"/>
      <c r="BTA94" s="199"/>
      <c r="BTB94" s="199"/>
      <c r="BTC94" s="199"/>
      <c r="BTD94" s="199"/>
      <c r="BTE94" s="199"/>
      <c r="BTF94" s="199"/>
      <c r="BTG94" s="199"/>
      <c r="BTH94" s="199"/>
      <c r="BTI94" s="199"/>
      <c r="BTJ94" s="199"/>
      <c r="BTK94" s="199"/>
      <c r="BTL94" s="199"/>
      <c r="BTM94" s="199"/>
      <c r="BTN94" s="199"/>
      <c r="BTO94" s="199"/>
      <c r="BTP94" s="199"/>
      <c r="BTQ94" s="199"/>
      <c r="BTR94" s="199"/>
      <c r="BTS94" s="193"/>
      <c r="BTT94" s="193"/>
      <c r="BTU94" s="193"/>
      <c r="BTV94" s="193"/>
      <c r="BTW94" s="194"/>
      <c r="BTX94" s="194"/>
      <c r="BTY94" s="196"/>
      <c r="BTZ94" s="197"/>
      <c r="BUA94" s="197"/>
      <c r="BUB94" s="198"/>
      <c r="BUC94" s="198"/>
      <c r="BUD94" s="199"/>
      <c r="BUE94" s="199"/>
      <c r="BUF94" s="199"/>
      <c r="BUG94" s="199"/>
      <c r="BUH94" s="199"/>
      <c r="BUI94" s="199"/>
      <c r="BUJ94" s="199"/>
      <c r="BUK94" s="199"/>
      <c r="BUL94" s="199"/>
      <c r="BUM94" s="199"/>
      <c r="BUN94" s="199"/>
      <c r="BUO94" s="199"/>
      <c r="BUP94" s="199"/>
      <c r="BUQ94" s="199"/>
      <c r="BUR94" s="199"/>
      <c r="BUS94" s="199"/>
      <c r="BUT94" s="199"/>
      <c r="BUU94" s="199"/>
      <c r="BUV94" s="199"/>
      <c r="BUW94" s="199"/>
      <c r="BUX94" s="199"/>
      <c r="BUY94" s="199"/>
      <c r="BUZ94" s="199"/>
      <c r="BVA94" s="199"/>
      <c r="BVB94" s="199"/>
      <c r="BVC94" s="199"/>
      <c r="BVD94" s="199"/>
      <c r="BVE94" s="199"/>
      <c r="BVF94" s="199"/>
      <c r="BVG94" s="199"/>
      <c r="BVH94" s="199"/>
      <c r="BVI94" s="199"/>
      <c r="BVJ94" s="199"/>
      <c r="BVK94" s="199"/>
      <c r="BVL94" s="193"/>
      <c r="BVM94" s="193"/>
      <c r="BVN94" s="193"/>
      <c r="BVO94" s="193"/>
      <c r="BVP94" s="194"/>
      <c r="BVQ94" s="194"/>
      <c r="BVR94" s="196"/>
      <c r="BVS94" s="197"/>
      <c r="BVT94" s="197"/>
      <c r="BVU94" s="198"/>
      <c r="BVV94" s="198"/>
      <c r="BVW94" s="199"/>
      <c r="BVX94" s="199"/>
      <c r="BVY94" s="199"/>
      <c r="BVZ94" s="199"/>
      <c r="BWA94" s="199"/>
      <c r="BWB94" s="199"/>
      <c r="BWC94" s="199"/>
      <c r="BWD94" s="199"/>
      <c r="BWE94" s="199"/>
      <c r="BWF94" s="199"/>
      <c r="BWG94" s="199"/>
      <c r="BWH94" s="199"/>
      <c r="BWI94" s="199"/>
      <c r="BWJ94" s="199"/>
      <c r="BWK94" s="199"/>
      <c r="BWL94" s="199"/>
      <c r="BWM94" s="199"/>
      <c r="BWN94" s="199"/>
      <c r="BWO94" s="199"/>
      <c r="BWP94" s="199"/>
      <c r="BWQ94" s="199"/>
      <c r="BWR94" s="199"/>
      <c r="BWS94" s="199"/>
      <c r="BWT94" s="199"/>
      <c r="BWU94" s="199"/>
      <c r="BWV94" s="199"/>
      <c r="BWW94" s="199"/>
      <c r="BWX94" s="199"/>
      <c r="BWY94" s="199"/>
      <c r="BWZ94" s="199"/>
      <c r="BXA94" s="199"/>
      <c r="BXB94" s="199"/>
      <c r="BXC94" s="199"/>
      <c r="BXD94" s="199"/>
      <c r="BXE94" s="193"/>
      <c r="BXF94" s="193"/>
      <c r="BXG94" s="193"/>
      <c r="BXH94" s="193"/>
      <c r="BXI94" s="194"/>
      <c r="BXJ94" s="194"/>
      <c r="BXK94" s="196"/>
      <c r="BXL94" s="197"/>
      <c r="BXM94" s="197"/>
      <c r="BXN94" s="198"/>
      <c r="BXO94" s="198"/>
      <c r="BXP94" s="199"/>
      <c r="BXQ94" s="199"/>
      <c r="BXR94" s="199"/>
      <c r="BXS94" s="199"/>
      <c r="BXT94" s="199"/>
      <c r="BXU94" s="199"/>
      <c r="BXV94" s="199"/>
      <c r="BXW94" s="199"/>
      <c r="BXX94" s="199"/>
      <c r="BXY94" s="199"/>
      <c r="BXZ94" s="199"/>
      <c r="BYA94" s="199"/>
      <c r="BYB94" s="199"/>
      <c r="BYC94" s="199"/>
      <c r="BYD94" s="199"/>
      <c r="BYE94" s="199"/>
      <c r="BYF94" s="199"/>
      <c r="BYG94" s="199"/>
      <c r="BYH94" s="199"/>
      <c r="BYI94" s="199"/>
      <c r="BYJ94" s="199"/>
      <c r="BYK94" s="199"/>
      <c r="BYL94" s="199"/>
      <c r="BYM94" s="199"/>
      <c r="BYN94" s="199"/>
      <c r="BYO94" s="199"/>
      <c r="BYP94" s="199"/>
      <c r="BYQ94" s="199"/>
      <c r="BYR94" s="199"/>
      <c r="BYS94" s="199"/>
      <c r="BYT94" s="199"/>
      <c r="BYU94" s="199"/>
      <c r="BYV94" s="199"/>
      <c r="BYW94" s="199"/>
      <c r="BYX94" s="193"/>
      <c r="BYY94" s="193"/>
      <c r="BYZ94" s="193"/>
      <c r="BZA94" s="193"/>
      <c r="BZB94" s="194"/>
      <c r="BZC94" s="194"/>
      <c r="BZD94" s="196"/>
      <c r="BZE94" s="197"/>
      <c r="BZF94" s="197"/>
      <c r="BZG94" s="198"/>
      <c r="BZH94" s="198"/>
      <c r="BZI94" s="199"/>
      <c r="BZJ94" s="199"/>
      <c r="BZK94" s="199"/>
      <c r="BZL94" s="199"/>
      <c r="BZM94" s="199"/>
      <c r="BZN94" s="199"/>
      <c r="BZO94" s="199"/>
      <c r="BZP94" s="199"/>
      <c r="BZQ94" s="199"/>
      <c r="BZR94" s="199"/>
      <c r="BZS94" s="199"/>
      <c r="BZT94" s="199"/>
      <c r="BZU94" s="199"/>
      <c r="BZV94" s="199"/>
      <c r="BZW94" s="199"/>
      <c r="BZX94" s="199"/>
      <c r="BZY94" s="199"/>
      <c r="BZZ94" s="199"/>
      <c r="CAA94" s="199"/>
      <c r="CAB94" s="199"/>
      <c r="CAC94" s="199"/>
      <c r="CAD94" s="199"/>
      <c r="CAE94" s="199"/>
      <c r="CAF94" s="199"/>
      <c r="CAG94" s="199"/>
      <c r="CAH94" s="199"/>
      <c r="CAI94" s="199"/>
      <c r="CAJ94" s="199"/>
      <c r="CAK94" s="199"/>
      <c r="CAL94" s="199"/>
      <c r="CAM94" s="199"/>
      <c r="CAN94" s="199"/>
      <c r="CAO94" s="199"/>
      <c r="CAP94" s="199"/>
      <c r="CAQ94" s="193"/>
      <c r="CAR94" s="193"/>
      <c r="CAS94" s="193"/>
      <c r="CAT94" s="193"/>
      <c r="CAU94" s="194"/>
      <c r="CAV94" s="194"/>
      <c r="CAW94" s="196"/>
      <c r="CAX94" s="197"/>
      <c r="CAY94" s="197"/>
      <c r="CAZ94" s="198"/>
      <c r="CBA94" s="198"/>
      <c r="CBB94" s="199"/>
      <c r="CBC94" s="199"/>
      <c r="CBD94" s="199"/>
      <c r="CBE94" s="199"/>
      <c r="CBF94" s="199"/>
      <c r="CBG94" s="199"/>
      <c r="CBH94" s="199"/>
      <c r="CBI94" s="199"/>
      <c r="CBJ94" s="199"/>
      <c r="CBK94" s="199"/>
      <c r="CBL94" s="199"/>
      <c r="CBM94" s="199"/>
      <c r="CBN94" s="199"/>
      <c r="CBO94" s="199"/>
      <c r="CBP94" s="199"/>
      <c r="CBQ94" s="199"/>
      <c r="CBR94" s="199"/>
      <c r="CBS94" s="199"/>
      <c r="CBT94" s="199"/>
      <c r="CBU94" s="199"/>
      <c r="CBV94" s="199"/>
      <c r="CBW94" s="199"/>
      <c r="CBX94" s="199"/>
      <c r="CBY94" s="199"/>
      <c r="CBZ94" s="199"/>
      <c r="CCA94" s="199"/>
      <c r="CCB94" s="199"/>
      <c r="CCC94" s="199"/>
      <c r="CCD94" s="199"/>
      <c r="CCE94" s="199"/>
      <c r="CCF94" s="199"/>
      <c r="CCG94" s="199"/>
      <c r="CCH94" s="199"/>
      <c r="CCI94" s="199"/>
      <c r="CCJ94" s="193"/>
      <c r="CCK94" s="193"/>
      <c r="CCL94" s="193"/>
      <c r="CCM94" s="193"/>
      <c r="CCN94" s="194"/>
      <c r="CCO94" s="194"/>
      <c r="CCP94" s="196"/>
      <c r="CCQ94" s="197"/>
      <c r="CCR94" s="197"/>
      <c r="CCS94" s="198"/>
      <c r="CCT94" s="198"/>
      <c r="CCU94" s="199"/>
      <c r="CCV94" s="199"/>
      <c r="CCW94" s="199"/>
      <c r="CCX94" s="199"/>
      <c r="CCY94" s="199"/>
      <c r="CCZ94" s="199"/>
      <c r="CDA94" s="199"/>
      <c r="CDB94" s="199"/>
      <c r="CDC94" s="199"/>
      <c r="CDD94" s="199"/>
      <c r="CDE94" s="199"/>
      <c r="CDF94" s="199"/>
      <c r="CDG94" s="199"/>
      <c r="CDH94" s="199"/>
      <c r="CDI94" s="199"/>
      <c r="CDJ94" s="199"/>
      <c r="CDK94" s="199"/>
      <c r="CDL94" s="199"/>
      <c r="CDM94" s="199"/>
      <c r="CDN94" s="199"/>
      <c r="CDO94" s="199"/>
      <c r="CDP94" s="199"/>
      <c r="CDQ94" s="199"/>
      <c r="CDR94" s="199"/>
      <c r="CDS94" s="199"/>
      <c r="CDT94" s="199"/>
      <c r="CDU94" s="199"/>
      <c r="CDV94" s="199"/>
      <c r="CDW94" s="199"/>
      <c r="CDX94" s="199"/>
      <c r="CDY94" s="199"/>
      <c r="CDZ94" s="199"/>
      <c r="CEA94" s="199"/>
      <c r="CEB94" s="199"/>
      <c r="CEC94" s="193"/>
      <c r="CED94" s="193"/>
      <c r="CEE94" s="193"/>
      <c r="CEF94" s="193"/>
      <c r="CEG94" s="194"/>
      <c r="CEH94" s="194"/>
      <c r="CEI94" s="196"/>
      <c r="CEJ94" s="197"/>
      <c r="CEK94" s="197"/>
      <c r="CEL94" s="198"/>
      <c r="CEM94" s="198"/>
      <c r="CEN94" s="199"/>
      <c r="CEO94" s="199"/>
      <c r="CEP94" s="199"/>
      <c r="CEQ94" s="199"/>
      <c r="CER94" s="199"/>
      <c r="CES94" s="199"/>
      <c r="CET94" s="199"/>
      <c r="CEU94" s="199"/>
      <c r="CEV94" s="199"/>
      <c r="CEW94" s="199"/>
      <c r="CEX94" s="199"/>
      <c r="CEY94" s="199"/>
      <c r="CEZ94" s="199"/>
      <c r="CFA94" s="199"/>
      <c r="CFB94" s="199"/>
      <c r="CFC94" s="199"/>
      <c r="CFD94" s="199"/>
      <c r="CFE94" s="199"/>
      <c r="CFF94" s="199"/>
      <c r="CFG94" s="199"/>
      <c r="CFH94" s="199"/>
      <c r="CFI94" s="199"/>
      <c r="CFJ94" s="199"/>
      <c r="CFK94" s="199"/>
      <c r="CFL94" s="199"/>
      <c r="CFM94" s="199"/>
      <c r="CFN94" s="199"/>
      <c r="CFO94" s="199"/>
      <c r="CFP94" s="199"/>
      <c r="CFQ94" s="199"/>
      <c r="CFR94" s="199"/>
      <c r="CFS94" s="199"/>
      <c r="CFT94" s="199"/>
      <c r="CFU94" s="199"/>
      <c r="CFV94" s="193"/>
      <c r="CFW94" s="193"/>
      <c r="CFX94" s="193"/>
      <c r="CFY94" s="193"/>
      <c r="CFZ94" s="194"/>
      <c r="CGA94" s="194"/>
      <c r="CGB94" s="196"/>
      <c r="CGC94" s="197"/>
      <c r="CGD94" s="197"/>
      <c r="CGE94" s="198"/>
      <c r="CGF94" s="198"/>
      <c r="CGG94" s="199"/>
      <c r="CGH94" s="199"/>
      <c r="CGI94" s="199"/>
      <c r="CGJ94" s="199"/>
      <c r="CGK94" s="199"/>
      <c r="CGL94" s="199"/>
      <c r="CGM94" s="199"/>
      <c r="CGN94" s="199"/>
      <c r="CGO94" s="199"/>
      <c r="CGP94" s="199"/>
      <c r="CGQ94" s="199"/>
      <c r="CGR94" s="199"/>
      <c r="CGS94" s="199"/>
      <c r="CGT94" s="199"/>
      <c r="CGU94" s="199"/>
      <c r="CGV94" s="199"/>
      <c r="CGW94" s="199"/>
      <c r="CGX94" s="199"/>
      <c r="CGY94" s="199"/>
      <c r="CGZ94" s="199"/>
      <c r="CHA94" s="199"/>
      <c r="CHB94" s="199"/>
      <c r="CHC94" s="199"/>
      <c r="CHD94" s="199"/>
      <c r="CHE94" s="199"/>
      <c r="CHF94" s="199"/>
      <c r="CHG94" s="199"/>
      <c r="CHH94" s="199"/>
      <c r="CHI94" s="199"/>
      <c r="CHJ94" s="199"/>
      <c r="CHK94" s="199"/>
      <c r="CHL94" s="199"/>
      <c r="CHM94" s="199"/>
      <c r="CHN94" s="199"/>
      <c r="CHO94" s="193"/>
      <c r="CHP94" s="193"/>
      <c r="CHQ94" s="193"/>
      <c r="CHR94" s="193"/>
      <c r="CHS94" s="194"/>
      <c r="CHT94" s="194"/>
      <c r="CHU94" s="196"/>
      <c r="CHV94" s="197"/>
      <c r="CHW94" s="197"/>
      <c r="CHX94" s="198"/>
      <c r="CHY94" s="198"/>
      <c r="CHZ94" s="199"/>
      <c r="CIA94" s="199"/>
      <c r="CIB94" s="199"/>
      <c r="CIC94" s="199"/>
      <c r="CID94" s="199"/>
      <c r="CIE94" s="199"/>
      <c r="CIF94" s="199"/>
      <c r="CIG94" s="199"/>
      <c r="CIH94" s="199"/>
      <c r="CII94" s="199"/>
      <c r="CIJ94" s="199"/>
      <c r="CIK94" s="199"/>
      <c r="CIL94" s="199"/>
      <c r="CIM94" s="199"/>
      <c r="CIN94" s="199"/>
      <c r="CIO94" s="199"/>
      <c r="CIP94" s="199"/>
      <c r="CIQ94" s="199"/>
      <c r="CIR94" s="199"/>
      <c r="CIS94" s="199"/>
      <c r="CIT94" s="199"/>
      <c r="CIU94" s="199"/>
      <c r="CIV94" s="199"/>
      <c r="CIW94" s="199"/>
      <c r="CIX94" s="199"/>
      <c r="CIY94" s="199"/>
      <c r="CIZ94" s="199"/>
      <c r="CJA94" s="199"/>
      <c r="CJB94" s="199"/>
      <c r="CJC94" s="199"/>
      <c r="CJD94" s="199"/>
      <c r="CJE94" s="199"/>
      <c r="CJF94" s="199"/>
      <c r="CJG94" s="199"/>
      <c r="CJH94" s="193"/>
      <c r="CJI94" s="193"/>
      <c r="CJJ94" s="193"/>
      <c r="CJK94" s="193"/>
      <c r="CJL94" s="194"/>
      <c r="CJM94" s="194"/>
      <c r="CJN94" s="196"/>
      <c r="CJO94" s="197"/>
      <c r="CJP94" s="197"/>
      <c r="CJQ94" s="198"/>
      <c r="CJR94" s="198"/>
      <c r="CJS94" s="199"/>
      <c r="CJT94" s="199"/>
      <c r="CJU94" s="199"/>
      <c r="CJV94" s="199"/>
      <c r="CJW94" s="199"/>
      <c r="CJX94" s="199"/>
      <c r="CJY94" s="199"/>
      <c r="CJZ94" s="199"/>
      <c r="CKA94" s="199"/>
      <c r="CKB94" s="199"/>
      <c r="CKC94" s="199"/>
      <c r="CKD94" s="199"/>
      <c r="CKE94" s="199"/>
      <c r="CKF94" s="199"/>
      <c r="CKG94" s="199"/>
      <c r="CKH94" s="199"/>
      <c r="CKI94" s="199"/>
      <c r="CKJ94" s="199"/>
      <c r="CKK94" s="199"/>
      <c r="CKL94" s="199"/>
      <c r="CKM94" s="199"/>
      <c r="CKN94" s="199"/>
      <c r="CKO94" s="199"/>
      <c r="CKP94" s="199"/>
      <c r="CKQ94" s="199"/>
      <c r="CKR94" s="199"/>
      <c r="CKS94" s="199"/>
      <c r="CKT94" s="199"/>
      <c r="CKU94" s="199"/>
      <c r="CKV94" s="199"/>
      <c r="CKW94" s="199"/>
      <c r="CKX94" s="199"/>
      <c r="CKY94" s="199"/>
      <c r="CKZ94" s="199"/>
      <c r="CLA94" s="193"/>
      <c r="CLB94" s="193"/>
      <c r="CLC94" s="193"/>
      <c r="CLD94" s="193"/>
      <c r="CLE94" s="194"/>
      <c r="CLF94" s="194"/>
      <c r="CLG94" s="196"/>
      <c r="CLH94" s="197"/>
      <c r="CLI94" s="197"/>
      <c r="CLJ94" s="198"/>
      <c r="CLK94" s="198"/>
      <c r="CLL94" s="199"/>
      <c r="CLM94" s="199"/>
      <c r="CLN94" s="199"/>
      <c r="CLO94" s="199"/>
      <c r="CLP94" s="199"/>
      <c r="CLQ94" s="199"/>
      <c r="CLR94" s="199"/>
      <c r="CLS94" s="199"/>
      <c r="CLT94" s="199"/>
      <c r="CLU94" s="199"/>
      <c r="CLV94" s="199"/>
      <c r="CLW94" s="199"/>
      <c r="CLX94" s="199"/>
      <c r="CLY94" s="199"/>
      <c r="CLZ94" s="199"/>
      <c r="CMA94" s="199"/>
      <c r="CMB94" s="199"/>
      <c r="CMC94" s="199"/>
      <c r="CMD94" s="199"/>
      <c r="CME94" s="199"/>
      <c r="CMF94" s="199"/>
      <c r="CMG94" s="199"/>
      <c r="CMH94" s="199"/>
      <c r="CMI94" s="199"/>
      <c r="CMJ94" s="199"/>
      <c r="CMK94" s="199"/>
      <c r="CML94" s="199"/>
      <c r="CMM94" s="199"/>
      <c r="CMN94" s="199"/>
      <c r="CMO94" s="199"/>
      <c r="CMP94" s="199"/>
      <c r="CMQ94" s="199"/>
      <c r="CMR94" s="199"/>
      <c r="CMS94" s="199"/>
      <c r="CMT94" s="193"/>
      <c r="CMU94" s="193"/>
      <c r="CMV94" s="193"/>
      <c r="CMW94" s="193"/>
      <c r="CMX94" s="194"/>
      <c r="CMY94" s="194"/>
      <c r="CMZ94" s="196"/>
      <c r="CNA94" s="197"/>
      <c r="CNB94" s="197"/>
      <c r="CNC94" s="198"/>
      <c r="CND94" s="198"/>
      <c r="CNE94" s="199"/>
      <c r="CNF94" s="199"/>
      <c r="CNG94" s="199"/>
      <c r="CNH94" s="199"/>
      <c r="CNI94" s="199"/>
      <c r="CNJ94" s="199"/>
      <c r="CNK94" s="199"/>
      <c r="CNL94" s="199"/>
      <c r="CNM94" s="199"/>
      <c r="CNN94" s="199"/>
      <c r="CNO94" s="199"/>
      <c r="CNP94" s="199"/>
      <c r="CNQ94" s="199"/>
      <c r="CNR94" s="199"/>
      <c r="CNS94" s="199"/>
      <c r="CNT94" s="199"/>
      <c r="CNU94" s="199"/>
      <c r="CNV94" s="199"/>
      <c r="CNW94" s="199"/>
      <c r="CNX94" s="199"/>
      <c r="CNY94" s="199"/>
      <c r="CNZ94" s="199"/>
      <c r="COA94" s="199"/>
      <c r="COB94" s="199"/>
      <c r="COC94" s="199"/>
      <c r="COD94" s="199"/>
      <c r="COE94" s="199"/>
      <c r="COF94" s="199"/>
      <c r="COG94" s="199"/>
      <c r="COH94" s="199"/>
      <c r="COI94" s="199"/>
      <c r="COJ94" s="199"/>
      <c r="COK94" s="199"/>
      <c r="COL94" s="199"/>
      <c r="COM94" s="193"/>
      <c r="CON94" s="193"/>
      <c r="COO94" s="193"/>
      <c r="COP94" s="193"/>
      <c r="COQ94" s="194"/>
      <c r="COR94" s="194"/>
      <c r="COS94" s="196"/>
      <c r="COT94" s="197"/>
      <c r="COU94" s="197"/>
      <c r="COV94" s="198"/>
      <c r="COW94" s="198"/>
      <c r="COX94" s="199"/>
      <c r="COY94" s="199"/>
      <c r="COZ94" s="199"/>
      <c r="CPA94" s="199"/>
      <c r="CPB94" s="199"/>
      <c r="CPC94" s="199"/>
      <c r="CPD94" s="199"/>
      <c r="CPE94" s="199"/>
      <c r="CPF94" s="199"/>
      <c r="CPG94" s="199"/>
      <c r="CPH94" s="199"/>
      <c r="CPI94" s="199"/>
      <c r="CPJ94" s="199"/>
      <c r="CPK94" s="199"/>
      <c r="CPL94" s="199"/>
      <c r="CPM94" s="199"/>
      <c r="CPN94" s="199"/>
      <c r="CPO94" s="199"/>
      <c r="CPP94" s="199"/>
      <c r="CPQ94" s="199"/>
      <c r="CPR94" s="199"/>
      <c r="CPS94" s="199"/>
      <c r="CPT94" s="199"/>
      <c r="CPU94" s="199"/>
      <c r="CPV94" s="199"/>
      <c r="CPW94" s="199"/>
      <c r="CPX94" s="199"/>
      <c r="CPY94" s="199"/>
      <c r="CPZ94" s="199"/>
      <c r="CQA94" s="199"/>
      <c r="CQB94" s="199"/>
      <c r="CQC94" s="199"/>
      <c r="CQD94" s="199"/>
      <c r="CQE94" s="199"/>
      <c r="CQF94" s="193"/>
      <c r="CQG94" s="193"/>
      <c r="CQH94" s="193"/>
      <c r="CQI94" s="193"/>
      <c r="CQJ94" s="194"/>
      <c r="CQK94" s="194"/>
      <c r="CQL94" s="196"/>
      <c r="CQM94" s="197"/>
      <c r="CQN94" s="197"/>
      <c r="CQO94" s="198"/>
      <c r="CQP94" s="198"/>
      <c r="CQQ94" s="199"/>
      <c r="CQR94" s="199"/>
      <c r="CQS94" s="199"/>
      <c r="CQT94" s="199"/>
      <c r="CQU94" s="199"/>
      <c r="CQV94" s="199"/>
      <c r="CQW94" s="199"/>
      <c r="CQX94" s="199"/>
      <c r="CQY94" s="199"/>
      <c r="CQZ94" s="199"/>
      <c r="CRA94" s="199"/>
      <c r="CRB94" s="199"/>
      <c r="CRC94" s="199"/>
      <c r="CRD94" s="199"/>
      <c r="CRE94" s="199"/>
      <c r="CRF94" s="199"/>
      <c r="CRG94" s="199"/>
      <c r="CRH94" s="199"/>
      <c r="CRI94" s="199"/>
      <c r="CRJ94" s="199"/>
      <c r="CRK94" s="199"/>
      <c r="CRL94" s="199"/>
      <c r="CRM94" s="199"/>
      <c r="CRN94" s="199"/>
      <c r="CRO94" s="199"/>
      <c r="CRP94" s="199"/>
      <c r="CRQ94" s="199"/>
      <c r="CRR94" s="199"/>
      <c r="CRS94" s="199"/>
      <c r="CRT94" s="199"/>
      <c r="CRU94" s="199"/>
      <c r="CRV94" s="199"/>
      <c r="CRW94" s="199"/>
      <c r="CRX94" s="199"/>
      <c r="CRY94" s="193"/>
      <c r="CRZ94" s="193"/>
      <c r="CSA94" s="193"/>
      <c r="CSB94" s="193"/>
      <c r="CSC94" s="194"/>
      <c r="CSD94" s="194"/>
      <c r="CSE94" s="196"/>
      <c r="CSF94" s="197"/>
      <c r="CSG94" s="197"/>
      <c r="CSH94" s="198"/>
      <c r="CSI94" s="198"/>
      <c r="CSJ94" s="199"/>
      <c r="CSK94" s="199"/>
      <c r="CSL94" s="199"/>
      <c r="CSM94" s="199"/>
      <c r="CSN94" s="199"/>
      <c r="CSO94" s="199"/>
      <c r="CSP94" s="199"/>
      <c r="CSQ94" s="199"/>
      <c r="CSR94" s="199"/>
      <c r="CSS94" s="199"/>
      <c r="CST94" s="199"/>
      <c r="CSU94" s="199"/>
      <c r="CSV94" s="199"/>
      <c r="CSW94" s="199"/>
      <c r="CSX94" s="199"/>
      <c r="CSY94" s="199"/>
      <c r="CSZ94" s="199"/>
      <c r="CTA94" s="199"/>
      <c r="CTB94" s="199"/>
      <c r="CTC94" s="199"/>
      <c r="CTD94" s="199"/>
      <c r="CTE94" s="199"/>
      <c r="CTF94" s="199"/>
      <c r="CTG94" s="199"/>
      <c r="CTH94" s="199"/>
      <c r="CTI94" s="199"/>
      <c r="CTJ94" s="199"/>
      <c r="CTK94" s="199"/>
      <c r="CTL94" s="199"/>
      <c r="CTM94" s="199"/>
      <c r="CTN94" s="199"/>
      <c r="CTO94" s="199"/>
      <c r="CTP94" s="199"/>
      <c r="CTQ94" s="199"/>
      <c r="CTR94" s="193"/>
      <c r="CTS94" s="193"/>
      <c r="CTT94" s="193"/>
      <c r="CTU94" s="193"/>
      <c r="CTV94" s="194"/>
      <c r="CTW94" s="194"/>
      <c r="CTX94" s="196"/>
      <c r="CTY94" s="197"/>
      <c r="CTZ94" s="197"/>
      <c r="CUA94" s="198"/>
      <c r="CUB94" s="198"/>
      <c r="CUC94" s="199"/>
      <c r="CUD94" s="199"/>
      <c r="CUE94" s="199"/>
      <c r="CUF94" s="199"/>
      <c r="CUG94" s="199"/>
      <c r="CUH94" s="199"/>
      <c r="CUI94" s="199"/>
      <c r="CUJ94" s="199"/>
      <c r="CUK94" s="199"/>
      <c r="CUL94" s="199"/>
      <c r="CUM94" s="199"/>
      <c r="CUN94" s="199"/>
      <c r="CUO94" s="199"/>
      <c r="CUP94" s="199"/>
      <c r="CUQ94" s="199"/>
      <c r="CUR94" s="199"/>
      <c r="CUS94" s="199"/>
      <c r="CUT94" s="199"/>
      <c r="CUU94" s="199"/>
      <c r="CUV94" s="199"/>
      <c r="CUW94" s="199"/>
      <c r="CUX94" s="199"/>
      <c r="CUY94" s="199"/>
      <c r="CUZ94" s="199"/>
      <c r="CVA94" s="199"/>
      <c r="CVB94" s="199"/>
      <c r="CVC94" s="199"/>
      <c r="CVD94" s="199"/>
      <c r="CVE94" s="199"/>
      <c r="CVF94" s="199"/>
      <c r="CVG94" s="199"/>
      <c r="CVH94" s="199"/>
      <c r="CVI94" s="199"/>
      <c r="CVJ94" s="199"/>
      <c r="CVK94" s="193"/>
      <c r="CVL94" s="193"/>
      <c r="CVM94" s="193"/>
      <c r="CVN94" s="193"/>
      <c r="CVO94" s="194"/>
      <c r="CVP94" s="194"/>
      <c r="CVQ94" s="196"/>
      <c r="CVR94" s="197"/>
      <c r="CVS94" s="197"/>
      <c r="CVT94" s="198"/>
      <c r="CVU94" s="198"/>
      <c r="CVV94" s="199"/>
      <c r="CVW94" s="199"/>
      <c r="CVX94" s="199"/>
      <c r="CVY94" s="199"/>
      <c r="CVZ94" s="199"/>
      <c r="CWA94" s="199"/>
      <c r="CWB94" s="199"/>
      <c r="CWC94" s="199"/>
      <c r="CWD94" s="199"/>
      <c r="CWE94" s="199"/>
      <c r="CWF94" s="199"/>
      <c r="CWG94" s="199"/>
      <c r="CWH94" s="199"/>
      <c r="CWI94" s="199"/>
      <c r="CWJ94" s="199"/>
      <c r="CWK94" s="199"/>
      <c r="CWL94" s="199"/>
      <c r="CWM94" s="199"/>
      <c r="CWN94" s="199"/>
      <c r="CWO94" s="199"/>
      <c r="CWP94" s="199"/>
      <c r="CWQ94" s="199"/>
      <c r="CWR94" s="199"/>
      <c r="CWS94" s="199"/>
      <c r="CWT94" s="199"/>
      <c r="CWU94" s="199"/>
      <c r="CWV94" s="199"/>
      <c r="CWW94" s="199"/>
      <c r="CWX94" s="199"/>
      <c r="CWY94" s="199"/>
      <c r="CWZ94" s="199"/>
      <c r="CXA94" s="199"/>
      <c r="CXB94" s="199"/>
      <c r="CXC94" s="199"/>
      <c r="CXD94" s="193"/>
      <c r="CXE94" s="193"/>
      <c r="CXF94" s="193"/>
      <c r="CXG94" s="193"/>
      <c r="CXH94" s="194"/>
      <c r="CXI94" s="194"/>
      <c r="CXJ94" s="196"/>
      <c r="CXK94" s="197"/>
      <c r="CXL94" s="197"/>
      <c r="CXM94" s="198"/>
      <c r="CXN94" s="198"/>
      <c r="CXO94" s="199"/>
      <c r="CXP94" s="199"/>
      <c r="CXQ94" s="199"/>
      <c r="CXR94" s="199"/>
      <c r="CXS94" s="199"/>
      <c r="CXT94" s="199"/>
      <c r="CXU94" s="199"/>
      <c r="CXV94" s="199"/>
      <c r="CXW94" s="199"/>
      <c r="CXX94" s="199"/>
      <c r="CXY94" s="199"/>
      <c r="CXZ94" s="199"/>
      <c r="CYA94" s="199"/>
      <c r="CYB94" s="199"/>
      <c r="CYC94" s="199"/>
      <c r="CYD94" s="199"/>
      <c r="CYE94" s="199"/>
      <c r="CYF94" s="199"/>
      <c r="CYG94" s="199"/>
      <c r="CYH94" s="199"/>
      <c r="CYI94" s="199"/>
      <c r="CYJ94" s="199"/>
      <c r="CYK94" s="199"/>
      <c r="CYL94" s="199"/>
      <c r="CYM94" s="199"/>
      <c r="CYN94" s="199"/>
      <c r="CYO94" s="199"/>
      <c r="CYP94" s="199"/>
      <c r="CYQ94" s="199"/>
      <c r="CYR94" s="199"/>
      <c r="CYS94" s="199"/>
      <c r="CYT94" s="199"/>
      <c r="CYU94" s="199"/>
      <c r="CYV94" s="199"/>
      <c r="CYW94" s="193"/>
      <c r="CYX94" s="193"/>
      <c r="CYY94" s="193"/>
      <c r="CYZ94" s="193"/>
      <c r="CZA94" s="194"/>
      <c r="CZB94" s="194"/>
      <c r="CZC94" s="196"/>
      <c r="CZD94" s="197"/>
      <c r="CZE94" s="197"/>
      <c r="CZF94" s="198"/>
      <c r="CZG94" s="198"/>
      <c r="CZH94" s="199"/>
      <c r="CZI94" s="199"/>
      <c r="CZJ94" s="199"/>
      <c r="CZK94" s="199"/>
      <c r="CZL94" s="199"/>
      <c r="CZM94" s="199"/>
      <c r="CZN94" s="199"/>
      <c r="CZO94" s="199"/>
      <c r="CZP94" s="199"/>
      <c r="CZQ94" s="199"/>
      <c r="CZR94" s="199"/>
      <c r="CZS94" s="199"/>
      <c r="CZT94" s="199"/>
      <c r="CZU94" s="199"/>
      <c r="CZV94" s="199"/>
      <c r="CZW94" s="199"/>
      <c r="CZX94" s="199"/>
      <c r="CZY94" s="199"/>
      <c r="CZZ94" s="199"/>
      <c r="DAA94" s="199"/>
      <c r="DAB94" s="199"/>
      <c r="DAC94" s="199"/>
      <c r="DAD94" s="199"/>
      <c r="DAE94" s="199"/>
      <c r="DAF94" s="199"/>
      <c r="DAG94" s="199"/>
      <c r="DAH94" s="199"/>
      <c r="DAI94" s="199"/>
      <c r="DAJ94" s="199"/>
      <c r="DAK94" s="199"/>
      <c r="DAL94" s="199"/>
      <c r="DAM94" s="199"/>
      <c r="DAN94" s="199"/>
      <c r="DAO94" s="199"/>
      <c r="DAP94" s="193"/>
      <c r="DAQ94" s="193"/>
      <c r="DAR94" s="193"/>
      <c r="DAS94" s="193"/>
      <c r="DAT94" s="194"/>
      <c r="DAU94" s="194"/>
      <c r="DAV94" s="196"/>
      <c r="DAW94" s="197"/>
      <c r="DAX94" s="197"/>
      <c r="DAY94" s="198"/>
      <c r="DAZ94" s="198"/>
      <c r="DBA94" s="199"/>
      <c r="DBB94" s="199"/>
      <c r="DBC94" s="199"/>
      <c r="DBD94" s="199"/>
      <c r="DBE94" s="199"/>
      <c r="DBF94" s="199"/>
      <c r="DBG94" s="199"/>
      <c r="DBH94" s="199"/>
      <c r="DBI94" s="199"/>
      <c r="DBJ94" s="199"/>
      <c r="DBK94" s="199"/>
      <c r="DBL94" s="199"/>
      <c r="DBM94" s="199"/>
      <c r="DBN94" s="199"/>
      <c r="DBO94" s="199"/>
      <c r="DBP94" s="199"/>
      <c r="DBQ94" s="199"/>
      <c r="DBR94" s="199"/>
      <c r="DBS94" s="199"/>
      <c r="DBT94" s="199"/>
      <c r="DBU94" s="199"/>
      <c r="DBV94" s="199"/>
      <c r="DBW94" s="199"/>
      <c r="DBX94" s="199"/>
      <c r="DBY94" s="199"/>
      <c r="DBZ94" s="199"/>
      <c r="DCA94" s="199"/>
      <c r="DCB94" s="199"/>
      <c r="DCC94" s="199"/>
      <c r="DCD94" s="199"/>
      <c r="DCE94" s="199"/>
      <c r="DCF94" s="199"/>
      <c r="DCG94" s="199"/>
      <c r="DCH94" s="199"/>
      <c r="DCI94" s="193"/>
      <c r="DCJ94" s="193"/>
      <c r="DCK94" s="193"/>
      <c r="DCL94" s="193"/>
      <c r="DCM94" s="194"/>
      <c r="DCN94" s="194"/>
      <c r="DCO94" s="196"/>
      <c r="DCP94" s="197"/>
      <c r="DCQ94" s="197"/>
      <c r="DCR94" s="198"/>
      <c r="DCS94" s="198"/>
      <c r="DCT94" s="199"/>
      <c r="DCU94" s="199"/>
      <c r="DCV94" s="199"/>
      <c r="DCW94" s="199"/>
      <c r="DCX94" s="199"/>
      <c r="DCY94" s="199"/>
      <c r="DCZ94" s="199"/>
      <c r="DDA94" s="199"/>
      <c r="DDB94" s="199"/>
      <c r="DDC94" s="199"/>
      <c r="DDD94" s="199"/>
      <c r="DDE94" s="199"/>
      <c r="DDF94" s="199"/>
      <c r="DDG94" s="199"/>
      <c r="DDH94" s="199"/>
      <c r="DDI94" s="199"/>
      <c r="DDJ94" s="199"/>
      <c r="DDK94" s="199"/>
      <c r="DDL94" s="199"/>
      <c r="DDM94" s="199"/>
      <c r="DDN94" s="199"/>
      <c r="DDO94" s="199"/>
      <c r="DDP94" s="199"/>
      <c r="DDQ94" s="199"/>
      <c r="DDR94" s="199"/>
      <c r="DDS94" s="199"/>
      <c r="DDT94" s="199"/>
      <c r="DDU94" s="199"/>
      <c r="DDV94" s="199"/>
      <c r="DDW94" s="199"/>
      <c r="DDX94" s="199"/>
      <c r="DDY94" s="199"/>
      <c r="DDZ94" s="199"/>
      <c r="DEA94" s="199"/>
      <c r="DEB94" s="193"/>
      <c r="DEC94" s="193"/>
      <c r="DED94" s="193"/>
      <c r="DEE94" s="193"/>
      <c r="DEF94" s="194"/>
      <c r="DEG94" s="194"/>
      <c r="DEH94" s="196"/>
      <c r="DEI94" s="197"/>
      <c r="DEJ94" s="197"/>
      <c r="DEK94" s="198"/>
      <c r="DEL94" s="198"/>
      <c r="DEM94" s="199"/>
      <c r="DEN94" s="199"/>
      <c r="DEO94" s="199"/>
      <c r="DEP94" s="199"/>
      <c r="DEQ94" s="199"/>
      <c r="DER94" s="199"/>
      <c r="DES94" s="199"/>
      <c r="DET94" s="199"/>
      <c r="DEU94" s="199"/>
      <c r="DEV94" s="199"/>
      <c r="DEW94" s="199"/>
      <c r="DEX94" s="199"/>
      <c r="DEY94" s="199"/>
      <c r="DEZ94" s="199"/>
      <c r="DFA94" s="199"/>
      <c r="DFB94" s="199"/>
      <c r="DFC94" s="199"/>
      <c r="DFD94" s="199"/>
      <c r="DFE94" s="199"/>
      <c r="DFF94" s="199"/>
      <c r="DFG94" s="199"/>
      <c r="DFH94" s="199"/>
      <c r="DFI94" s="199"/>
      <c r="DFJ94" s="199"/>
      <c r="DFK94" s="199"/>
      <c r="DFL94" s="199"/>
      <c r="DFM94" s="199"/>
      <c r="DFN94" s="199"/>
      <c r="DFO94" s="199"/>
      <c r="DFP94" s="199"/>
      <c r="DFQ94" s="199"/>
      <c r="DFR94" s="199"/>
      <c r="DFS94" s="199"/>
      <c r="DFT94" s="199"/>
      <c r="DFU94" s="193"/>
      <c r="DFV94" s="193"/>
      <c r="DFW94" s="193"/>
      <c r="DFX94" s="193"/>
      <c r="DFY94" s="194"/>
      <c r="DFZ94" s="194"/>
      <c r="DGA94" s="196"/>
      <c r="DGB94" s="197"/>
      <c r="DGC94" s="197"/>
      <c r="DGD94" s="198"/>
      <c r="DGE94" s="198"/>
      <c r="DGF94" s="199"/>
      <c r="DGG94" s="199"/>
      <c r="DGH94" s="199"/>
      <c r="DGI94" s="199"/>
      <c r="DGJ94" s="199"/>
      <c r="DGK94" s="199"/>
      <c r="DGL94" s="199"/>
      <c r="DGM94" s="199"/>
      <c r="DGN94" s="199"/>
      <c r="DGO94" s="199"/>
      <c r="DGP94" s="199"/>
      <c r="DGQ94" s="199"/>
      <c r="DGR94" s="199"/>
      <c r="DGS94" s="199"/>
      <c r="DGT94" s="199"/>
      <c r="DGU94" s="199"/>
      <c r="DGV94" s="199"/>
      <c r="DGW94" s="199"/>
      <c r="DGX94" s="199"/>
      <c r="DGY94" s="199"/>
      <c r="DGZ94" s="199"/>
      <c r="DHA94" s="199"/>
      <c r="DHB94" s="199"/>
      <c r="DHC94" s="199"/>
      <c r="DHD94" s="199"/>
      <c r="DHE94" s="199"/>
      <c r="DHF94" s="199"/>
      <c r="DHG94" s="199"/>
      <c r="DHH94" s="199"/>
      <c r="DHI94" s="199"/>
      <c r="DHJ94" s="199"/>
      <c r="DHK94" s="199"/>
      <c r="DHL94" s="199"/>
      <c r="DHM94" s="199"/>
      <c r="DHN94" s="193"/>
      <c r="DHO94" s="193"/>
      <c r="DHP94" s="193"/>
      <c r="DHQ94" s="193"/>
      <c r="DHR94" s="194"/>
      <c r="DHS94" s="194"/>
      <c r="DHT94" s="196"/>
      <c r="DHU94" s="197"/>
      <c r="DHV94" s="197"/>
      <c r="DHW94" s="198"/>
      <c r="DHX94" s="198"/>
      <c r="DHY94" s="199"/>
      <c r="DHZ94" s="199"/>
      <c r="DIA94" s="199"/>
      <c r="DIB94" s="199"/>
      <c r="DIC94" s="199"/>
      <c r="DID94" s="199"/>
      <c r="DIE94" s="199"/>
      <c r="DIF94" s="199"/>
      <c r="DIG94" s="199"/>
      <c r="DIH94" s="199"/>
      <c r="DII94" s="199"/>
      <c r="DIJ94" s="199"/>
      <c r="DIK94" s="199"/>
      <c r="DIL94" s="199"/>
      <c r="DIM94" s="199"/>
      <c r="DIN94" s="199"/>
      <c r="DIO94" s="199"/>
      <c r="DIP94" s="199"/>
      <c r="DIQ94" s="199"/>
      <c r="DIR94" s="199"/>
      <c r="DIS94" s="199"/>
      <c r="DIT94" s="199"/>
      <c r="DIU94" s="199"/>
      <c r="DIV94" s="199"/>
      <c r="DIW94" s="199"/>
      <c r="DIX94" s="199"/>
      <c r="DIY94" s="199"/>
      <c r="DIZ94" s="199"/>
      <c r="DJA94" s="199"/>
      <c r="DJB94" s="199"/>
      <c r="DJC94" s="199"/>
      <c r="DJD94" s="199"/>
      <c r="DJE94" s="199"/>
      <c r="DJF94" s="199"/>
      <c r="DJG94" s="193"/>
      <c r="DJH94" s="193"/>
      <c r="DJI94" s="193"/>
      <c r="DJJ94" s="193"/>
      <c r="DJK94" s="194"/>
      <c r="DJL94" s="194"/>
      <c r="DJM94" s="196"/>
      <c r="DJN94" s="197"/>
      <c r="DJO94" s="197"/>
      <c r="DJP94" s="198"/>
      <c r="DJQ94" s="198"/>
      <c r="DJR94" s="199"/>
      <c r="DJS94" s="199"/>
      <c r="DJT94" s="199"/>
      <c r="DJU94" s="199"/>
      <c r="DJV94" s="199"/>
      <c r="DJW94" s="199"/>
      <c r="DJX94" s="199"/>
      <c r="DJY94" s="199"/>
      <c r="DJZ94" s="199"/>
      <c r="DKA94" s="199"/>
      <c r="DKB94" s="199"/>
      <c r="DKC94" s="199"/>
      <c r="DKD94" s="199"/>
      <c r="DKE94" s="199"/>
      <c r="DKF94" s="199"/>
      <c r="DKG94" s="199"/>
      <c r="DKH94" s="199"/>
      <c r="DKI94" s="199"/>
      <c r="DKJ94" s="199"/>
      <c r="DKK94" s="199"/>
      <c r="DKL94" s="199"/>
      <c r="DKM94" s="199"/>
      <c r="DKN94" s="199"/>
      <c r="DKO94" s="199"/>
      <c r="DKP94" s="199"/>
      <c r="DKQ94" s="199"/>
      <c r="DKR94" s="199"/>
      <c r="DKS94" s="199"/>
      <c r="DKT94" s="199"/>
      <c r="DKU94" s="199"/>
      <c r="DKV94" s="199"/>
      <c r="DKW94" s="199"/>
      <c r="DKX94" s="199"/>
      <c r="DKY94" s="199"/>
      <c r="DKZ94" s="193"/>
      <c r="DLA94" s="193"/>
      <c r="DLB94" s="193"/>
      <c r="DLC94" s="193"/>
      <c r="DLD94" s="194"/>
      <c r="DLE94" s="194"/>
      <c r="DLF94" s="196"/>
      <c r="DLG94" s="197"/>
      <c r="DLH94" s="197"/>
      <c r="DLI94" s="198"/>
      <c r="DLJ94" s="198"/>
      <c r="DLK94" s="199"/>
      <c r="DLL94" s="199"/>
      <c r="DLM94" s="199"/>
      <c r="DLN94" s="199"/>
      <c r="DLO94" s="199"/>
      <c r="DLP94" s="199"/>
      <c r="DLQ94" s="199"/>
      <c r="DLR94" s="199"/>
      <c r="DLS94" s="199"/>
      <c r="DLT94" s="199"/>
      <c r="DLU94" s="199"/>
      <c r="DLV94" s="199"/>
      <c r="DLW94" s="199"/>
      <c r="DLX94" s="199"/>
      <c r="DLY94" s="199"/>
      <c r="DLZ94" s="199"/>
      <c r="DMA94" s="199"/>
      <c r="DMB94" s="199"/>
      <c r="DMC94" s="199"/>
      <c r="DMD94" s="199"/>
      <c r="DME94" s="199"/>
      <c r="DMF94" s="199"/>
      <c r="DMG94" s="199"/>
      <c r="DMH94" s="199"/>
      <c r="DMI94" s="199"/>
      <c r="DMJ94" s="199"/>
      <c r="DMK94" s="199"/>
      <c r="DML94" s="199"/>
      <c r="DMM94" s="199"/>
      <c r="DMN94" s="199"/>
      <c r="DMO94" s="199"/>
      <c r="DMP94" s="199"/>
      <c r="DMQ94" s="199"/>
      <c r="DMR94" s="199"/>
      <c r="DMS94" s="193"/>
      <c r="DMT94" s="193"/>
      <c r="DMU94" s="193"/>
      <c r="DMV94" s="193"/>
      <c r="DMW94" s="194"/>
      <c r="DMX94" s="194"/>
      <c r="DMY94" s="196"/>
      <c r="DMZ94" s="197"/>
      <c r="DNA94" s="197"/>
      <c r="DNB94" s="198"/>
      <c r="DNC94" s="198"/>
      <c r="DND94" s="199"/>
      <c r="DNE94" s="199"/>
      <c r="DNF94" s="199"/>
      <c r="DNG94" s="199"/>
      <c r="DNH94" s="199"/>
      <c r="DNI94" s="199"/>
      <c r="DNJ94" s="199"/>
      <c r="DNK94" s="199"/>
      <c r="DNL94" s="199"/>
      <c r="DNM94" s="199"/>
      <c r="DNN94" s="199"/>
      <c r="DNO94" s="199"/>
      <c r="DNP94" s="199"/>
      <c r="DNQ94" s="199"/>
      <c r="DNR94" s="199"/>
      <c r="DNS94" s="199"/>
      <c r="DNT94" s="199"/>
      <c r="DNU94" s="199"/>
      <c r="DNV94" s="199"/>
      <c r="DNW94" s="199"/>
      <c r="DNX94" s="199"/>
      <c r="DNY94" s="199"/>
      <c r="DNZ94" s="199"/>
      <c r="DOA94" s="199"/>
      <c r="DOB94" s="199"/>
      <c r="DOC94" s="199"/>
      <c r="DOD94" s="199"/>
      <c r="DOE94" s="199"/>
      <c r="DOF94" s="199"/>
      <c r="DOG94" s="199"/>
      <c r="DOH94" s="199"/>
      <c r="DOI94" s="199"/>
      <c r="DOJ94" s="199"/>
      <c r="DOK94" s="199"/>
      <c r="DOL94" s="193"/>
      <c r="DOM94" s="193"/>
      <c r="DON94" s="193"/>
      <c r="DOO94" s="193"/>
      <c r="DOP94" s="194"/>
      <c r="DOQ94" s="194"/>
      <c r="DOR94" s="196"/>
      <c r="DOS94" s="197"/>
      <c r="DOT94" s="197"/>
      <c r="DOU94" s="198"/>
      <c r="DOV94" s="198"/>
      <c r="DOW94" s="199"/>
      <c r="DOX94" s="199"/>
      <c r="DOY94" s="199"/>
      <c r="DOZ94" s="199"/>
      <c r="DPA94" s="199"/>
      <c r="DPB94" s="199"/>
      <c r="DPC94" s="199"/>
      <c r="DPD94" s="199"/>
      <c r="DPE94" s="199"/>
      <c r="DPF94" s="199"/>
      <c r="DPG94" s="199"/>
      <c r="DPH94" s="199"/>
      <c r="DPI94" s="199"/>
      <c r="DPJ94" s="199"/>
      <c r="DPK94" s="199"/>
      <c r="DPL94" s="199"/>
      <c r="DPM94" s="199"/>
      <c r="DPN94" s="199"/>
      <c r="DPO94" s="199"/>
      <c r="DPP94" s="199"/>
      <c r="DPQ94" s="199"/>
      <c r="DPR94" s="199"/>
      <c r="DPS94" s="199"/>
      <c r="DPT94" s="199"/>
      <c r="DPU94" s="199"/>
      <c r="DPV94" s="199"/>
      <c r="DPW94" s="199"/>
      <c r="DPX94" s="199"/>
      <c r="DPY94" s="199"/>
      <c r="DPZ94" s="199"/>
      <c r="DQA94" s="199"/>
      <c r="DQB94" s="199"/>
      <c r="DQC94" s="199"/>
      <c r="DQD94" s="199"/>
      <c r="DQE94" s="193"/>
      <c r="DQF94" s="193"/>
      <c r="DQG94" s="193"/>
      <c r="DQH94" s="193"/>
      <c r="DQI94" s="194"/>
      <c r="DQJ94" s="194"/>
      <c r="DQK94" s="196"/>
      <c r="DQL94" s="197"/>
      <c r="DQM94" s="197"/>
      <c r="DQN94" s="198"/>
      <c r="DQO94" s="198"/>
      <c r="DQP94" s="199"/>
      <c r="DQQ94" s="199"/>
      <c r="DQR94" s="199"/>
      <c r="DQS94" s="199"/>
      <c r="DQT94" s="199"/>
      <c r="DQU94" s="199"/>
      <c r="DQV94" s="199"/>
      <c r="DQW94" s="199"/>
      <c r="DQX94" s="199"/>
      <c r="DQY94" s="199"/>
      <c r="DQZ94" s="199"/>
      <c r="DRA94" s="199"/>
      <c r="DRB94" s="199"/>
      <c r="DRC94" s="199"/>
      <c r="DRD94" s="199"/>
      <c r="DRE94" s="199"/>
      <c r="DRF94" s="199"/>
      <c r="DRG94" s="199"/>
      <c r="DRH94" s="199"/>
      <c r="DRI94" s="199"/>
      <c r="DRJ94" s="199"/>
      <c r="DRK94" s="199"/>
      <c r="DRL94" s="199"/>
      <c r="DRM94" s="199"/>
      <c r="DRN94" s="199"/>
      <c r="DRO94" s="199"/>
      <c r="DRP94" s="199"/>
      <c r="DRQ94" s="199"/>
      <c r="DRR94" s="199"/>
      <c r="DRS94" s="199"/>
      <c r="DRT94" s="199"/>
      <c r="DRU94" s="199"/>
      <c r="DRV94" s="199"/>
      <c r="DRW94" s="199"/>
      <c r="DRX94" s="193"/>
      <c r="DRY94" s="193"/>
      <c r="DRZ94" s="193"/>
      <c r="DSA94" s="193"/>
      <c r="DSB94" s="194"/>
      <c r="DSC94" s="194"/>
      <c r="DSD94" s="196"/>
      <c r="DSE94" s="197"/>
      <c r="DSF94" s="197"/>
      <c r="DSG94" s="198"/>
      <c r="DSH94" s="198"/>
      <c r="DSI94" s="199"/>
      <c r="DSJ94" s="199"/>
      <c r="DSK94" s="199"/>
      <c r="DSL94" s="199"/>
      <c r="DSM94" s="199"/>
      <c r="DSN94" s="199"/>
      <c r="DSO94" s="199"/>
      <c r="DSP94" s="199"/>
      <c r="DSQ94" s="199"/>
      <c r="DSR94" s="199"/>
      <c r="DSS94" s="199"/>
      <c r="DST94" s="199"/>
      <c r="DSU94" s="199"/>
      <c r="DSV94" s="199"/>
      <c r="DSW94" s="199"/>
      <c r="DSX94" s="199"/>
      <c r="DSY94" s="199"/>
      <c r="DSZ94" s="199"/>
      <c r="DTA94" s="199"/>
      <c r="DTB94" s="199"/>
      <c r="DTC94" s="199"/>
      <c r="DTD94" s="199"/>
      <c r="DTE94" s="199"/>
      <c r="DTF94" s="199"/>
      <c r="DTG94" s="199"/>
      <c r="DTH94" s="199"/>
      <c r="DTI94" s="199"/>
      <c r="DTJ94" s="199"/>
      <c r="DTK94" s="199"/>
      <c r="DTL94" s="199"/>
      <c r="DTM94" s="199"/>
      <c r="DTN94" s="199"/>
      <c r="DTO94" s="199"/>
      <c r="DTP94" s="199"/>
      <c r="DTQ94" s="193"/>
      <c r="DTR94" s="193"/>
      <c r="DTS94" s="193"/>
      <c r="DTT94" s="193"/>
      <c r="DTU94" s="194"/>
      <c r="DTV94" s="194"/>
      <c r="DTW94" s="196"/>
      <c r="DTX94" s="197"/>
      <c r="DTY94" s="197"/>
      <c r="DTZ94" s="198"/>
      <c r="DUA94" s="198"/>
      <c r="DUB94" s="199"/>
      <c r="DUC94" s="199"/>
      <c r="DUD94" s="199"/>
      <c r="DUE94" s="199"/>
      <c r="DUF94" s="199"/>
      <c r="DUG94" s="199"/>
      <c r="DUH94" s="199"/>
      <c r="DUI94" s="199"/>
      <c r="DUJ94" s="199"/>
      <c r="DUK94" s="199"/>
      <c r="DUL94" s="199"/>
      <c r="DUM94" s="199"/>
      <c r="DUN94" s="199"/>
      <c r="DUO94" s="199"/>
      <c r="DUP94" s="199"/>
      <c r="DUQ94" s="199"/>
      <c r="DUR94" s="199"/>
      <c r="DUS94" s="199"/>
      <c r="DUT94" s="199"/>
      <c r="DUU94" s="199"/>
      <c r="DUV94" s="199"/>
      <c r="DUW94" s="199"/>
      <c r="DUX94" s="199"/>
      <c r="DUY94" s="199"/>
      <c r="DUZ94" s="199"/>
      <c r="DVA94" s="199"/>
      <c r="DVB94" s="199"/>
      <c r="DVC94" s="199"/>
      <c r="DVD94" s="199"/>
      <c r="DVE94" s="199"/>
      <c r="DVF94" s="199"/>
      <c r="DVG94" s="199"/>
      <c r="DVH94" s="199"/>
      <c r="DVI94" s="199"/>
      <c r="DVJ94" s="193"/>
      <c r="DVK94" s="193"/>
      <c r="DVL94" s="193"/>
      <c r="DVM94" s="193"/>
      <c r="DVN94" s="194"/>
      <c r="DVO94" s="194"/>
      <c r="DVP94" s="196"/>
      <c r="DVQ94" s="197"/>
      <c r="DVR94" s="197"/>
      <c r="DVS94" s="198"/>
      <c r="DVT94" s="198"/>
      <c r="DVU94" s="199"/>
      <c r="DVV94" s="199"/>
      <c r="DVW94" s="199"/>
      <c r="DVX94" s="199"/>
      <c r="DVY94" s="199"/>
      <c r="DVZ94" s="199"/>
      <c r="DWA94" s="199"/>
      <c r="DWB94" s="199"/>
      <c r="DWC94" s="199"/>
      <c r="DWD94" s="199"/>
      <c r="DWE94" s="199"/>
      <c r="DWF94" s="199"/>
      <c r="DWG94" s="199"/>
      <c r="DWH94" s="199"/>
      <c r="DWI94" s="199"/>
      <c r="DWJ94" s="199"/>
      <c r="DWK94" s="199"/>
      <c r="DWL94" s="199"/>
      <c r="DWM94" s="199"/>
      <c r="DWN94" s="199"/>
      <c r="DWO94" s="199"/>
      <c r="DWP94" s="199"/>
      <c r="DWQ94" s="199"/>
      <c r="DWR94" s="199"/>
      <c r="DWS94" s="199"/>
      <c r="DWT94" s="199"/>
      <c r="DWU94" s="199"/>
      <c r="DWV94" s="199"/>
      <c r="DWW94" s="199"/>
      <c r="DWX94" s="199"/>
      <c r="DWY94" s="199"/>
      <c r="DWZ94" s="199"/>
      <c r="DXA94" s="199"/>
      <c r="DXB94" s="199"/>
      <c r="DXC94" s="193"/>
      <c r="DXD94" s="193"/>
      <c r="DXE94" s="193"/>
      <c r="DXF94" s="193"/>
      <c r="DXG94" s="194"/>
      <c r="DXH94" s="194"/>
      <c r="DXI94" s="196"/>
      <c r="DXJ94" s="197"/>
      <c r="DXK94" s="197"/>
      <c r="DXL94" s="198"/>
      <c r="DXM94" s="198"/>
      <c r="DXN94" s="199"/>
      <c r="DXO94" s="199"/>
      <c r="DXP94" s="199"/>
      <c r="DXQ94" s="199"/>
      <c r="DXR94" s="199"/>
      <c r="DXS94" s="199"/>
      <c r="DXT94" s="199"/>
      <c r="DXU94" s="199"/>
      <c r="DXV94" s="199"/>
      <c r="DXW94" s="199"/>
      <c r="DXX94" s="199"/>
      <c r="DXY94" s="199"/>
      <c r="DXZ94" s="199"/>
      <c r="DYA94" s="199"/>
      <c r="DYB94" s="199"/>
      <c r="DYC94" s="199"/>
      <c r="DYD94" s="199"/>
      <c r="DYE94" s="199"/>
      <c r="DYF94" s="199"/>
      <c r="DYG94" s="199"/>
      <c r="DYH94" s="199"/>
      <c r="DYI94" s="199"/>
      <c r="DYJ94" s="199"/>
      <c r="DYK94" s="199"/>
      <c r="DYL94" s="199"/>
      <c r="DYM94" s="199"/>
      <c r="DYN94" s="199"/>
      <c r="DYO94" s="199"/>
      <c r="DYP94" s="199"/>
      <c r="DYQ94" s="199"/>
      <c r="DYR94" s="199"/>
      <c r="DYS94" s="199"/>
      <c r="DYT94" s="199"/>
      <c r="DYU94" s="199"/>
      <c r="DYV94" s="193"/>
      <c r="DYW94" s="193"/>
      <c r="DYX94" s="193"/>
      <c r="DYY94" s="193"/>
      <c r="DYZ94" s="194"/>
      <c r="DZA94" s="194"/>
      <c r="DZB94" s="196"/>
      <c r="DZC94" s="197"/>
      <c r="DZD94" s="197"/>
      <c r="DZE94" s="198"/>
      <c r="DZF94" s="198"/>
      <c r="DZG94" s="199"/>
      <c r="DZH94" s="199"/>
      <c r="DZI94" s="199"/>
      <c r="DZJ94" s="199"/>
      <c r="DZK94" s="199"/>
      <c r="DZL94" s="199"/>
      <c r="DZM94" s="199"/>
      <c r="DZN94" s="199"/>
      <c r="DZO94" s="199"/>
      <c r="DZP94" s="199"/>
      <c r="DZQ94" s="199"/>
      <c r="DZR94" s="199"/>
      <c r="DZS94" s="199"/>
      <c r="DZT94" s="199"/>
      <c r="DZU94" s="199"/>
      <c r="DZV94" s="199"/>
      <c r="DZW94" s="199"/>
      <c r="DZX94" s="199"/>
      <c r="DZY94" s="199"/>
      <c r="DZZ94" s="199"/>
      <c r="EAA94" s="199"/>
      <c r="EAB94" s="199"/>
      <c r="EAC94" s="199"/>
      <c r="EAD94" s="199"/>
      <c r="EAE94" s="199"/>
      <c r="EAF94" s="199"/>
      <c r="EAG94" s="199"/>
      <c r="EAH94" s="199"/>
      <c r="EAI94" s="199"/>
      <c r="EAJ94" s="199"/>
      <c r="EAK94" s="199"/>
      <c r="EAL94" s="199"/>
      <c r="EAM94" s="199"/>
      <c r="EAN94" s="199"/>
      <c r="EAO94" s="193"/>
      <c r="EAP94" s="193"/>
      <c r="EAQ94" s="193"/>
      <c r="EAR94" s="193"/>
      <c r="EAS94" s="194"/>
      <c r="EAT94" s="194"/>
      <c r="EAU94" s="196"/>
      <c r="EAV94" s="197"/>
      <c r="EAW94" s="197"/>
      <c r="EAX94" s="198"/>
      <c r="EAY94" s="198"/>
      <c r="EAZ94" s="199"/>
      <c r="EBA94" s="199"/>
      <c r="EBB94" s="199"/>
      <c r="EBC94" s="199"/>
      <c r="EBD94" s="199"/>
      <c r="EBE94" s="199"/>
      <c r="EBF94" s="199"/>
      <c r="EBG94" s="199"/>
      <c r="EBH94" s="199"/>
      <c r="EBI94" s="199"/>
      <c r="EBJ94" s="199"/>
      <c r="EBK94" s="199"/>
      <c r="EBL94" s="199"/>
      <c r="EBM94" s="199"/>
      <c r="EBN94" s="199"/>
      <c r="EBO94" s="199"/>
      <c r="EBP94" s="199"/>
      <c r="EBQ94" s="199"/>
      <c r="EBR94" s="199"/>
      <c r="EBS94" s="199"/>
      <c r="EBT94" s="199"/>
      <c r="EBU94" s="199"/>
      <c r="EBV94" s="199"/>
      <c r="EBW94" s="199"/>
      <c r="EBX94" s="199"/>
      <c r="EBY94" s="199"/>
      <c r="EBZ94" s="199"/>
      <c r="ECA94" s="199"/>
      <c r="ECB94" s="199"/>
      <c r="ECC94" s="199"/>
      <c r="ECD94" s="199"/>
      <c r="ECE94" s="199"/>
      <c r="ECF94" s="199"/>
      <c r="ECG94" s="199"/>
      <c r="ECH94" s="193"/>
      <c r="ECI94" s="193"/>
      <c r="ECJ94" s="193"/>
      <c r="ECK94" s="193"/>
      <c r="ECL94" s="194"/>
      <c r="ECM94" s="194"/>
      <c r="ECN94" s="196"/>
      <c r="ECO94" s="197"/>
      <c r="ECP94" s="197"/>
      <c r="ECQ94" s="198"/>
      <c r="ECR94" s="198"/>
      <c r="ECS94" s="199"/>
      <c r="ECT94" s="199"/>
      <c r="ECU94" s="199"/>
      <c r="ECV94" s="199"/>
      <c r="ECW94" s="199"/>
      <c r="ECX94" s="199"/>
      <c r="ECY94" s="199"/>
      <c r="ECZ94" s="199"/>
      <c r="EDA94" s="199"/>
      <c r="EDB94" s="199"/>
      <c r="EDC94" s="199"/>
      <c r="EDD94" s="199"/>
      <c r="EDE94" s="199"/>
      <c r="EDF94" s="199"/>
      <c r="EDG94" s="199"/>
      <c r="EDH94" s="199"/>
      <c r="EDI94" s="199"/>
      <c r="EDJ94" s="199"/>
      <c r="EDK94" s="199"/>
      <c r="EDL94" s="199"/>
      <c r="EDM94" s="199"/>
      <c r="EDN94" s="199"/>
      <c r="EDO94" s="199"/>
      <c r="EDP94" s="199"/>
      <c r="EDQ94" s="199"/>
      <c r="EDR94" s="199"/>
      <c r="EDS94" s="199"/>
      <c r="EDT94" s="199"/>
      <c r="EDU94" s="199"/>
      <c r="EDV94" s="199"/>
      <c r="EDW94" s="199"/>
      <c r="EDX94" s="199"/>
      <c r="EDY94" s="199"/>
      <c r="EDZ94" s="199"/>
      <c r="EEA94" s="193"/>
      <c r="EEB94" s="193"/>
      <c r="EEC94" s="193"/>
      <c r="EED94" s="193"/>
      <c r="EEE94" s="194"/>
      <c r="EEF94" s="194"/>
      <c r="EEG94" s="196"/>
      <c r="EEH94" s="197"/>
      <c r="EEI94" s="197"/>
      <c r="EEJ94" s="198"/>
      <c r="EEK94" s="198"/>
      <c r="EEL94" s="199"/>
      <c r="EEM94" s="199"/>
      <c r="EEN94" s="199"/>
      <c r="EEO94" s="199"/>
      <c r="EEP94" s="199"/>
      <c r="EEQ94" s="199"/>
      <c r="EER94" s="199"/>
      <c r="EES94" s="199"/>
      <c r="EET94" s="199"/>
      <c r="EEU94" s="199"/>
      <c r="EEV94" s="199"/>
      <c r="EEW94" s="199"/>
      <c r="EEX94" s="199"/>
      <c r="EEY94" s="199"/>
      <c r="EEZ94" s="199"/>
      <c r="EFA94" s="199"/>
      <c r="EFB94" s="199"/>
      <c r="EFC94" s="199"/>
      <c r="EFD94" s="199"/>
      <c r="EFE94" s="199"/>
      <c r="EFF94" s="199"/>
      <c r="EFG94" s="199"/>
      <c r="EFH94" s="199"/>
      <c r="EFI94" s="199"/>
      <c r="EFJ94" s="199"/>
      <c r="EFK94" s="199"/>
      <c r="EFL94" s="199"/>
      <c r="EFM94" s="199"/>
      <c r="EFN94" s="199"/>
      <c r="EFO94" s="199"/>
      <c r="EFP94" s="199"/>
      <c r="EFQ94" s="199"/>
      <c r="EFR94" s="199"/>
      <c r="EFS94" s="199"/>
      <c r="EFT94" s="193"/>
      <c r="EFU94" s="193"/>
      <c r="EFV94" s="193"/>
      <c r="EFW94" s="193"/>
      <c r="EFX94" s="194"/>
      <c r="EFY94" s="194"/>
      <c r="EFZ94" s="196"/>
      <c r="EGA94" s="197"/>
      <c r="EGB94" s="197"/>
      <c r="EGC94" s="198"/>
      <c r="EGD94" s="198"/>
      <c r="EGE94" s="199"/>
      <c r="EGF94" s="199"/>
      <c r="EGG94" s="199"/>
      <c r="EGH94" s="199"/>
      <c r="EGI94" s="199"/>
      <c r="EGJ94" s="199"/>
      <c r="EGK94" s="199"/>
      <c r="EGL94" s="199"/>
      <c r="EGM94" s="199"/>
      <c r="EGN94" s="199"/>
      <c r="EGO94" s="199"/>
      <c r="EGP94" s="199"/>
      <c r="EGQ94" s="199"/>
      <c r="EGR94" s="199"/>
      <c r="EGS94" s="199"/>
      <c r="EGT94" s="199"/>
      <c r="EGU94" s="199"/>
      <c r="EGV94" s="199"/>
      <c r="EGW94" s="199"/>
      <c r="EGX94" s="199"/>
      <c r="EGY94" s="199"/>
      <c r="EGZ94" s="199"/>
      <c r="EHA94" s="199"/>
      <c r="EHB94" s="199"/>
      <c r="EHC94" s="199"/>
      <c r="EHD94" s="199"/>
      <c r="EHE94" s="199"/>
      <c r="EHF94" s="199"/>
      <c r="EHG94" s="199"/>
      <c r="EHH94" s="199"/>
      <c r="EHI94" s="199"/>
      <c r="EHJ94" s="199"/>
      <c r="EHK94" s="199"/>
      <c r="EHL94" s="199"/>
      <c r="EHM94" s="193"/>
      <c r="EHN94" s="193"/>
      <c r="EHO94" s="193"/>
      <c r="EHP94" s="193"/>
      <c r="EHQ94" s="194"/>
      <c r="EHR94" s="194"/>
      <c r="EHS94" s="196"/>
      <c r="EHT94" s="197"/>
      <c r="EHU94" s="197"/>
      <c r="EHV94" s="198"/>
      <c r="EHW94" s="198"/>
      <c r="EHX94" s="199"/>
      <c r="EHY94" s="199"/>
      <c r="EHZ94" s="199"/>
      <c r="EIA94" s="199"/>
      <c r="EIB94" s="199"/>
      <c r="EIC94" s="199"/>
      <c r="EID94" s="199"/>
      <c r="EIE94" s="199"/>
      <c r="EIF94" s="199"/>
      <c r="EIG94" s="199"/>
      <c r="EIH94" s="199"/>
      <c r="EII94" s="199"/>
      <c r="EIJ94" s="199"/>
      <c r="EIK94" s="199"/>
      <c r="EIL94" s="199"/>
      <c r="EIM94" s="199"/>
      <c r="EIN94" s="199"/>
      <c r="EIO94" s="199"/>
      <c r="EIP94" s="199"/>
      <c r="EIQ94" s="199"/>
      <c r="EIR94" s="199"/>
      <c r="EIS94" s="199"/>
      <c r="EIT94" s="199"/>
      <c r="EIU94" s="199"/>
      <c r="EIV94" s="199"/>
      <c r="EIW94" s="199"/>
      <c r="EIX94" s="199"/>
      <c r="EIY94" s="199"/>
      <c r="EIZ94" s="199"/>
      <c r="EJA94" s="199"/>
      <c r="EJB94" s="199"/>
      <c r="EJC94" s="199"/>
      <c r="EJD94" s="199"/>
      <c r="EJE94" s="199"/>
      <c r="EJF94" s="193"/>
      <c r="EJG94" s="193"/>
      <c r="EJH94" s="193"/>
      <c r="EJI94" s="193"/>
      <c r="EJJ94" s="194"/>
      <c r="EJK94" s="194"/>
      <c r="EJL94" s="196"/>
      <c r="EJM94" s="197"/>
      <c r="EJN94" s="197"/>
      <c r="EJO94" s="198"/>
      <c r="EJP94" s="198"/>
      <c r="EJQ94" s="199"/>
      <c r="EJR94" s="199"/>
      <c r="EJS94" s="199"/>
      <c r="EJT94" s="199"/>
      <c r="EJU94" s="199"/>
      <c r="EJV94" s="199"/>
      <c r="EJW94" s="199"/>
      <c r="EJX94" s="199"/>
      <c r="EJY94" s="199"/>
      <c r="EJZ94" s="199"/>
      <c r="EKA94" s="199"/>
      <c r="EKB94" s="199"/>
      <c r="EKC94" s="199"/>
      <c r="EKD94" s="199"/>
      <c r="EKE94" s="199"/>
      <c r="EKF94" s="199"/>
      <c r="EKG94" s="199"/>
      <c r="EKH94" s="199"/>
      <c r="EKI94" s="199"/>
      <c r="EKJ94" s="199"/>
      <c r="EKK94" s="199"/>
      <c r="EKL94" s="199"/>
      <c r="EKM94" s="199"/>
      <c r="EKN94" s="199"/>
      <c r="EKO94" s="199"/>
      <c r="EKP94" s="199"/>
      <c r="EKQ94" s="199"/>
      <c r="EKR94" s="199"/>
      <c r="EKS94" s="199"/>
      <c r="EKT94" s="199"/>
      <c r="EKU94" s="199"/>
      <c r="EKV94" s="199"/>
      <c r="EKW94" s="199"/>
      <c r="EKX94" s="199"/>
      <c r="EKY94" s="193"/>
      <c r="EKZ94" s="193"/>
      <c r="ELA94" s="193"/>
      <c r="ELB94" s="193"/>
      <c r="ELC94" s="194"/>
      <c r="ELD94" s="194"/>
      <c r="ELE94" s="196"/>
      <c r="ELF94" s="197"/>
      <c r="ELG94" s="197"/>
      <c r="ELH94" s="198"/>
      <c r="ELI94" s="198"/>
      <c r="ELJ94" s="199"/>
      <c r="ELK94" s="199"/>
      <c r="ELL94" s="199"/>
      <c r="ELM94" s="199"/>
      <c r="ELN94" s="199"/>
      <c r="ELO94" s="199"/>
      <c r="ELP94" s="199"/>
      <c r="ELQ94" s="199"/>
      <c r="ELR94" s="199"/>
      <c r="ELS94" s="199"/>
      <c r="ELT94" s="199"/>
      <c r="ELU94" s="199"/>
      <c r="ELV94" s="199"/>
      <c r="ELW94" s="199"/>
      <c r="ELX94" s="199"/>
      <c r="ELY94" s="199"/>
      <c r="ELZ94" s="199"/>
      <c r="EMA94" s="199"/>
      <c r="EMB94" s="199"/>
      <c r="EMC94" s="199"/>
      <c r="EMD94" s="199"/>
      <c r="EME94" s="199"/>
      <c r="EMF94" s="199"/>
      <c r="EMG94" s="199"/>
      <c r="EMH94" s="199"/>
      <c r="EMI94" s="199"/>
      <c r="EMJ94" s="199"/>
      <c r="EMK94" s="199"/>
      <c r="EML94" s="199"/>
      <c r="EMM94" s="199"/>
      <c r="EMN94" s="199"/>
      <c r="EMO94" s="199"/>
      <c r="EMP94" s="199"/>
      <c r="EMQ94" s="199"/>
      <c r="EMR94" s="193"/>
      <c r="EMS94" s="193"/>
      <c r="EMT94" s="193"/>
      <c r="EMU94" s="193"/>
      <c r="EMV94" s="194"/>
      <c r="EMW94" s="194"/>
      <c r="EMX94" s="196"/>
      <c r="EMY94" s="197"/>
      <c r="EMZ94" s="197"/>
      <c r="ENA94" s="198"/>
      <c r="ENB94" s="198"/>
      <c r="ENC94" s="199"/>
      <c r="END94" s="199"/>
      <c r="ENE94" s="199"/>
      <c r="ENF94" s="199"/>
      <c r="ENG94" s="199"/>
      <c r="ENH94" s="199"/>
      <c r="ENI94" s="199"/>
      <c r="ENJ94" s="199"/>
      <c r="ENK94" s="199"/>
      <c r="ENL94" s="199"/>
      <c r="ENM94" s="199"/>
      <c r="ENN94" s="199"/>
      <c r="ENO94" s="199"/>
      <c r="ENP94" s="199"/>
      <c r="ENQ94" s="199"/>
      <c r="ENR94" s="199"/>
      <c r="ENS94" s="199"/>
      <c r="ENT94" s="199"/>
      <c r="ENU94" s="199"/>
      <c r="ENV94" s="199"/>
      <c r="ENW94" s="199"/>
      <c r="ENX94" s="199"/>
      <c r="ENY94" s="199"/>
      <c r="ENZ94" s="199"/>
      <c r="EOA94" s="199"/>
      <c r="EOB94" s="199"/>
      <c r="EOC94" s="199"/>
      <c r="EOD94" s="199"/>
      <c r="EOE94" s="199"/>
      <c r="EOF94" s="199"/>
      <c r="EOG94" s="199"/>
      <c r="EOH94" s="199"/>
      <c r="EOI94" s="199"/>
      <c r="EOJ94" s="199"/>
      <c r="EOK94" s="193"/>
      <c r="EOL94" s="193"/>
      <c r="EOM94" s="193"/>
      <c r="EON94" s="193"/>
      <c r="EOO94" s="194"/>
      <c r="EOP94" s="194"/>
      <c r="EOQ94" s="196"/>
      <c r="EOR94" s="197"/>
      <c r="EOS94" s="197"/>
      <c r="EOT94" s="198"/>
      <c r="EOU94" s="198"/>
      <c r="EOV94" s="199"/>
      <c r="EOW94" s="199"/>
      <c r="EOX94" s="199"/>
      <c r="EOY94" s="199"/>
      <c r="EOZ94" s="199"/>
      <c r="EPA94" s="199"/>
      <c r="EPB94" s="199"/>
      <c r="EPC94" s="199"/>
      <c r="EPD94" s="199"/>
      <c r="EPE94" s="199"/>
      <c r="EPF94" s="199"/>
      <c r="EPG94" s="199"/>
      <c r="EPH94" s="199"/>
      <c r="EPI94" s="199"/>
      <c r="EPJ94" s="199"/>
      <c r="EPK94" s="199"/>
      <c r="EPL94" s="199"/>
      <c r="EPM94" s="199"/>
      <c r="EPN94" s="199"/>
      <c r="EPO94" s="199"/>
      <c r="EPP94" s="199"/>
      <c r="EPQ94" s="199"/>
      <c r="EPR94" s="199"/>
      <c r="EPS94" s="199"/>
      <c r="EPT94" s="199"/>
      <c r="EPU94" s="199"/>
      <c r="EPV94" s="199"/>
      <c r="EPW94" s="199"/>
      <c r="EPX94" s="199"/>
      <c r="EPY94" s="199"/>
      <c r="EPZ94" s="199"/>
      <c r="EQA94" s="199"/>
      <c r="EQB94" s="199"/>
      <c r="EQC94" s="199"/>
      <c r="EQD94" s="193"/>
      <c r="EQE94" s="193"/>
      <c r="EQF94" s="193"/>
      <c r="EQG94" s="193"/>
      <c r="EQH94" s="194"/>
      <c r="EQI94" s="194"/>
      <c r="EQJ94" s="196"/>
      <c r="EQK94" s="197"/>
      <c r="EQL94" s="197"/>
      <c r="EQM94" s="198"/>
      <c r="EQN94" s="198"/>
      <c r="EQO94" s="199"/>
      <c r="EQP94" s="199"/>
      <c r="EQQ94" s="199"/>
      <c r="EQR94" s="199"/>
      <c r="EQS94" s="199"/>
      <c r="EQT94" s="199"/>
      <c r="EQU94" s="199"/>
      <c r="EQV94" s="199"/>
      <c r="EQW94" s="199"/>
      <c r="EQX94" s="199"/>
      <c r="EQY94" s="199"/>
      <c r="EQZ94" s="199"/>
      <c r="ERA94" s="199"/>
      <c r="ERB94" s="199"/>
      <c r="ERC94" s="199"/>
      <c r="ERD94" s="199"/>
      <c r="ERE94" s="199"/>
      <c r="ERF94" s="199"/>
      <c r="ERG94" s="199"/>
      <c r="ERH94" s="199"/>
      <c r="ERI94" s="199"/>
      <c r="ERJ94" s="199"/>
      <c r="ERK94" s="199"/>
      <c r="ERL94" s="199"/>
      <c r="ERM94" s="199"/>
      <c r="ERN94" s="199"/>
      <c r="ERO94" s="199"/>
      <c r="ERP94" s="199"/>
      <c r="ERQ94" s="199"/>
      <c r="ERR94" s="199"/>
      <c r="ERS94" s="199"/>
      <c r="ERT94" s="199"/>
      <c r="ERU94" s="199"/>
      <c r="ERV94" s="199"/>
      <c r="ERW94" s="193"/>
      <c r="ERX94" s="193"/>
      <c r="ERY94" s="193"/>
      <c r="ERZ94" s="193"/>
      <c r="ESA94" s="194"/>
      <c r="ESB94" s="194"/>
      <c r="ESC94" s="196"/>
      <c r="ESD94" s="197"/>
      <c r="ESE94" s="197"/>
      <c r="ESF94" s="198"/>
      <c r="ESG94" s="198"/>
      <c r="ESH94" s="199"/>
      <c r="ESI94" s="199"/>
      <c r="ESJ94" s="199"/>
      <c r="ESK94" s="199"/>
      <c r="ESL94" s="199"/>
      <c r="ESM94" s="199"/>
      <c r="ESN94" s="199"/>
      <c r="ESO94" s="199"/>
      <c r="ESP94" s="199"/>
      <c r="ESQ94" s="199"/>
      <c r="ESR94" s="199"/>
      <c r="ESS94" s="199"/>
      <c r="EST94" s="199"/>
      <c r="ESU94" s="199"/>
      <c r="ESV94" s="199"/>
      <c r="ESW94" s="199"/>
      <c r="ESX94" s="199"/>
      <c r="ESY94" s="199"/>
      <c r="ESZ94" s="199"/>
      <c r="ETA94" s="199"/>
      <c r="ETB94" s="199"/>
      <c r="ETC94" s="199"/>
      <c r="ETD94" s="199"/>
      <c r="ETE94" s="199"/>
      <c r="ETF94" s="199"/>
      <c r="ETG94" s="199"/>
      <c r="ETH94" s="199"/>
      <c r="ETI94" s="199"/>
      <c r="ETJ94" s="199"/>
      <c r="ETK94" s="199"/>
      <c r="ETL94" s="199"/>
      <c r="ETM94" s="199"/>
      <c r="ETN94" s="199"/>
      <c r="ETO94" s="199"/>
      <c r="ETP94" s="193"/>
      <c r="ETQ94" s="193"/>
      <c r="ETR94" s="193"/>
      <c r="ETS94" s="193"/>
      <c r="ETT94" s="194"/>
      <c r="ETU94" s="194"/>
      <c r="ETV94" s="196"/>
      <c r="ETW94" s="197"/>
      <c r="ETX94" s="197"/>
      <c r="ETY94" s="198"/>
      <c r="ETZ94" s="198"/>
      <c r="EUA94" s="199"/>
      <c r="EUB94" s="199"/>
      <c r="EUC94" s="199"/>
      <c r="EUD94" s="199"/>
      <c r="EUE94" s="199"/>
      <c r="EUF94" s="199"/>
      <c r="EUG94" s="199"/>
      <c r="EUH94" s="199"/>
      <c r="EUI94" s="199"/>
      <c r="EUJ94" s="199"/>
      <c r="EUK94" s="199"/>
      <c r="EUL94" s="199"/>
      <c r="EUM94" s="199"/>
      <c r="EUN94" s="199"/>
      <c r="EUO94" s="199"/>
      <c r="EUP94" s="199"/>
      <c r="EUQ94" s="199"/>
      <c r="EUR94" s="199"/>
      <c r="EUS94" s="199"/>
      <c r="EUT94" s="199"/>
      <c r="EUU94" s="199"/>
      <c r="EUV94" s="199"/>
      <c r="EUW94" s="199"/>
      <c r="EUX94" s="199"/>
      <c r="EUY94" s="199"/>
      <c r="EUZ94" s="199"/>
      <c r="EVA94" s="199"/>
      <c r="EVB94" s="199"/>
      <c r="EVC94" s="199"/>
      <c r="EVD94" s="199"/>
      <c r="EVE94" s="199"/>
      <c r="EVF94" s="199"/>
      <c r="EVG94" s="199"/>
      <c r="EVH94" s="199"/>
      <c r="EVI94" s="193"/>
      <c r="EVJ94" s="193"/>
      <c r="EVK94" s="193"/>
      <c r="EVL94" s="193"/>
      <c r="EVM94" s="194"/>
      <c r="EVN94" s="194"/>
      <c r="EVO94" s="196"/>
      <c r="EVP94" s="197"/>
      <c r="EVQ94" s="197"/>
      <c r="EVR94" s="198"/>
      <c r="EVS94" s="198"/>
      <c r="EVT94" s="199"/>
      <c r="EVU94" s="199"/>
      <c r="EVV94" s="199"/>
      <c r="EVW94" s="199"/>
      <c r="EVX94" s="199"/>
      <c r="EVY94" s="199"/>
      <c r="EVZ94" s="199"/>
      <c r="EWA94" s="199"/>
      <c r="EWB94" s="199"/>
      <c r="EWC94" s="199"/>
      <c r="EWD94" s="199"/>
      <c r="EWE94" s="199"/>
      <c r="EWF94" s="199"/>
      <c r="EWG94" s="199"/>
      <c r="EWH94" s="199"/>
      <c r="EWI94" s="199"/>
      <c r="EWJ94" s="199"/>
      <c r="EWK94" s="199"/>
      <c r="EWL94" s="199"/>
      <c r="EWM94" s="199"/>
      <c r="EWN94" s="199"/>
      <c r="EWO94" s="199"/>
      <c r="EWP94" s="199"/>
      <c r="EWQ94" s="199"/>
      <c r="EWR94" s="199"/>
      <c r="EWS94" s="199"/>
      <c r="EWT94" s="199"/>
      <c r="EWU94" s="199"/>
      <c r="EWV94" s="199"/>
      <c r="EWW94" s="199"/>
      <c r="EWX94" s="199"/>
      <c r="EWY94" s="199"/>
      <c r="EWZ94" s="199"/>
      <c r="EXA94" s="199"/>
      <c r="EXB94" s="193"/>
      <c r="EXC94" s="193"/>
      <c r="EXD94" s="193"/>
      <c r="EXE94" s="193"/>
      <c r="EXF94" s="194"/>
      <c r="EXG94" s="194"/>
      <c r="EXH94" s="196"/>
      <c r="EXI94" s="197"/>
      <c r="EXJ94" s="197"/>
      <c r="EXK94" s="198"/>
      <c r="EXL94" s="198"/>
      <c r="EXM94" s="199"/>
      <c r="EXN94" s="199"/>
      <c r="EXO94" s="199"/>
      <c r="EXP94" s="199"/>
      <c r="EXQ94" s="199"/>
      <c r="EXR94" s="199"/>
      <c r="EXS94" s="199"/>
      <c r="EXT94" s="199"/>
      <c r="EXU94" s="199"/>
      <c r="EXV94" s="199"/>
      <c r="EXW94" s="199"/>
      <c r="EXX94" s="199"/>
      <c r="EXY94" s="199"/>
      <c r="EXZ94" s="199"/>
      <c r="EYA94" s="199"/>
      <c r="EYB94" s="199"/>
      <c r="EYC94" s="199"/>
      <c r="EYD94" s="199"/>
      <c r="EYE94" s="199"/>
      <c r="EYF94" s="199"/>
      <c r="EYG94" s="199"/>
      <c r="EYH94" s="199"/>
      <c r="EYI94" s="199"/>
      <c r="EYJ94" s="199"/>
      <c r="EYK94" s="199"/>
      <c r="EYL94" s="199"/>
      <c r="EYM94" s="199"/>
      <c r="EYN94" s="199"/>
      <c r="EYO94" s="199"/>
      <c r="EYP94" s="199"/>
      <c r="EYQ94" s="199"/>
      <c r="EYR94" s="199"/>
      <c r="EYS94" s="199"/>
      <c r="EYT94" s="199"/>
      <c r="EYU94" s="193"/>
      <c r="EYV94" s="193"/>
      <c r="EYW94" s="193"/>
      <c r="EYX94" s="193"/>
      <c r="EYY94" s="194"/>
      <c r="EYZ94" s="194"/>
      <c r="EZA94" s="196"/>
      <c r="EZB94" s="197"/>
      <c r="EZC94" s="197"/>
      <c r="EZD94" s="198"/>
      <c r="EZE94" s="198"/>
      <c r="EZF94" s="199"/>
      <c r="EZG94" s="199"/>
      <c r="EZH94" s="199"/>
      <c r="EZI94" s="199"/>
      <c r="EZJ94" s="199"/>
      <c r="EZK94" s="199"/>
      <c r="EZL94" s="199"/>
      <c r="EZM94" s="199"/>
      <c r="EZN94" s="199"/>
      <c r="EZO94" s="199"/>
      <c r="EZP94" s="199"/>
      <c r="EZQ94" s="199"/>
      <c r="EZR94" s="199"/>
      <c r="EZS94" s="199"/>
      <c r="EZT94" s="199"/>
      <c r="EZU94" s="199"/>
      <c r="EZV94" s="199"/>
      <c r="EZW94" s="199"/>
      <c r="EZX94" s="199"/>
      <c r="EZY94" s="199"/>
      <c r="EZZ94" s="199"/>
      <c r="FAA94" s="199"/>
      <c r="FAB94" s="199"/>
      <c r="FAC94" s="199"/>
      <c r="FAD94" s="199"/>
      <c r="FAE94" s="199"/>
      <c r="FAF94" s="199"/>
      <c r="FAG94" s="199"/>
      <c r="FAH94" s="199"/>
      <c r="FAI94" s="199"/>
      <c r="FAJ94" s="199"/>
      <c r="FAK94" s="199"/>
      <c r="FAL94" s="199"/>
      <c r="FAM94" s="199"/>
      <c r="FAN94" s="193"/>
      <c r="FAO94" s="193"/>
      <c r="FAP94" s="193"/>
      <c r="FAQ94" s="193"/>
      <c r="FAR94" s="194"/>
      <c r="FAS94" s="194"/>
      <c r="FAT94" s="196"/>
      <c r="FAU94" s="197"/>
      <c r="FAV94" s="197"/>
      <c r="FAW94" s="198"/>
      <c r="FAX94" s="198"/>
      <c r="FAY94" s="199"/>
      <c r="FAZ94" s="199"/>
      <c r="FBA94" s="199"/>
      <c r="FBB94" s="199"/>
      <c r="FBC94" s="199"/>
      <c r="FBD94" s="199"/>
      <c r="FBE94" s="199"/>
      <c r="FBF94" s="199"/>
      <c r="FBG94" s="199"/>
      <c r="FBH94" s="199"/>
      <c r="FBI94" s="199"/>
      <c r="FBJ94" s="199"/>
      <c r="FBK94" s="199"/>
      <c r="FBL94" s="199"/>
      <c r="FBM94" s="199"/>
      <c r="FBN94" s="199"/>
      <c r="FBO94" s="199"/>
      <c r="FBP94" s="199"/>
      <c r="FBQ94" s="199"/>
      <c r="FBR94" s="199"/>
      <c r="FBS94" s="199"/>
      <c r="FBT94" s="199"/>
      <c r="FBU94" s="199"/>
      <c r="FBV94" s="199"/>
      <c r="FBW94" s="199"/>
      <c r="FBX94" s="199"/>
      <c r="FBY94" s="199"/>
      <c r="FBZ94" s="199"/>
      <c r="FCA94" s="199"/>
      <c r="FCB94" s="199"/>
      <c r="FCC94" s="199"/>
      <c r="FCD94" s="199"/>
      <c r="FCE94" s="199"/>
      <c r="FCF94" s="199"/>
      <c r="FCG94" s="193"/>
      <c r="FCH94" s="193"/>
      <c r="FCI94" s="193"/>
      <c r="FCJ94" s="193"/>
      <c r="FCK94" s="194"/>
      <c r="FCL94" s="194"/>
      <c r="FCM94" s="196"/>
      <c r="FCN94" s="197"/>
      <c r="FCO94" s="197"/>
      <c r="FCP94" s="198"/>
      <c r="FCQ94" s="198"/>
      <c r="FCR94" s="199"/>
      <c r="FCS94" s="199"/>
      <c r="FCT94" s="199"/>
      <c r="FCU94" s="199"/>
      <c r="FCV94" s="199"/>
      <c r="FCW94" s="199"/>
      <c r="FCX94" s="199"/>
      <c r="FCY94" s="199"/>
      <c r="FCZ94" s="199"/>
      <c r="FDA94" s="199"/>
      <c r="FDB94" s="199"/>
      <c r="FDC94" s="199"/>
      <c r="FDD94" s="199"/>
      <c r="FDE94" s="199"/>
      <c r="FDF94" s="199"/>
      <c r="FDG94" s="199"/>
      <c r="FDH94" s="199"/>
      <c r="FDI94" s="199"/>
      <c r="FDJ94" s="199"/>
      <c r="FDK94" s="199"/>
      <c r="FDL94" s="199"/>
      <c r="FDM94" s="199"/>
      <c r="FDN94" s="199"/>
      <c r="FDO94" s="199"/>
      <c r="FDP94" s="199"/>
      <c r="FDQ94" s="199"/>
      <c r="FDR94" s="199"/>
      <c r="FDS94" s="199"/>
      <c r="FDT94" s="199"/>
      <c r="FDU94" s="199"/>
      <c r="FDV94" s="199"/>
      <c r="FDW94" s="199"/>
      <c r="FDX94" s="199"/>
      <c r="FDY94" s="199"/>
      <c r="FDZ94" s="193"/>
      <c r="FEA94" s="193"/>
      <c r="FEB94" s="193"/>
      <c r="FEC94" s="193"/>
      <c r="FED94" s="194"/>
      <c r="FEE94" s="194"/>
      <c r="FEF94" s="196"/>
      <c r="FEG94" s="197"/>
      <c r="FEH94" s="197"/>
      <c r="FEI94" s="198"/>
      <c r="FEJ94" s="198"/>
      <c r="FEK94" s="199"/>
      <c r="FEL94" s="199"/>
      <c r="FEM94" s="199"/>
      <c r="FEN94" s="199"/>
      <c r="FEO94" s="199"/>
      <c r="FEP94" s="199"/>
      <c r="FEQ94" s="199"/>
      <c r="FER94" s="199"/>
      <c r="FES94" s="199"/>
      <c r="FET94" s="199"/>
      <c r="FEU94" s="199"/>
      <c r="FEV94" s="199"/>
      <c r="FEW94" s="199"/>
      <c r="FEX94" s="199"/>
      <c r="FEY94" s="199"/>
      <c r="FEZ94" s="199"/>
      <c r="FFA94" s="199"/>
      <c r="FFB94" s="199"/>
      <c r="FFC94" s="199"/>
      <c r="FFD94" s="199"/>
      <c r="FFE94" s="199"/>
      <c r="FFF94" s="199"/>
      <c r="FFG94" s="199"/>
      <c r="FFH94" s="199"/>
      <c r="FFI94" s="199"/>
      <c r="FFJ94" s="199"/>
      <c r="FFK94" s="199"/>
      <c r="FFL94" s="199"/>
      <c r="FFM94" s="199"/>
      <c r="FFN94" s="199"/>
      <c r="FFO94" s="199"/>
      <c r="FFP94" s="199"/>
      <c r="FFQ94" s="199"/>
      <c r="FFR94" s="199"/>
      <c r="FFS94" s="193"/>
      <c r="FFT94" s="193"/>
      <c r="FFU94" s="193"/>
      <c r="FFV94" s="193"/>
      <c r="FFW94" s="194"/>
      <c r="FFX94" s="194"/>
      <c r="FFY94" s="196"/>
      <c r="FFZ94" s="197"/>
      <c r="FGA94" s="197"/>
      <c r="FGB94" s="198"/>
      <c r="FGC94" s="198"/>
      <c r="FGD94" s="199"/>
      <c r="FGE94" s="199"/>
      <c r="FGF94" s="199"/>
      <c r="FGG94" s="199"/>
      <c r="FGH94" s="199"/>
      <c r="FGI94" s="199"/>
      <c r="FGJ94" s="199"/>
      <c r="FGK94" s="199"/>
      <c r="FGL94" s="199"/>
      <c r="FGM94" s="199"/>
      <c r="FGN94" s="199"/>
      <c r="FGO94" s="199"/>
      <c r="FGP94" s="199"/>
      <c r="FGQ94" s="199"/>
      <c r="FGR94" s="199"/>
      <c r="FGS94" s="199"/>
      <c r="FGT94" s="199"/>
      <c r="FGU94" s="199"/>
      <c r="FGV94" s="199"/>
      <c r="FGW94" s="199"/>
      <c r="FGX94" s="199"/>
      <c r="FGY94" s="199"/>
      <c r="FGZ94" s="199"/>
      <c r="FHA94" s="199"/>
      <c r="FHB94" s="199"/>
      <c r="FHC94" s="199"/>
      <c r="FHD94" s="199"/>
      <c r="FHE94" s="199"/>
      <c r="FHF94" s="199"/>
      <c r="FHG94" s="199"/>
      <c r="FHH94" s="199"/>
      <c r="FHI94" s="199"/>
      <c r="FHJ94" s="199"/>
      <c r="FHK94" s="199"/>
      <c r="FHL94" s="193"/>
      <c r="FHM94" s="193"/>
      <c r="FHN94" s="193"/>
      <c r="FHO94" s="193"/>
      <c r="FHP94" s="194"/>
      <c r="FHQ94" s="194"/>
      <c r="FHR94" s="196"/>
      <c r="FHS94" s="197"/>
      <c r="FHT94" s="197"/>
      <c r="FHU94" s="198"/>
      <c r="FHV94" s="198"/>
      <c r="FHW94" s="199"/>
      <c r="FHX94" s="199"/>
      <c r="FHY94" s="199"/>
      <c r="FHZ94" s="199"/>
      <c r="FIA94" s="199"/>
      <c r="FIB94" s="199"/>
      <c r="FIC94" s="199"/>
      <c r="FID94" s="199"/>
      <c r="FIE94" s="199"/>
      <c r="FIF94" s="199"/>
      <c r="FIG94" s="199"/>
      <c r="FIH94" s="199"/>
      <c r="FII94" s="199"/>
      <c r="FIJ94" s="199"/>
      <c r="FIK94" s="199"/>
      <c r="FIL94" s="199"/>
      <c r="FIM94" s="199"/>
      <c r="FIN94" s="199"/>
      <c r="FIO94" s="199"/>
      <c r="FIP94" s="199"/>
      <c r="FIQ94" s="199"/>
      <c r="FIR94" s="199"/>
      <c r="FIS94" s="199"/>
      <c r="FIT94" s="199"/>
      <c r="FIU94" s="199"/>
      <c r="FIV94" s="199"/>
      <c r="FIW94" s="199"/>
      <c r="FIX94" s="199"/>
      <c r="FIY94" s="199"/>
      <c r="FIZ94" s="199"/>
      <c r="FJA94" s="199"/>
      <c r="FJB94" s="199"/>
      <c r="FJC94" s="199"/>
      <c r="FJD94" s="199"/>
      <c r="FJE94" s="193"/>
      <c r="FJF94" s="193"/>
      <c r="FJG94" s="193"/>
      <c r="FJH94" s="193"/>
      <c r="FJI94" s="194"/>
      <c r="FJJ94" s="194"/>
      <c r="FJK94" s="196"/>
      <c r="FJL94" s="197"/>
      <c r="FJM94" s="197"/>
      <c r="FJN94" s="198"/>
      <c r="FJO94" s="198"/>
      <c r="FJP94" s="199"/>
      <c r="FJQ94" s="199"/>
      <c r="FJR94" s="199"/>
      <c r="FJS94" s="199"/>
      <c r="FJT94" s="199"/>
      <c r="FJU94" s="199"/>
      <c r="FJV94" s="199"/>
      <c r="FJW94" s="199"/>
      <c r="FJX94" s="199"/>
      <c r="FJY94" s="199"/>
      <c r="FJZ94" s="199"/>
      <c r="FKA94" s="199"/>
      <c r="FKB94" s="199"/>
      <c r="FKC94" s="199"/>
      <c r="FKD94" s="199"/>
      <c r="FKE94" s="199"/>
      <c r="FKF94" s="199"/>
      <c r="FKG94" s="199"/>
      <c r="FKH94" s="199"/>
      <c r="FKI94" s="199"/>
      <c r="FKJ94" s="199"/>
      <c r="FKK94" s="199"/>
      <c r="FKL94" s="199"/>
      <c r="FKM94" s="199"/>
      <c r="FKN94" s="199"/>
      <c r="FKO94" s="199"/>
      <c r="FKP94" s="199"/>
      <c r="FKQ94" s="199"/>
      <c r="FKR94" s="199"/>
      <c r="FKS94" s="199"/>
      <c r="FKT94" s="199"/>
      <c r="FKU94" s="199"/>
      <c r="FKV94" s="199"/>
      <c r="FKW94" s="199"/>
      <c r="FKX94" s="193"/>
      <c r="FKY94" s="193"/>
      <c r="FKZ94" s="193"/>
      <c r="FLA94" s="193"/>
      <c r="FLB94" s="194"/>
      <c r="FLC94" s="194"/>
      <c r="FLD94" s="196"/>
      <c r="FLE94" s="197"/>
      <c r="FLF94" s="197"/>
      <c r="FLG94" s="198"/>
      <c r="FLH94" s="198"/>
      <c r="FLI94" s="199"/>
      <c r="FLJ94" s="199"/>
      <c r="FLK94" s="199"/>
      <c r="FLL94" s="199"/>
      <c r="FLM94" s="199"/>
      <c r="FLN94" s="199"/>
      <c r="FLO94" s="199"/>
      <c r="FLP94" s="199"/>
      <c r="FLQ94" s="199"/>
      <c r="FLR94" s="199"/>
      <c r="FLS94" s="199"/>
      <c r="FLT94" s="199"/>
      <c r="FLU94" s="199"/>
      <c r="FLV94" s="199"/>
      <c r="FLW94" s="199"/>
      <c r="FLX94" s="199"/>
      <c r="FLY94" s="199"/>
      <c r="FLZ94" s="199"/>
      <c r="FMA94" s="199"/>
      <c r="FMB94" s="199"/>
      <c r="FMC94" s="199"/>
      <c r="FMD94" s="199"/>
      <c r="FME94" s="199"/>
      <c r="FMF94" s="199"/>
      <c r="FMG94" s="199"/>
      <c r="FMH94" s="199"/>
      <c r="FMI94" s="199"/>
      <c r="FMJ94" s="199"/>
      <c r="FMK94" s="199"/>
      <c r="FML94" s="199"/>
      <c r="FMM94" s="199"/>
      <c r="FMN94" s="199"/>
      <c r="FMO94" s="199"/>
      <c r="FMP94" s="199"/>
      <c r="FMQ94" s="193"/>
      <c r="FMR94" s="193"/>
      <c r="FMS94" s="193"/>
      <c r="FMT94" s="193"/>
      <c r="FMU94" s="194"/>
      <c r="FMV94" s="194"/>
      <c r="FMW94" s="196"/>
      <c r="FMX94" s="197"/>
      <c r="FMY94" s="197"/>
      <c r="FMZ94" s="198"/>
      <c r="FNA94" s="198"/>
      <c r="FNB94" s="199"/>
      <c r="FNC94" s="199"/>
      <c r="FND94" s="199"/>
      <c r="FNE94" s="199"/>
      <c r="FNF94" s="199"/>
      <c r="FNG94" s="199"/>
      <c r="FNH94" s="199"/>
      <c r="FNI94" s="199"/>
      <c r="FNJ94" s="199"/>
      <c r="FNK94" s="199"/>
      <c r="FNL94" s="199"/>
      <c r="FNM94" s="199"/>
      <c r="FNN94" s="199"/>
      <c r="FNO94" s="199"/>
      <c r="FNP94" s="199"/>
      <c r="FNQ94" s="199"/>
      <c r="FNR94" s="199"/>
      <c r="FNS94" s="199"/>
      <c r="FNT94" s="199"/>
      <c r="FNU94" s="199"/>
      <c r="FNV94" s="199"/>
      <c r="FNW94" s="199"/>
      <c r="FNX94" s="199"/>
      <c r="FNY94" s="199"/>
      <c r="FNZ94" s="199"/>
      <c r="FOA94" s="199"/>
      <c r="FOB94" s="199"/>
      <c r="FOC94" s="199"/>
      <c r="FOD94" s="199"/>
      <c r="FOE94" s="199"/>
      <c r="FOF94" s="199"/>
      <c r="FOG94" s="199"/>
      <c r="FOH94" s="199"/>
      <c r="FOI94" s="199"/>
      <c r="FOJ94" s="193"/>
      <c r="FOK94" s="193"/>
      <c r="FOL94" s="193"/>
      <c r="FOM94" s="193"/>
      <c r="FON94" s="194"/>
      <c r="FOO94" s="194"/>
      <c r="FOP94" s="196"/>
      <c r="FOQ94" s="197"/>
      <c r="FOR94" s="197"/>
      <c r="FOS94" s="198"/>
      <c r="FOT94" s="198"/>
      <c r="FOU94" s="199"/>
      <c r="FOV94" s="199"/>
      <c r="FOW94" s="199"/>
      <c r="FOX94" s="199"/>
      <c r="FOY94" s="199"/>
      <c r="FOZ94" s="199"/>
      <c r="FPA94" s="199"/>
      <c r="FPB94" s="199"/>
      <c r="FPC94" s="199"/>
      <c r="FPD94" s="199"/>
      <c r="FPE94" s="199"/>
      <c r="FPF94" s="199"/>
      <c r="FPG94" s="199"/>
      <c r="FPH94" s="199"/>
      <c r="FPI94" s="199"/>
      <c r="FPJ94" s="199"/>
      <c r="FPK94" s="199"/>
      <c r="FPL94" s="199"/>
      <c r="FPM94" s="199"/>
      <c r="FPN94" s="199"/>
      <c r="FPO94" s="199"/>
      <c r="FPP94" s="199"/>
      <c r="FPQ94" s="199"/>
      <c r="FPR94" s="199"/>
      <c r="FPS94" s="199"/>
      <c r="FPT94" s="199"/>
      <c r="FPU94" s="199"/>
      <c r="FPV94" s="199"/>
      <c r="FPW94" s="199"/>
      <c r="FPX94" s="199"/>
      <c r="FPY94" s="199"/>
      <c r="FPZ94" s="199"/>
      <c r="FQA94" s="199"/>
      <c r="FQB94" s="199"/>
      <c r="FQC94" s="193"/>
      <c r="FQD94" s="193"/>
      <c r="FQE94" s="193"/>
      <c r="FQF94" s="193"/>
      <c r="FQG94" s="194"/>
      <c r="FQH94" s="194"/>
      <c r="FQI94" s="196"/>
      <c r="FQJ94" s="197"/>
      <c r="FQK94" s="197"/>
      <c r="FQL94" s="198"/>
      <c r="FQM94" s="198"/>
      <c r="FQN94" s="199"/>
      <c r="FQO94" s="199"/>
      <c r="FQP94" s="199"/>
      <c r="FQQ94" s="199"/>
      <c r="FQR94" s="199"/>
      <c r="FQS94" s="199"/>
      <c r="FQT94" s="199"/>
      <c r="FQU94" s="199"/>
      <c r="FQV94" s="199"/>
      <c r="FQW94" s="199"/>
      <c r="FQX94" s="199"/>
      <c r="FQY94" s="199"/>
      <c r="FQZ94" s="199"/>
      <c r="FRA94" s="199"/>
      <c r="FRB94" s="199"/>
      <c r="FRC94" s="199"/>
      <c r="FRD94" s="199"/>
      <c r="FRE94" s="199"/>
      <c r="FRF94" s="199"/>
      <c r="FRG94" s="199"/>
      <c r="FRH94" s="199"/>
      <c r="FRI94" s="199"/>
      <c r="FRJ94" s="199"/>
      <c r="FRK94" s="199"/>
      <c r="FRL94" s="199"/>
      <c r="FRM94" s="199"/>
      <c r="FRN94" s="199"/>
      <c r="FRO94" s="199"/>
      <c r="FRP94" s="199"/>
      <c r="FRQ94" s="199"/>
      <c r="FRR94" s="199"/>
      <c r="FRS94" s="199"/>
      <c r="FRT94" s="199"/>
      <c r="FRU94" s="199"/>
      <c r="FRV94" s="193"/>
      <c r="FRW94" s="193"/>
      <c r="FRX94" s="193"/>
      <c r="FRY94" s="193"/>
      <c r="FRZ94" s="194"/>
      <c r="FSA94" s="194"/>
      <c r="FSB94" s="196"/>
      <c r="FSC94" s="197"/>
      <c r="FSD94" s="197"/>
      <c r="FSE94" s="198"/>
      <c r="FSF94" s="198"/>
      <c r="FSG94" s="199"/>
      <c r="FSH94" s="199"/>
      <c r="FSI94" s="199"/>
      <c r="FSJ94" s="199"/>
      <c r="FSK94" s="199"/>
      <c r="FSL94" s="199"/>
      <c r="FSM94" s="199"/>
      <c r="FSN94" s="199"/>
      <c r="FSO94" s="199"/>
      <c r="FSP94" s="199"/>
      <c r="FSQ94" s="199"/>
      <c r="FSR94" s="199"/>
      <c r="FSS94" s="199"/>
      <c r="FST94" s="199"/>
      <c r="FSU94" s="199"/>
      <c r="FSV94" s="199"/>
      <c r="FSW94" s="199"/>
      <c r="FSX94" s="199"/>
      <c r="FSY94" s="199"/>
      <c r="FSZ94" s="199"/>
      <c r="FTA94" s="199"/>
      <c r="FTB94" s="199"/>
      <c r="FTC94" s="199"/>
      <c r="FTD94" s="199"/>
      <c r="FTE94" s="199"/>
      <c r="FTF94" s="199"/>
      <c r="FTG94" s="199"/>
      <c r="FTH94" s="199"/>
      <c r="FTI94" s="199"/>
      <c r="FTJ94" s="199"/>
      <c r="FTK94" s="199"/>
      <c r="FTL94" s="199"/>
      <c r="FTM94" s="199"/>
      <c r="FTN94" s="199"/>
      <c r="FTO94" s="193"/>
      <c r="FTP94" s="193"/>
      <c r="FTQ94" s="193"/>
      <c r="FTR94" s="193"/>
      <c r="FTS94" s="194"/>
      <c r="FTT94" s="194"/>
      <c r="FTU94" s="196"/>
      <c r="FTV94" s="197"/>
      <c r="FTW94" s="197"/>
      <c r="FTX94" s="198"/>
      <c r="FTY94" s="198"/>
      <c r="FTZ94" s="199"/>
      <c r="FUA94" s="199"/>
      <c r="FUB94" s="199"/>
      <c r="FUC94" s="199"/>
      <c r="FUD94" s="199"/>
      <c r="FUE94" s="199"/>
      <c r="FUF94" s="199"/>
      <c r="FUG94" s="199"/>
      <c r="FUH94" s="199"/>
      <c r="FUI94" s="199"/>
      <c r="FUJ94" s="199"/>
      <c r="FUK94" s="199"/>
      <c r="FUL94" s="199"/>
      <c r="FUM94" s="199"/>
      <c r="FUN94" s="199"/>
      <c r="FUO94" s="199"/>
      <c r="FUP94" s="199"/>
      <c r="FUQ94" s="199"/>
      <c r="FUR94" s="199"/>
      <c r="FUS94" s="199"/>
      <c r="FUT94" s="199"/>
      <c r="FUU94" s="199"/>
      <c r="FUV94" s="199"/>
      <c r="FUW94" s="199"/>
      <c r="FUX94" s="199"/>
      <c r="FUY94" s="199"/>
      <c r="FUZ94" s="199"/>
      <c r="FVA94" s="199"/>
      <c r="FVB94" s="199"/>
      <c r="FVC94" s="199"/>
      <c r="FVD94" s="199"/>
      <c r="FVE94" s="199"/>
      <c r="FVF94" s="199"/>
      <c r="FVG94" s="199"/>
      <c r="FVH94" s="193"/>
      <c r="FVI94" s="193"/>
      <c r="FVJ94" s="193"/>
      <c r="FVK94" s="193"/>
      <c r="FVL94" s="194"/>
      <c r="FVM94" s="194"/>
      <c r="FVN94" s="196"/>
      <c r="FVO94" s="197"/>
      <c r="FVP94" s="197"/>
      <c r="FVQ94" s="198"/>
      <c r="FVR94" s="198"/>
      <c r="FVS94" s="199"/>
      <c r="FVT94" s="199"/>
      <c r="FVU94" s="199"/>
      <c r="FVV94" s="199"/>
      <c r="FVW94" s="199"/>
      <c r="FVX94" s="199"/>
      <c r="FVY94" s="199"/>
      <c r="FVZ94" s="199"/>
      <c r="FWA94" s="199"/>
      <c r="FWB94" s="199"/>
      <c r="FWC94" s="199"/>
      <c r="FWD94" s="199"/>
      <c r="FWE94" s="199"/>
      <c r="FWF94" s="199"/>
      <c r="FWG94" s="199"/>
      <c r="FWH94" s="199"/>
      <c r="FWI94" s="199"/>
      <c r="FWJ94" s="199"/>
      <c r="FWK94" s="199"/>
      <c r="FWL94" s="199"/>
      <c r="FWM94" s="199"/>
      <c r="FWN94" s="199"/>
      <c r="FWO94" s="199"/>
      <c r="FWP94" s="199"/>
      <c r="FWQ94" s="199"/>
      <c r="FWR94" s="199"/>
      <c r="FWS94" s="199"/>
      <c r="FWT94" s="199"/>
      <c r="FWU94" s="199"/>
      <c r="FWV94" s="199"/>
      <c r="FWW94" s="199"/>
      <c r="FWX94" s="199"/>
      <c r="FWY94" s="199"/>
      <c r="FWZ94" s="199"/>
      <c r="FXA94" s="193"/>
      <c r="FXB94" s="193"/>
      <c r="FXC94" s="193"/>
      <c r="FXD94" s="193"/>
      <c r="FXE94" s="194"/>
      <c r="FXF94" s="194"/>
      <c r="FXG94" s="196"/>
      <c r="FXH94" s="197"/>
      <c r="FXI94" s="197"/>
      <c r="FXJ94" s="198"/>
      <c r="FXK94" s="198"/>
      <c r="FXL94" s="199"/>
      <c r="FXM94" s="199"/>
      <c r="FXN94" s="199"/>
      <c r="FXO94" s="199"/>
      <c r="FXP94" s="199"/>
      <c r="FXQ94" s="199"/>
      <c r="FXR94" s="199"/>
      <c r="FXS94" s="199"/>
      <c r="FXT94" s="199"/>
      <c r="FXU94" s="199"/>
      <c r="FXV94" s="199"/>
      <c r="FXW94" s="199"/>
      <c r="FXX94" s="199"/>
      <c r="FXY94" s="199"/>
      <c r="FXZ94" s="199"/>
      <c r="FYA94" s="199"/>
      <c r="FYB94" s="199"/>
      <c r="FYC94" s="199"/>
      <c r="FYD94" s="199"/>
      <c r="FYE94" s="199"/>
      <c r="FYF94" s="199"/>
      <c r="FYG94" s="199"/>
      <c r="FYH94" s="199"/>
      <c r="FYI94" s="199"/>
      <c r="FYJ94" s="199"/>
      <c r="FYK94" s="199"/>
      <c r="FYL94" s="199"/>
      <c r="FYM94" s="199"/>
      <c r="FYN94" s="199"/>
      <c r="FYO94" s="199"/>
      <c r="FYP94" s="199"/>
      <c r="FYQ94" s="199"/>
      <c r="FYR94" s="199"/>
      <c r="FYS94" s="199"/>
      <c r="FYT94" s="193"/>
      <c r="FYU94" s="193"/>
      <c r="FYV94" s="193"/>
      <c r="FYW94" s="193"/>
      <c r="FYX94" s="194"/>
      <c r="FYY94" s="194"/>
      <c r="FYZ94" s="196"/>
      <c r="FZA94" s="197"/>
      <c r="FZB94" s="197"/>
      <c r="FZC94" s="198"/>
      <c r="FZD94" s="198"/>
      <c r="FZE94" s="199"/>
      <c r="FZF94" s="199"/>
      <c r="FZG94" s="199"/>
      <c r="FZH94" s="199"/>
      <c r="FZI94" s="199"/>
      <c r="FZJ94" s="199"/>
      <c r="FZK94" s="199"/>
      <c r="FZL94" s="199"/>
      <c r="FZM94" s="199"/>
      <c r="FZN94" s="199"/>
      <c r="FZO94" s="199"/>
      <c r="FZP94" s="199"/>
      <c r="FZQ94" s="199"/>
      <c r="FZR94" s="199"/>
      <c r="FZS94" s="199"/>
      <c r="FZT94" s="199"/>
      <c r="FZU94" s="199"/>
      <c r="FZV94" s="199"/>
      <c r="FZW94" s="199"/>
      <c r="FZX94" s="199"/>
      <c r="FZY94" s="199"/>
      <c r="FZZ94" s="199"/>
      <c r="GAA94" s="199"/>
      <c r="GAB94" s="199"/>
      <c r="GAC94" s="199"/>
      <c r="GAD94" s="199"/>
      <c r="GAE94" s="199"/>
      <c r="GAF94" s="199"/>
      <c r="GAG94" s="199"/>
      <c r="GAH94" s="199"/>
      <c r="GAI94" s="199"/>
      <c r="GAJ94" s="199"/>
      <c r="GAK94" s="199"/>
      <c r="GAL94" s="199"/>
      <c r="GAM94" s="193"/>
      <c r="GAN94" s="193"/>
      <c r="GAO94" s="193"/>
      <c r="GAP94" s="193"/>
      <c r="GAQ94" s="194"/>
      <c r="GAR94" s="194"/>
      <c r="GAS94" s="196"/>
      <c r="GAT94" s="197"/>
      <c r="GAU94" s="197"/>
      <c r="GAV94" s="198"/>
      <c r="GAW94" s="198"/>
      <c r="GAX94" s="199"/>
      <c r="GAY94" s="199"/>
      <c r="GAZ94" s="199"/>
      <c r="GBA94" s="199"/>
      <c r="GBB94" s="199"/>
      <c r="GBC94" s="199"/>
      <c r="GBD94" s="199"/>
      <c r="GBE94" s="199"/>
      <c r="GBF94" s="199"/>
      <c r="GBG94" s="199"/>
      <c r="GBH94" s="199"/>
      <c r="GBI94" s="199"/>
      <c r="GBJ94" s="199"/>
      <c r="GBK94" s="199"/>
      <c r="GBL94" s="199"/>
      <c r="GBM94" s="199"/>
      <c r="GBN94" s="199"/>
      <c r="GBO94" s="199"/>
      <c r="GBP94" s="199"/>
      <c r="GBQ94" s="199"/>
      <c r="GBR94" s="199"/>
      <c r="GBS94" s="199"/>
      <c r="GBT94" s="199"/>
      <c r="GBU94" s="199"/>
      <c r="GBV94" s="199"/>
      <c r="GBW94" s="199"/>
      <c r="GBX94" s="199"/>
      <c r="GBY94" s="199"/>
      <c r="GBZ94" s="199"/>
      <c r="GCA94" s="199"/>
      <c r="GCB94" s="199"/>
      <c r="GCC94" s="199"/>
      <c r="GCD94" s="199"/>
      <c r="GCE94" s="199"/>
      <c r="GCF94" s="193"/>
      <c r="GCG94" s="193"/>
      <c r="GCH94" s="193"/>
      <c r="GCI94" s="193"/>
      <c r="GCJ94" s="194"/>
      <c r="GCK94" s="194"/>
      <c r="GCL94" s="196"/>
      <c r="GCM94" s="197"/>
      <c r="GCN94" s="197"/>
      <c r="GCO94" s="198"/>
      <c r="GCP94" s="198"/>
      <c r="GCQ94" s="199"/>
      <c r="GCR94" s="199"/>
      <c r="GCS94" s="199"/>
      <c r="GCT94" s="199"/>
      <c r="GCU94" s="199"/>
      <c r="GCV94" s="199"/>
      <c r="GCW94" s="199"/>
      <c r="GCX94" s="199"/>
      <c r="GCY94" s="199"/>
      <c r="GCZ94" s="199"/>
      <c r="GDA94" s="199"/>
      <c r="GDB94" s="199"/>
      <c r="GDC94" s="199"/>
      <c r="GDD94" s="199"/>
      <c r="GDE94" s="199"/>
      <c r="GDF94" s="199"/>
      <c r="GDG94" s="199"/>
      <c r="GDH94" s="199"/>
      <c r="GDI94" s="199"/>
      <c r="GDJ94" s="199"/>
      <c r="GDK94" s="199"/>
      <c r="GDL94" s="199"/>
      <c r="GDM94" s="199"/>
      <c r="GDN94" s="199"/>
      <c r="GDO94" s="199"/>
      <c r="GDP94" s="199"/>
      <c r="GDQ94" s="199"/>
      <c r="GDR94" s="199"/>
      <c r="GDS94" s="199"/>
      <c r="GDT94" s="199"/>
      <c r="GDU94" s="199"/>
      <c r="GDV94" s="199"/>
      <c r="GDW94" s="199"/>
      <c r="GDX94" s="199"/>
      <c r="GDY94" s="193"/>
      <c r="GDZ94" s="193"/>
      <c r="GEA94" s="193"/>
      <c r="GEB94" s="193"/>
      <c r="GEC94" s="194"/>
      <c r="GED94" s="194"/>
      <c r="GEE94" s="196"/>
      <c r="GEF94" s="197"/>
      <c r="GEG94" s="197"/>
      <c r="GEH94" s="198"/>
      <c r="GEI94" s="198"/>
      <c r="GEJ94" s="199"/>
      <c r="GEK94" s="199"/>
      <c r="GEL94" s="199"/>
      <c r="GEM94" s="199"/>
      <c r="GEN94" s="199"/>
      <c r="GEO94" s="199"/>
      <c r="GEP94" s="199"/>
      <c r="GEQ94" s="199"/>
      <c r="GER94" s="199"/>
      <c r="GES94" s="199"/>
      <c r="GET94" s="199"/>
      <c r="GEU94" s="199"/>
      <c r="GEV94" s="199"/>
      <c r="GEW94" s="199"/>
      <c r="GEX94" s="199"/>
      <c r="GEY94" s="199"/>
      <c r="GEZ94" s="199"/>
      <c r="GFA94" s="199"/>
      <c r="GFB94" s="199"/>
      <c r="GFC94" s="199"/>
      <c r="GFD94" s="199"/>
      <c r="GFE94" s="199"/>
      <c r="GFF94" s="199"/>
      <c r="GFG94" s="199"/>
      <c r="GFH94" s="199"/>
      <c r="GFI94" s="199"/>
      <c r="GFJ94" s="199"/>
      <c r="GFK94" s="199"/>
      <c r="GFL94" s="199"/>
      <c r="GFM94" s="199"/>
      <c r="GFN94" s="199"/>
      <c r="GFO94" s="199"/>
      <c r="GFP94" s="199"/>
      <c r="GFQ94" s="199"/>
      <c r="GFR94" s="193"/>
      <c r="GFS94" s="193"/>
      <c r="GFT94" s="193"/>
      <c r="GFU94" s="193"/>
      <c r="GFV94" s="194"/>
      <c r="GFW94" s="194"/>
      <c r="GFX94" s="196"/>
      <c r="GFY94" s="197"/>
      <c r="GFZ94" s="197"/>
      <c r="GGA94" s="198"/>
      <c r="GGB94" s="198"/>
      <c r="GGC94" s="199"/>
      <c r="GGD94" s="199"/>
      <c r="GGE94" s="199"/>
      <c r="GGF94" s="199"/>
      <c r="GGG94" s="199"/>
      <c r="GGH94" s="199"/>
      <c r="GGI94" s="199"/>
      <c r="GGJ94" s="199"/>
      <c r="GGK94" s="199"/>
      <c r="GGL94" s="199"/>
      <c r="GGM94" s="199"/>
      <c r="GGN94" s="199"/>
      <c r="GGO94" s="199"/>
      <c r="GGP94" s="199"/>
      <c r="GGQ94" s="199"/>
      <c r="GGR94" s="199"/>
      <c r="GGS94" s="199"/>
      <c r="GGT94" s="199"/>
      <c r="GGU94" s="199"/>
      <c r="GGV94" s="199"/>
      <c r="GGW94" s="199"/>
      <c r="GGX94" s="199"/>
      <c r="GGY94" s="199"/>
      <c r="GGZ94" s="199"/>
      <c r="GHA94" s="199"/>
      <c r="GHB94" s="199"/>
      <c r="GHC94" s="199"/>
      <c r="GHD94" s="199"/>
      <c r="GHE94" s="199"/>
      <c r="GHF94" s="199"/>
      <c r="GHG94" s="199"/>
      <c r="GHH94" s="199"/>
      <c r="GHI94" s="199"/>
      <c r="GHJ94" s="199"/>
      <c r="GHK94" s="193"/>
      <c r="GHL94" s="193"/>
      <c r="GHM94" s="193"/>
      <c r="GHN94" s="193"/>
      <c r="GHO94" s="194"/>
      <c r="GHP94" s="194"/>
      <c r="GHQ94" s="196"/>
      <c r="GHR94" s="197"/>
      <c r="GHS94" s="197"/>
      <c r="GHT94" s="198"/>
      <c r="GHU94" s="198"/>
      <c r="GHV94" s="199"/>
      <c r="GHW94" s="199"/>
      <c r="GHX94" s="199"/>
      <c r="GHY94" s="199"/>
      <c r="GHZ94" s="199"/>
      <c r="GIA94" s="199"/>
      <c r="GIB94" s="199"/>
      <c r="GIC94" s="199"/>
      <c r="GID94" s="199"/>
      <c r="GIE94" s="199"/>
      <c r="GIF94" s="199"/>
      <c r="GIG94" s="199"/>
      <c r="GIH94" s="199"/>
      <c r="GII94" s="199"/>
      <c r="GIJ94" s="199"/>
      <c r="GIK94" s="199"/>
      <c r="GIL94" s="199"/>
      <c r="GIM94" s="199"/>
      <c r="GIN94" s="199"/>
      <c r="GIO94" s="199"/>
      <c r="GIP94" s="199"/>
      <c r="GIQ94" s="199"/>
      <c r="GIR94" s="199"/>
      <c r="GIS94" s="199"/>
      <c r="GIT94" s="199"/>
      <c r="GIU94" s="199"/>
      <c r="GIV94" s="199"/>
      <c r="GIW94" s="199"/>
      <c r="GIX94" s="199"/>
      <c r="GIY94" s="199"/>
      <c r="GIZ94" s="199"/>
      <c r="GJA94" s="199"/>
      <c r="GJB94" s="199"/>
      <c r="GJC94" s="199"/>
      <c r="GJD94" s="193"/>
      <c r="GJE94" s="193"/>
      <c r="GJF94" s="193"/>
      <c r="GJG94" s="193"/>
      <c r="GJH94" s="194"/>
      <c r="GJI94" s="194"/>
      <c r="GJJ94" s="196"/>
      <c r="GJK94" s="197"/>
      <c r="GJL94" s="197"/>
      <c r="GJM94" s="198"/>
      <c r="GJN94" s="198"/>
      <c r="GJO94" s="199"/>
      <c r="GJP94" s="199"/>
      <c r="GJQ94" s="199"/>
      <c r="GJR94" s="199"/>
      <c r="GJS94" s="199"/>
      <c r="GJT94" s="199"/>
      <c r="GJU94" s="199"/>
      <c r="GJV94" s="199"/>
      <c r="GJW94" s="199"/>
      <c r="GJX94" s="199"/>
      <c r="GJY94" s="199"/>
      <c r="GJZ94" s="199"/>
      <c r="GKA94" s="199"/>
      <c r="GKB94" s="199"/>
      <c r="GKC94" s="199"/>
      <c r="GKD94" s="199"/>
      <c r="GKE94" s="199"/>
      <c r="GKF94" s="199"/>
      <c r="GKG94" s="199"/>
      <c r="GKH94" s="199"/>
      <c r="GKI94" s="199"/>
      <c r="GKJ94" s="199"/>
      <c r="GKK94" s="199"/>
      <c r="GKL94" s="199"/>
      <c r="GKM94" s="199"/>
      <c r="GKN94" s="199"/>
      <c r="GKO94" s="199"/>
      <c r="GKP94" s="199"/>
      <c r="GKQ94" s="199"/>
      <c r="GKR94" s="199"/>
      <c r="GKS94" s="199"/>
      <c r="GKT94" s="199"/>
      <c r="GKU94" s="199"/>
      <c r="GKV94" s="199"/>
      <c r="GKW94" s="193"/>
      <c r="GKX94" s="193"/>
      <c r="GKY94" s="193"/>
      <c r="GKZ94" s="193"/>
      <c r="GLA94" s="194"/>
      <c r="GLB94" s="194"/>
      <c r="GLC94" s="196"/>
      <c r="GLD94" s="197"/>
      <c r="GLE94" s="197"/>
      <c r="GLF94" s="198"/>
      <c r="GLG94" s="198"/>
      <c r="GLH94" s="199"/>
      <c r="GLI94" s="199"/>
      <c r="GLJ94" s="199"/>
      <c r="GLK94" s="199"/>
      <c r="GLL94" s="199"/>
      <c r="GLM94" s="199"/>
      <c r="GLN94" s="199"/>
      <c r="GLO94" s="199"/>
      <c r="GLP94" s="199"/>
      <c r="GLQ94" s="199"/>
      <c r="GLR94" s="199"/>
      <c r="GLS94" s="199"/>
      <c r="GLT94" s="199"/>
      <c r="GLU94" s="199"/>
      <c r="GLV94" s="199"/>
      <c r="GLW94" s="199"/>
      <c r="GLX94" s="199"/>
      <c r="GLY94" s="199"/>
      <c r="GLZ94" s="199"/>
      <c r="GMA94" s="199"/>
      <c r="GMB94" s="199"/>
      <c r="GMC94" s="199"/>
      <c r="GMD94" s="199"/>
      <c r="GME94" s="199"/>
      <c r="GMF94" s="199"/>
      <c r="GMG94" s="199"/>
      <c r="GMH94" s="199"/>
      <c r="GMI94" s="199"/>
      <c r="GMJ94" s="199"/>
      <c r="GMK94" s="199"/>
      <c r="GML94" s="199"/>
      <c r="GMM94" s="199"/>
      <c r="GMN94" s="199"/>
      <c r="GMO94" s="199"/>
      <c r="GMP94" s="193"/>
      <c r="GMQ94" s="193"/>
      <c r="GMR94" s="193"/>
      <c r="GMS94" s="193"/>
      <c r="GMT94" s="194"/>
      <c r="GMU94" s="194"/>
      <c r="GMV94" s="196"/>
      <c r="GMW94" s="197"/>
      <c r="GMX94" s="197"/>
      <c r="GMY94" s="198"/>
      <c r="GMZ94" s="198"/>
      <c r="GNA94" s="199"/>
      <c r="GNB94" s="199"/>
      <c r="GNC94" s="199"/>
      <c r="GND94" s="199"/>
      <c r="GNE94" s="199"/>
      <c r="GNF94" s="199"/>
      <c r="GNG94" s="199"/>
      <c r="GNH94" s="199"/>
      <c r="GNI94" s="199"/>
      <c r="GNJ94" s="199"/>
      <c r="GNK94" s="199"/>
      <c r="GNL94" s="199"/>
      <c r="GNM94" s="199"/>
      <c r="GNN94" s="199"/>
      <c r="GNO94" s="199"/>
      <c r="GNP94" s="199"/>
      <c r="GNQ94" s="199"/>
      <c r="GNR94" s="199"/>
      <c r="GNS94" s="199"/>
      <c r="GNT94" s="199"/>
      <c r="GNU94" s="199"/>
      <c r="GNV94" s="199"/>
      <c r="GNW94" s="199"/>
      <c r="GNX94" s="199"/>
      <c r="GNY94" s="199"/>
      <c r="GNZ94" s="199"/>
      <c r="GOA94" s="199"/>
      <c r="GOB94" s="199"/>
      <c r="GOC94" s="199"/>
      <c r="GOD94" s="199"/>
      <c r="GOE94" s="199"/>
      <c r="GOF94" s="199"/>
      <c r="GOG94" s="199"/>
      <c r="GOH94" s="199"/>
      <c r="GOI94" s="193"/>
      <c r="GOJ94" s="193"/>
      <c r="GOK94" s="193"/>
      <c r="GOL94" s="193"/>
      <c r="GOM94" s="194"/>
      <c r="GON94" s="194"/>
      <c r="GOO94" s="196"/>
      <c r="GOP94" s="197"/>
      <c r="GOQ94" s="197"/>
      <c r="GOR94" s="198"/>
      <c r="GOS94" s="198"/>
      <c r="GOT94" s="199"/>
      <c r="GOU94" s="199"/>
      <c r="GOV94" s="199"/>
      <c r="GOW94" s="199"/>
      <c r="GOX94" s="199"/>
      <c r="GOY94" s="199"/>
      <c r="GOZ94" s="199"/>
      <c r="GPA94" s="199"/>
      <c r="GPB94" s="199"/>
      <c r="GPC94" s="199"/>
      <c r="GPD94" s="199"/>
      <c r="GPE94" s="199"/>
      <c r="GPF94" s="199"/>
      <c r="GPG94" s="199"/>
      <c r="GPH94" s="199"/>
      <c r="GPI94" s="199"/>
      <c r="GPJ94" s="199"/>
      <c r="GPK94" s="199"/>
      <c r="GPL94" s="199"/>
      <c r="GPM94" s="199"/>
      <c r="GPN94" s="199"/>
      <c r="GPO94" s="199"/>
      <c r="GPP94" s="199"/>
      <c r="GPQ94" s="199"/>
      <c r="GPR94" s="199"/>
      <c r="GPS94" s="199"/>
      <c r="GPT94" s="199"/>
      <c r="GPU94" s="199"/>
      <c r="GPV94" s="199"/>
      <c r="GPW94" s="199"/>
      <c r="GPX94" s="199"/>
      <c r="GPY94" s="199"/>
      <c r="GPZ94" s="199"/>
      <c r="GQA94" s="199"/>
      <c r="GQB94" s="193"/>
      <c r="GQC94" s="193"/>
      <c r="GQD94" s="193"/>
      <c r="GQE94" s="193"/>
      <c r="GQF94" s="194"/>
      <c r="GQG94" s="194"/>
      <c r="GQH94" s="196"/>
      <c r="GQI94" s="197"/>
      <c r="GQJ94" s="197"/>
      <c r="GQK94" s="198"/>
      <c r="GQL94" s="198"/>
      <c r="GQM94" s="199"/>
      <c r="GQN94" s="199"/>
      <c r="GQO94" s="199"/>
      <c r="GQP94" s="199"/>
      <c r="GQQ94" s="199"/>
      <c r="GQR94" s="199"/>
      <c r="GQS94" s="199"/>
      <c r="GQT94" s="199"/>
      <c r="GQU94" s="199"/>
      <c r="GQV94" s="199"/>
      <c r="GQW94" s="199"/>
      <c r="GQX94" s="199"/>
      <c r="GQY94" s="199"/>
      <c r="GQZ94" s="199"/>
      <c r="GRA94" s="199"/>
      <c r="GRB94" s="199"/>
      <c r="GRC94" s="199"/>
      <c r="GRD94" s="199"/>
      <c r="GRE94" s="199"/>
      <c r="GRF94" s="199"/>
      <c r="GRG94" s="199"/>
      <c r="GRH94" s="199"/>
      <c r="GRI94" s="199"/>
      <c r="GRJ94" s="199"/>
      <c r="GRK94" s="199"/>
      <c r="GRL94" s="199"/>
      <c r="GRM94" s="199"/>
      <c r="GRN94" s="199"/>
      <c r="GRO94" s="199"/>
      <c r="GRP94" s="199"/>
      <c r="GRQ94" s="199"/>
      <c r="GRR94" s="199"/>
      <c r="GRS94" s="199"/>
      <c r="GRT94" s="199"/>
      <c r="GRU94" s="193"/>
      <c r="GRV94" s="193"/>
      <c r="GRW94" s="193"/>
      <c r="GRX94" s="193"/>
      <c r="GRY94" s="194"/>
      <c r="GRZ94" s="194"/>
      <c r="GSA94" s="196"/>
      <c r="GSB94" s="197"/>
      <c r="GSC94" s="197"/>
      <c r="GSD94" s="198"/>
      <c r="GSE94" s="198"/>
      <c r="GSF94" s="199"/>
      <c r="GSG94" s="199"/>
      <c r="GSH94" s="199"/>
      <c r="GSI94" s="199"/>
      <c r="GSJ94" s="199"/>
      <c r="GSK94" s="199"/>
      <c r="GSL94" s="199"/>
      <c r="GSM94" s="199"/>
      <c r="GSN94" s="199"/>
      <c r="GSO94" s="199"/>
      <c r="GSP94" s="199"/>
      <c r="GSQ94" s="199"/>
      <c r="GSR94" s="199"/>
      <c r="GSS94" s="199"/>
      <c r="GST94" s="199"/>
      <c r="GSU94" s="199"/>
      <c r="GSV94" s="199"/>
      <c r="GSW94" s="199"/>
      <c r="GSX94" s="199"/>
      <c r="GSY94" s="199"/>
      <c r="GSZ94" s="199"/>
      <c r="GTA94" s="199"/>
      <c r="GTB94" s="199"/>
      <c r="GTC94" s="199"/>
      <c r="GTD94" s="199"/>
      <c r="GTE94" s="199"/>
      <c r="GTF94" s="199"/>
      <c r="GTG94" s="199"/>
      <c r="GTH94" s="199"/>
      <c r="GTI94" s="199"/>
      <c r="GTJ94" s="199"/>
      <c r="GTK94" s="199"/>
      <c r="GTL94" s="199"/>
      <c r="GTM94" s="199"/>
      <c r="GTN94" s="193"/>
      <c r="GTO94" s="193"/>
      <c r="GTP94" s="193"/>
      <c r="GTQ94" s="193"/>
      <c r="GTR94" s="194"/>
      <c r="GTS94" s="194"/>
      <c r="GTT94" s="196"/>
      <c r="GTU94" s="197"/>
      <c r="GTV94" s="197"/>
      <c r="GTW94" s="198"/>
      <c r="GTX94" s="198"/>
      <c r="GTY94" s="199"/>
      <c r="GTZ94" s="199"/>
      <c r="GUA94" s="199"/>
      <c r="GUB94" s="199"/>
      <c r="GUC94" s="199"/>
      <c r="GUD94" s="199"/>
      <c r="GUE94" s="199"/>
      <c r="GUF94" s="199"/>
      <c r="GUG94" s="199"/>
      <c r="GUH94" s="199"/>
      <c r="GUI94" s="199"/>
      <c r="GUJ94" s="199"/>
      <c r="GUK94" s="199"/>
      <c r="GUL94" s="199"/>
      <c r="GUM94" s="199"/>
      <c r="GUN94" s="199"/>
      <c r="GUO94" s="199"/>
      <c r="GUP94" s="199"/>
      <c r="GUQ94" s="199"/>
      <c r="GUR94" s="199"/>
      <c r="GUS94" s="199"/>
      <c r="GUT94" s="199"/>
      <c r="GUU94" s="199"/>
      <c r="GUV94" s="199"/>
      <c r="GUW94" s="199"/>
      <c r="GUX94" s="199"/>
      <c r="GUY94" s="199"/>
      <c r="GUZ94" s="199"/>
      <c r="GVA94" s="199"/>
      <c r="GVB94" s="199"/>
      <c r="GVC94" s="199"/>
      <c r="GVD94" s="199"/>
      <c r="GVE94" s="199"/>
      <c r="GVF94" s="199"/>
      <c r="GVG94" s="193"/>
      <c r="GVH94" s="193"/>
      <c r="GVI94" s="193"/>
      <c r="GVJ94" s="193"/>
      <c r="GVK94" s="194"/>
      <c r="GVL94" s="194"/>
      <c r="GVM94" s="196"/>
      <c r="GVN94" s="197"/>
      <c r="GVO94" s="197"/>
      <c r="GVP94" s="198"/>
      <c r="GVQ94" s="198"/>
      <c r="GVR94" s="199"/>
      <c r="GVS94" s="199"/>
      <c r="GVT94" s="199"/>
      <c r="GVU94" s="199"/>
      <c r="GVV94" s="199"/>
      <c r="GVW94" s="199"/>
      <c r="GVX94" s="199"/>
      <c r="GVY94" s="199"/>
      <c r="GVZ94" s="199"/>
      <c r="GWA94" s="199"/>
      <c r="GWB94" s="199"/>
      <c r="GWC94" s="199"/>
      <c r="GWD94" s="199"/>
      <c r="GWE94" s="199"/>
      <c r="GWF94" s="199"/>
      <c r="GWG94" s="199"/>
      <c r="GWH94" s="199"/>
      <c r="GWI94" s="199"/>
      <c r="GWJ94" s="199"/>
      <c r="GWK94" s="199"/>
      <c r="GWL94" s="199"/>
      <c r="GWM94" s="199"/>
      <c r="GWN94" s="199"/>
      <c r="GWO94" s="199"/>
      <c r="GWP94" s="199"/>
      <c r="GWQ94" s="199"/>
      <c r="GWR94" s="199"/>
      <c r="GWS94" s="199"/>
      <c r="GWT94" s="199"/>
      <c r="GWU94" s="199"/>
      <c r="GWV94" s="199"/>
      <c r="GWW94" s="199"/>
      <c r="GWX94" s="199"/>
      <c r="GWY94" s="199"/>
      <c r="GWZ94" s="193"/>
      <c r="GXA94" s="193"/>
      <c r="GXB94" s="193"/>
      <c r="GXC94" s="193"/>
      <c r="GXD94" s="194"/>
      <c r="GXE94" s="194"/>
      <c r="GXF94" s="196"/>
      <c r="GXG94" s="197"/>
      <c r="GXH94" s="197"/>
      <c r="GXI94" s="198"/>
      <c r="GXJ94" s="198"/>
      <c r="GXK94" s="199"/>
      <c r="GXL94" s="199"/>
      <c r="GXM94" s="199"/>
      <c r="GXN94" s="199"/>
      <c r="GXO94" s="199"/>
      <c r="GXP94" s="199"/>
      <c r="GXQ94" s="199"/>
      <c r="GXR94" s="199"/>
      <c r="GXS94" s="199"/>
      <c r="GXT94" s="199"/>
      <c r="GXU94" s="199"/>
      <c r="GXV94" s="199"/>
      <c r="GXW94" s="199"/>
      <c r="GXX94" s="199"/>
      <c r="GXY94" s="199"/>
      <c r="GXZ94" s="199"/>
      <c r="GYA94" s="199"/>
      <c r="GYB94" s="199"/>
      <c r="GYC94" s="199"/>
      <c r="GYD94" s="199"/>
      <c r="GYE94" s="199"/>
      <c r="GYF94" s="199"/>
      <c r="GYG94" s="199"/>
      <c r="GYH94" s="199"/>
      <c r="GYI94" s="199"/>
      <c r="GYJ94" s="199"/>
      <c r="GYK94" s="199"/>
      <c r="GYL94" s="199"/>
      <c r="GYM94" s="199"/>
      <c r="GYN94" s="199"/>
      <c r="GYO94" s="199"/>
      <c r="GYP94" s="199"/>
      <c r="GYQ94" s="199"/>
      <c r="GYR94" s="199"/>
      <c r="GYS94" s="193"/>
      <c r="GYT94" s="193"/>
      <c r="GYU94" s="193"/>
      <c r="GYV94" s="193"/>
      <c r="GYW94" s="194"/>
      <c r="GYX94" s="194"/>
      <c r="GYY94" s="196"/>
      <c r="GYZ94" s="197"/>
      <c r="GZA94" s="197"/>
      <c r="GZB94" s="198"/>
      <c r="GZC94" s="198"/>
      <c r="GZD94" s="199"/>
      <c r="GZE94" s="199"/>
      <c r="GZF94" s="199"/>
      <c r="GZG94" s="199"/>
      <c r="GZH94" s="199"/>
      <c r="GZI94" s="199"/>
      <c r="GZJ94" s="199"/>
      <c r="GZK94" s="199"/>
      <c r="GZL94" s="199"/>
      <c r="GZM94" s="199"/>
      <c r="GZN94" s="199"/>
      <c r="GZO94" s="199"/>
      <c r="GZP94" s="199"/>
      <c r="GZQ94" s="199"/>
      <c r="GZR94" s="199"/>
      <c r="GZS94" s="199"/>
      <c r="GZT94" s="199"/>
      <c r="GZU94" s="199"/>
      <c r="GZV94" s="199"/>
      <c r="GZW94" s="199"/>
      <c r="GZX94" s="199"/>
      <c r="GZY94" s="199"/>
      <c r="GZZ94" s="199"/>
      <c r="HAA94" s="199"/>
      <c r="HAB94" s="199"/>
      <c r="HAC94" s="199"/>
      <c r="HAD94" s="199"/>
      <c r="HAE94" s="199"/>
      <c r="HAF94" s="199"/>
      <c r="HAG94" s="199"/>
      <c r="HAH94" s="199"/>
      <c r="HAI94" s="199"/>
      <c r="HAJ94" s="199"/>
      <c r="HAK94" s="199"/>
      <c r="HAL94" s="193"/>
      <c r="HAM94" s="193"/>
      <c r="HAN94" s="193"/>
      <c r="HAO94" s="193"/>
      <c r="HAP94" s="194"/>
      <c r="HAQ94" s="194"/>
      <c r="HAR94" s="196"/>
      <c r="HAS94" s="197"/>
      <c r="HAT94" s="197"/>
      <c r="HAU94" s="198"/>
      <c r="HAV94" s="198"/>
      <c r="HAW94" s="199"/>
      <c r="HAX94" s="199"/>
      <c r="HAY94" s="199"/>
      <c r="HAZ94" s="199"/>
      <c r="HBA94" s="199"/>
      <c r="HBB94" s="199"/>
      <c r="HBC94" s="199"/>
      <c r="HBD94" s="199"/>
      <c r="HBE94" s="199"/>
      <c r="HBF94" s="199"/>
      <c r="HBG94" s="199"/>
      <c r="HBH94" s="199"/>
      <c r="HBI94" s="199"/>
      <c r="HBJ94" s="199"/>
      <c r="HBK94" s="199"/>
      <c r="HBL94" s="199"/>
      <c r="HBM94" s="199"/>
      <c r="HBN94" s="199"/>
      <c r="HBO94" s="199"/>
      <c r="HBP94" s="199"/>
      <c r="HBQ94" s="199"/>
      <c r="HBR94" s="199"/>
      <c r="HBS94" s="199"/>
      <c r="HBT94" s="199"/>
      <c r="HBU94" s="199"/>
      <c r="HBV94" s="199"/>
      <c r="HBW94" s="199"/>
      <c r="HBX94" s="199"/>
      <c r="HBY94" s="199"/>
      <c r="HBZ94" s="199"/>
      <c r="HCA94" s="199"/>
      <c r="HCB94" s="199"/>
      <c r="HCC94" s="199"/>
      <c r="HCD94" s="199"/>
      <c r="HCE94" s="193"/>
      <c r="HCF94" s="193"/>
      <c r="HCG94" s="193"/>
      <c r="HCH94" s="193"/>
      <c r="HCI94" s="194"/>
      <c r="HCJ94" s="194"/>
      <c r="HCK94" s="196"/>
      <c r="HCL94" s="197"/>
      <c r="HCM94" s="197"/>
      <c r="HCN94" s="198"/>
      <c r="HCO94" s="198"/>
      <c r="HCP94" s="199"/>
      <c r="HCQ94" s="199"/>
      <c r="HCR94" s="199"/>
      <c r="HCS94" s="199"/>
      <c r="HCT94" s="199"/>
      <c r="HCU94" s="199"/>
      <c r="HCV94" s="199"/>
      <c r="HCW94" s="199"/>
      <c r="HCX94" s="199"/>
      <c r="HCY94" s="199"/>
      <c r="HCZ94" s="199"/>
      <c r="HDA94" s="199"/>
      <c r="HDB94" s="199"/>
      <c r="HDC94" s="199"/>
      <c r="HDD94" s="199"/>
      <c r="HDE94" s="199"/>
      <c r="HDF94" s="199"/>
      <c r="HDG94" s="199"/>
      <c r="HDH94" s="199"/>
      <c r="HDI94" s="199"/>
      <c r="HDJ94" s="199"/>
      <c r="HDK94" s="199"/>
      <c r="HDL94" s="199"/>
      <c r="HDM94" s="199"/>
      <c r="HDN94" s="199"/>
      <c r="HDO94" s="199"/>
      <c r="HDP94" s="199"/>
      <c r="HDQ94" s="199"/>
      <c r="HDR94" s="199"/>
      <c r="HDS94" s="199"/>
      <c r="HDT94" s="199"/>
      <c r="HDU94" s="199"/>
      <c r="HDV94" s="199"/>
      <c r="HDW94" s="199"/>
      <c r="HDX94" s="193"/>
      <c r="HDY94" s="193"/>
      <c r="HDZ94" s="193"/>
      <c r="HEA94" s="193"/>
      <c r="HEB94" s="194"/>
      <c r="HEC94" s="194"/>
      <c r="HED94" s="196"/>
      <c r="HEE94" s="197"/>
      <c r="HEF94" s="197"/>
      <c r="HEG94" s="198"/>
      <c r="HEH94" s="198"/>
      <c r="HEI94" s="199"/>
      <c r="HEJ94" s="199"/>
      <c r="HEK94" s="199"/>
      <c r="HEL94" s="199"/>
      <c r="HEM94" s="199"/>
      <c r="HEN94" s="199"/>
      <c r="HEO94" s="199"/>
      <c r="HEP94" s="199"/>
      <c r="HEQ94" s="199"/>
      <c r="HER94" s="199"/>
      <c r="HES94" s="199"/>
      <c r="HET94" s="199"/>
      <c r="HEU94" s="199"/>
      <c r="HEV94" s="199"/>
      <c r="HEW94" s="199"/>
      <c r="HEX94" s="199"/>
      <c r="HEY94" s="199"/>
      <c r="HEZ94" s="199"/>
      <c r="HFA94" s="199"/>
      <c r="HFB94" s="199"/>
      <c r="HFC94" s="199"/>
      <c r="HFD94" s="199"/>
      <c r="HFE94" s="199"/>
      <c r="HFF94" s="199"/>
      <c r="HFG94" s="199"/>
      <c r="HFH94" s="199"/>
      <c r="HFI94" s="199"/>
      <c r="HFJ94" s="199"/>
      <c r="HFK94" s="199"/>
      <c r="HFL94" s="199"/>
      <c r="HFM94" s="199"/>
      <c r="HFN94" s="199"/>
      <c r="HFO94" s="199"/>
      <c r="HFP94" s="199"/>
      <c r="HFQ94" s="193"/>
      <c r="HFR94" s="193"/>
      <c r="HFS94" s="193"/>
      <c r="HFT94" s="193"/>
      <c r="HFU94" s="194"/>
      <c r="HFV94" s="194"/>
      <c r="HFW94" s="196"/>
      <c r="HFX94" s="197"/>
      <c r="HFY94" s="197"/>
      <c r="HFZ94" s="198"/>
      <c r="HGA94" s="198"/>
      <c r="HGB94" s="199"/>
      <c r="HGC94" s="199"/>
      <c r="HGD94" s="199"/>
      <c r="HGE94" s="199"/>
      <c r="HGF94" s="199"/>
      <c r="HGG94" s="199"/>
      <c r="HGH94" s="199"/>
      <c r="HGI94" s="199"/>
      <c r="HGJ94" s="199"/>
      <c r="HGK94" s="199"/>
      <c r="HGL94" s="199"/>
      <c r="HGM94" s="199"/>
      <c r="HGN94" s="199"/>
      <c r="HGO94" s="199"/>
      <c r="HGP94" s="199"/>
      <c r="HGQ94" s="199"/>
      <c r="HGR94" s="199"/>
      <c r="HGS94" s="199"/>
      <c r="HGT94" s="199"/>
      <c r="HGU94" s="199"/>
      <c r="HGV94" s="199"/>
      <c r="HGW94" s="199"/>
      <c r="HGX94" s="199"/>
      <c r="HGY94" s="199"/>
      <c r="HGZ94" s="199"/>
      <c r="HHA94" s="199"/>
      <c r="HHB94" s="199"/>
      <c r="HHC94" s="199"/>
      <c r="HHD94" s="199"/>
      <c r="HHE94" s="199"/>
      <c r="HHF94" s="199"/>
      <c r="HHG94" s="199"/>
      <c r="HHH94" s="199"/>
      <c r="HHI94" s="199"/>
      <c r="HHJ94" s="193"/>
      <c r="HHK94" s="193"/>
      <c r="HHL94" s="193"/>
      <c r="HHM94" s="193"/>
      <c r="HHN94" s="194"/>
      <c r="HHO94" s="194"/>
      <c r="HHP94" s="196"/>
      <c r="HHQ94" s="197"/>
      <c r="HHR94" s="197"/>
      <c r="HHS94" s="198"/>
      <c r="HHT94" s="198"/>
      <c r="HHU94" s="199"/>
      <c r="HHV94" s="199"/>
      <c r="HHW94" s="199"/>
      <c r="HHX94" s="199"/>
      <c r="HHY94" s="199"/>
      <c r="HHZ94" s="199"/>
      <c r="HIA94" s="199"/>
      <c r="HIB94" s="199"/>
      <c r="HIC94" s="199"/>
      <c r="HID94" s="199"/>
      <c r="HIE94" s="199"/>
      <c r="HIF94" s="199"/>
      <c r="HIG94" s="199"/>
      <c r="HIH94" s="199"/>
      <c r="HII94" s="199"/>
      <c r="HIJ94" s="199"/>
      <c r="HIK94" s="199"/>
      <c r="HIL94" s="199"/>
      <c r="HIM94" s="199"/>
      <c r="HIN94" s="199"/>
      <c r="HIO94" s="199"/>
      <c r="HIP94" s="199"/>
      <c r="HIQ94" s="199"/>
      <c r="HIR94" s="199"/>
      <c r="HIS94" s="199"/>
      <c r="HIT94" s="199"/>
      <c r="HIU94" s="199"/>
      <c r="HIV94" s="199"/>
      <c r="HIW94" s="199"/>
      <c r="HIX94" s="199"/>
      <c r="HIY94" s="199"/>
      <c r="HIZ94" s="199"/>
      <c r="HJA94" s="199"/>
      <c r="HJB94" s="199"/>
      <c r="HJC94" s="193"/>
      <c r="HJD94" s="193"/>
      <c r="HJE94" s="193"/>
      <c r="HJF94" s="193"/>
      <c r="HJG94" s="194"/>
      <c r="HJH94" s="194"/>
      <c r="HJI94" s="196"/>
      <c r="HJJ94" s="197"/>
      <c r="HJK94" s="197"/>
      <c r="HJL94" s="198"/>
      <c r="HJM94" s="198"/>
      <c r="HJN94" s="199"/>
      <c r="HJO94" s="199"/>
      <c r="HJP94" s="199"/>
      <c r="HJQ94" s="199"/>
      <c r="HJR94" s="199"/>
      <c r="HJS94" s="199"/>
      <c r="HJT94" s="199"/>
      <c r="HJU94" s="199"/>
      <c r="HJV94" s="199"/>
      <c r="HJW94" s="199"/>
      <c r="HJX94" s="199"/>
      <c r="HJY94" s="199"/>
      <c r="HJZ94" s="199"/>
      <c r="HKA94" s="199"/>
      <c r="HKB94" s="199"/>
      <c r="HKC94" s="199"/>
      <c r="HKD94" s="199"/>
      <c r="HKE94" s="199"/>
      <c r="HKF94" s="199"/>
      <c r="HKG94" s="199"/>
      <c r="HKH94" s="199"/>
      <c r="HKI94" s="199"/>
      <c r="HKJ94" s="199"/>
      <c r="HKK94" s="199"/>
      <c r="HKL94" s="199"/>
      <c r="HKM94" s="199"/>
      <c r="HKN94" s="199"/>
      <c r="HKO94" s="199"/>
      <c r="HKP94" s="199"/>
      <c r="HKQ94" s="199"/>
      <c r="HKR94" s="199"/>
      <c r="HKS94" s="199"/>
      <c r="HKT94" s="199"/>
      <c r="HKU94" s="199"/>
      <c r="HKV94" s="193"/>
      <c r="HKW94" s="193"/>
      <c r="HKX94" s="193"/>
      <c r="HKY94" s="193"/>
      <c r="HKZ94" s="194"/>
      <c r="HLA94" s="194"/>
      <c r="HLB94" s="196"/>
      <c r="HLC94" s="197"/>
      <c r="HLD94" s="197"/>
      <c r="HLE94" s="198"/>
      <c r="HLF94" s="198"/>
      <c r="HLG94" s="199"/>
      <c r="HLH94" s="199"/>
      <c r="HLI94" s="199"/>
      <c r="HLJ94" s="199"/>
      <c r="HLK94" s="199"/>
      <c r="HLL94" s="199"/>
      <c r="HLM94" s="199"/>
      <c r="HLN94" s="199"/>
      <c r="HLO94" s="199"/>
      <c r="HLP94" s="199"/>
      <c r="HLQ94" s="199"/>
      <c r="HLR94" s="199"/>
      <c r="HLS94" s="199"/>
      <c r="HLT94" s="199"/>
      <c r="HLU94" s="199"/>
      <c r="HLV94" s="199"/>
      <c r="HLW94" s="199"/>
      <c r="HLX94" s="199"/>
      <c r="HLY94" s="199"/>
      <c r="HLZ94" s="199"/>
      <c r="HMA94" s="199"/>
      <c r="HMB94" s="199"/>
      <c r="HMC94" s="199"/>
      <c r="HMD94" s="199"/>
      <c r="HME94" s="199"/>
      <c r="HMF94" s="199"/>
      <c r="HMG94" s="199"/>
      <c r="HMH94" s="199"/>
      <c r="HMI94" s="199"/>
      <c r="HMJ94" s="199"/>
      <c r="HMK94" s="199"/>
      <c r="HML94" s="199"/>
      <c r="HMM94" s="199"/>
      <c r="HMN94" s="199"/>
      <c r="HMO94" s="193"/>
      <c r="HMP94" s="193"/>
      <c r="HMQ94" s="193"/>
      <c r="HMR94" s="193"/>
      <c r="HMS94" s="194"/>
      <c r="HMT94" s="194"/>
      <c r="HMU94" s="196"/>
      <c r="HMV94" s="197"/>
      <c r="HMW94" s="197"/>
      <c r="HMX94" s="198"/>
      <c r="HMY94" s="198"/>
      <c r="HMZ94" s="199"/>
      <c r="HNA94" s="199"/>
      <c r="HNB94" s="199"/>
      <c r="HNC94" s="199"/>
      <c r="HND94" s="199"/>
      <c r="HNE94" s="199"/>
      <c r="HNF94" s="199"/>
      <c r="HNG94" s="199"/>
      <c r="HNH94" s="199"/>
      <c r="HNI94" s="199"/>
      <c r="HNJ94" s="199"/>
      <c r="HNK94" s="199"/>
      <c r="HNL94" s="199"/>
      <c r="HNM94" s="199"/>
      <c r="HNN94" s="199"/>
      <c r="HNO94" s="199"/>
      <c r="HNP94" s="199"/>
      <c r="HNQ94" s="199"/>
      <c r="HNR94" s="199"/>
      <c r="HNS94" s="199"/>
      <c r="HNT94" s="199"/>
      <c r="HNU94" s="199"/>
      <c r="HNV94" s="199"/>
      <c r="HNW94" s="199"/>
      <c r="HNX94" s="199"/>
      <c r="HNY94" s="199"/>
      <c r="HNZ94" s="199"/>
      <c r="HOA94" s="199"/>
      <c r="HOB94" s="199"/>
      <c r="HOC94" s="199"/>
      <c r="HOD94" s="199"/>
      <c r="HOE94" s="199"/>
      <c r="HOF94" s="199"/>
      <c r="HOG94" s="199"/>
      <c r="HOH94" s="193"/>
      <c r="HOI94" s="193"/>
      <c r="HOJ94" s="193"/>
      <c r="HOK94" s="193"/>
      <c r="HOL94" s="194"/>
      <c r="HOM94" s="194"/>
      <c r="HON94" s="196"/>
      <c r="HOO94" s="197"/>
      <c r="HOP94" s="197"/>
      <c r="HOQ94" s="198"/>
      <c r="HOR94" s="198"/>
      <c r="HOS94" s="199"/>
      <c r="HOT94" s="199"/>
      <c r="HOU94" s="199"/>
      <c r="HOV94" s="199"/>
      <c r="HOW94" s="199"/>
      <c r="HOX94" s="199"/>
      <c r="HOY94" s="199"/>
      <c r="HOZ94" s="199"/>
      <c r="HPA94" s="199"/>
      <c r="HPB94" s="199"/>
      <c r="HPC94" s="199"/>
      <c r="HPD94" s="199"/>
      <c r="HPE94" s="199"/>
      <c r="HPF94" s="199"/>
      <c r="HPG94" s="199"/>
      <c r="HPH94" s="199"/>
      <c r="HPI94" s="199"/>
      <c r="HPJ94" s="199"/>
      <c r="HPK94" s="199"/>
      <c r="HPL94" s="199"/>
      <c r="HPM94" s="199"/>
      <c r="HPN94" s="199"/>
      <c r="HPO94" s="199"/>
      <c r="HPP94" s="199"/>
      <c r="HPQ94" s="199"/>
      <c r="HPR94" s="199"/>
      <c r="HPS94" s="199"/>
      <c r="HPT94" s="199"/>
      <c r="HPU94" s="199"/>
      <c r="HPV94" s="199"/>
      <c r="HPW94" s="199"/>
      <c r="HPX94" s="199"/>
      <c r="HPY94" s="199"/>
      <c r="HPZ94" s="199"/>
      <c r="HQA94" s="193"/>
      <c r="HQB94" s="193"/>
      <c r="HQC94" s="193"/>
      <c r="HQD94" s="193"/>
      <c r="HQE94" s="194"/>
      <c r="HQF94" s="194"/>
      <c r="HQG94" s="196"/>
      <c r="HQH94" s="197"/>
      <c r="HQI94" s="197"/>
      <c r="HQJ94" s="198"/>
      <c r="HQK94" s="198"/>
      <c r="HQL94" s="199"/>
      <c r="HQM94" s="199"/>
      <c r="HQN94" s="199"/>
      <c r="HQO94" s="199"/>
      <c r="HQP94" s="199"/>
      <c r="HQQ94" s="199"/>
      <c r="HQR94" s="199"/>
      <c r="HQS94" s="199"/>
      <c r="HQT94" s="199"/>
      <c r="HQU94" s="199"/>
      <c r="HQV94" s="199"/>
      <c r="HQW94" s="199"/>
      <c r="HQX94" s="199"/>
      <c r="HQY94" s="199"/>
      <c r="HQZ94" s="199"/>
      <c r="HRA94" s="199"/>
      <c r="HRB94" s="199"/>
      <c r="HRC94" s="199"/>
      <c r="HRD94" s="199"/>
      <c r="HRE94" s="199"/>
      <c r="HRF94" s="199"/>
      <c r="HRG94" s="199"/>
      <c r="HRH94" s="199"/>
      <c r="HRI94" s="199"/>
      <c r="HRJ94" s="199"/>
      <c r="HRK94" s="199"/>
      <c r="HRL94" s="199"/>
      <c r="HRM94" s="199"/>
      <c r="HRN94" s="199"/>
      <c r="HRO94" s="199"/>
      <c r="HRP94" s="199"/>
      <c r="HRQ94" s="199"/>
      <c r="HRR94" s="199"/>
      <c r="HRS94" s="199"/>
      <c r="HRT94" s="193"/>
      <c r="HRU94" s="193"/>
      <c r="HRV94" s="193"/>
      <c r="HRW94" s="193"/>
      <c r="HRX94" s="194"/>
      <c r="HRY94" s="194"/>
      <c r="HRZ94" s="196"/>
      <c r="HSA94" s="197"/>
      <c r="HSB94" s="197"/>
      <c r="HSC94" s="198"/>
      <c r="HSD94" s="198"/>
      <c r="HSE94" s="199"/>
      <c r="HSF94" s="199"/>
      <c r="HSG94" s="199"/>
      <c r="HSH94" s="199"/>
      <c r="HSI94" s="199"/>
      <c r="HSJ94" s="199"/>
      <c r="HSK94" s="199"/>
      <c r="HSL94" s="199"/>
      <c r="HSM94" s="199"/>
      <c r="HSN94" s="199"/>
      <c r="HSO94" s="199"/>
      <c r="HSP94" s="199"/>
      <c r="HSQ94" s="199"/>
      <c r="HSR94" s="199"/>
      <c r="HSS94" s="199"/>
      <c r="HST94" s="199"/>
      <c r="HSU94" s="199"/>
      <c r="HSV94" s="199"/>
      <c r="HSW94" s="199"/>
      <c r="HSX94" s="199"/>
      <c r="HSY94" s="199"/>
      <c r="HSZ94" s="199"/>
      <c r="HTA94" s="199"/>
      <c r="HTB94" s="199"/>
      <c r="HTC94" s="199"/>
      <c r="HTD94" s="199"/>
      <c r="HTE94" s="199"/>
      <c r="HTF94" s="199"/>
      <c r="HTG94" s="199"/>
      <c r="HTH94" s="199"/>
      <c r="HTI94" s="199"/>
      <c r="HTJ94" s="199"/>
      <c r="HTK94" s="199"/>
      <c r="HTL94" s="199"/>
      <c r="HTM94" s="193"/>
      <c r="HTN94" s="193"/>
      <c r="HTO94" s="193"/>
      <c r="HTP94" s="193"/>
      <c r="HTQ94" s="194"/>
      <c r="HTR94" s="194"/>
      <c r="HTS94" s="196"/>
      <c r="HTT94" s="197"/>
      <c r="HTU94" s="197"/>
      <c r="HTV94" s="198"/>
      <c r="HTW94" s="198"/>
      <c r="HTX94" s="199"/>
      <c r="HTY94" s="199"/>
      <c r="HTZ94" s="199"/>
      <c r="HUA94" s="199"/>
      <c r="HUB94" s="199"/>
      <c r="HUC94" s="199"/>
      <c r="HUD94" s="199"/>
      <c r="HUE94" s="199"/>
      <c r="HUF94" s="199"/>
      <c r="HUG94" s="199"/>
      <c r="HUH94" s="199"/>
      <c r="HUI94" s="199"/>
      <c r="HUJ94" s="199"/>
      <c r="HUK94" s="199"/>
      <c r="HUL94" s="199"/>
      <c r="HUM94" s="199"/>
      <c r="HUN94" s="199"/>
      <c r="HUO94" s="199"/>
      <c r="HUP94" s="199"/>
      <c r="HUQ94" s="199"/>
      <c r="HUR94" s="199"/>
      <c r="HUS94" s="199"/>
      <c r="HUT94" s="199"/>
      <c r="HUU94" s="199"/>
      <c r="HUV94" s="199"/>
      <c r="HUW94" s="199"/>
      <c r="HUX94" s="199"/>
      <c r="HUY94" s="199"/>
      <c r="HUZ94" s="199"/>
      <c r="HVA94" s="199"/>
      <c r="HVB94" s="199"/>
      <c r="HVC94" s="199"/>
      <c r="HVD94" s="199"/>
      <c r="HVE94" s="199"/>
      <c r="HVF94" s="193"/>
      <c r="HVG94" s="193"/>
      <c r="HVH94" s="193"/>
      <c r="HVI94" s="193"/>
      <c r="HVJ94" s="194"/>
      <c r="HVK94" s="194"/>
      <c r="HVL94" s="196"/>
      <c r="HVM94" s="197"/>
      <c r="HVN94" s="197"/>
      <c r="HVO94" s="198"/>
      <c r="HVP94" s="198"/>
      <c r="HVQ94" s="199"/>
      <c r="HVR94" s="199"/>
      <c r="HVS94" s="199"/>
      <c r="HVT94" s="199"/>
      <c r="HVU94" s="199"/>
      <c r="HVV94" s="199"/>
      <c r="HVW94" s="199"/>
      <c r="HVX94" s="199"/>
      <c r="HVY94" s="199"/>
      <c r="HVZ94" s="199"/>
      <c r="HWA94" s="199"/>
      <c r="HWB94" s="199"/>
      <c r="HWC94" s="199"/>
      <c r="HWD94" s="199"/>
      <c r="HWE94" s="199"/>
      <c r="HWF94" s="199"/>
      <c r="HWG94" s="199"/>
      <c r="HWH94" s="199"/>
      <c r="HWI94" s="199"/>
      <c r="HWJ94" s="199"/>
      <c r="HWK94" s="199"/>
      <c r="HWL94" s="199"/>
      <c r="HWM94" s="199"/>
      <c r="HWN94" s="199"/>
      <c r="HWO94" s="199"/>
      <c r="HWP94" s="199"/>
      <c r="HWQ94" s="199"/>
      <c r="HWR94" s="199"/>
      <c r="HWS94" s="199"/>
      <c r="HWT94" s="199"/>
      <c r="HWU94" s="199"/>
      <c r="HWV94" s="199"/>
      <c r="HWW94" s="199"/>
      <c r="HWX94" s="199"/>
      <c r="HWY94" s="193"/>
      <c r="HWZ94" s="193"/>
      <c r="HXA94" s="193"/>
      <c r="HXB94" s="193"/>
      <c r="HXC94" s="194"/>
      <c r="HXD94" s="194"/>
      <c r="HXE94" s="196"/>
      <c r="HXF94" s="197"/>
      <c r="HXG94" s="197"/>
      <c r="HXH94" s="198"/>
      <c r="HXI94" s="198"/>
      <c r="HXJ94" s="199"/>
      <c r="HXK94" s="199"/>
      <c r="HXL94" s="199"/>
      <c r="HXM94" s="199"/>
      <c r="HXN94" s="199"/>
      <c r="HXO94" s="199"/>
      <c r="HXP94" s="199"/>
      <c r="HXQ94" s="199"/>
      <c r="HXR94" s="199"/>
      <c r="HXS94" s="199"/>
      <c r="HXT94" s="199"/>
      <c r="HXU94" s="199"/>
      <c r="HXV94" s="199"/>
      <c r="HXW94" s="199"/>
      <c r="HXX94" s="199"/>
      <c r="HXY94" s="199"/>
      <c r="HXZ94" s="199"/>
      <c r="HYA94" s="199"/>
      <c r="HYB94" s="199"/>
      <c r="HYC94" s="199"/>
      <c r="HYD94" s="199"/>
      <c r="HYE94" s="199"/>
      <c r="HYF94" s="199"/>
      <c r="HYG94" s="199"/>
      <c r="HYH94" s="199"/>
      <c r="HYI94" s="199"/>
      <c r="HYJ94" s="199"/>
      <c r="HYK94" s="199"/>
      <c r="HYL94" s="199"/>
      <c r="HYM94" s="199"/>
      <c r="HYN94" s="199"/>
      <c r="HYO94" s="199"/>
      <c r="HYP94" s="199"/>
      <c r="HYQ94" s="199"/>
      <c r="HYR94" s="193"/>
      <c r="HYS94" s="193"/>
      <c r="HYT94" s="193"/>
      <c r="HYU94" s="193"/>
      <c r="HYV94" s="194"/>
      <c r="HYW94" s="194"/>
      <c r="HYX94" s="196"/>
      <c r="HYY94" s="197"/>
      <c r="HYZ94" s="197"/>
      <c r="HZA94" s="198"/>
      <c r="HZB94" s="198"/>
      <c r="HZC94" s="199"/>
      <c r="HZD94" s="199"/>
      <c r="HZE94" s="199"/>
      <c r="HZF94" s="199"/>
      <c r="HZG94" s="199"/>
      <c r="HZH94" s="199"/>
      <c r="HZI94" s="199"/>
      <c r="HZJ94" s="199"/>
      <c r="HZK94" s="199"/>
      <c r="HZL94" s="199"/>
      <c r="HZM94" s="199"/>
      <c r="HZN94" s="199"/>
      <c r="HZO94" s="199"/>
      <c r="HZP94" s="199"/>
      <c r="HZQ94" s="199"/>
      <c r="HZR94" s="199"/>
      <c r="HZS94" s="199"/>
      <c r="HZT94" s="199"/>
      <c r="HZU94" s="199"/>
      <c r="HZV94" s="199"/>
      <c r="HZW94" s="199"/>
      <c r="HZX94" s="199"/>
      <c r="HZY94" s="199"/>
      <c r="HZZ94" s="199"/>
      <c r="IAA94" s="199"/>
      <c r="IAB94" s="199"/>
      <c r="IAC94" s="199"/>
      <c r="IAD94" s="199"/>
      <c r="IAE94" s="199"/>
      <c r="IAF94" s="199"/>
      <c r="IAG94" s="199"/>
      <c r="IAH94" s="199"/>
      <c r="IAI94" s="199"/>
      <c r="IAJ94" s="199"/>
      <c r="IAK94" s="193"/>
      <c r="IAL94" s="193"/>
      <c r="IAM94" s="193"/>
      <c r="IAN94" s="193"/>
      <c r="IAO94" s="194"/>
      <c r="IAP94" s="194"/>
      <c r="IAQ94" s="196"/>
      <c r="IAR94" s="197"/>
      <c r="IAS94" s="197"/>
      <c r="IAT94" s="198"/>
      <c r="IAU94" s="198"/>
      <c r="IAV94" s="199"/>
      <c r="IAW94" s="199"/>
      <c r="IAX94" s="199"/>
      <c r="IAY94" s="199"/>
      <c r="IAZ94" s="199"/>
      <c r="IBA94" s="199"/>
      <c r="IBB94" s="199"/>
      <c r="IBC94" s="199"/>
      <c r="IBD94" s="199"/>
      <c r="IBE94" s="199"/>
      <c r="IBF94" s="199"/>
      <c r="IBG94" s="199"/>
      <c r="IBH94" s="199"/>
      <c r="IBI94" s="199"/>
      <c r="IBJ94" s="199"/>
      <c r="IBK94" s="199"/>
      <c r="IBL94" s="199"/>
      <c r="IBM94" s="199"/>
      <c r="IBN94" s="199"/>
      <c r="IBO94" s="199"/>
      <c r="IBP94" s="199"/>
      <c r="IBQ94" s="199"/>
      <c r="IBR94" s="199"/>
      <c r="IBS94" s="199"/>
      <c r="IBT94" s="199"/>
      <c r="IBU94" s="199"/>
      <c r="IBV94" s="199"/>
      <c r="IBW94" s="199"/>
      <c r="IBX94" s="199"/>
      <c r="IBY94" s="199"/>
      <c r="IBZ94" s="199"/>
      <c r="ICA94" s="199"/>
      <c r="ICB94" s="199"/>
      <c r="ICC94" s="199"/>
      <c r="ICD94" s="193"/>
      <c r="ICE94" s="193"/>
      <c r="ICF94" s="193"/>
      <c r="ICG94" s="193"/>
      <c r="ICH94" s="194"/>
      <c r="ICI94" s="194"/>
      <c r="ICJ94" s="196"/>
      <c r="ICK94" s="197"/>
      <c r="ICL94" s="197"/>
      <c r="ICM94" s="198"/>
      <c r="ICN94" s="198"/>
      <c r="ICO94" s="199"/>
      <c r="ICP94" s="199"/>
      <c r="ICQ94" s="199"/>
      <c r="ICR94" s="199"/>
      <c r="ICS94" s="199"/>
      <c r="ICT94" s="199"/>
      <c r="ICU94" s="199"/>
      <c r="ICV94" s="199"/>
      <c r="ICW94" s="199"/>
      <c r="ICX94" s="199"/>
      <c r="ICY94" s="199"/>
      <c r="ICZ94" s="199"/>
      <c r="IDA94" s="199"/>
      <c r="IDB94" s="199"/>
      <c r="IDC94" s="199"/>
      <c r="IDD94" s="199"/>
      <c r="IDE94" s="199"/>
      <c r="IDF94" s="199"/>
      <c r="IDG94" s="199"/>
      <c r="IDH94" s="199"/>
      <c r="IDI94" s="199"/>
      <c r="IDJ94" s="199"/>
      <c r="IDK94" s="199"/>
      <c r="IDL94" s="199"/>
      <c r="IDM94" s="199"/>
      <c r="IDN94" s="199"/>
      <c r="IDO94" s="199"/>
      <c r="IDP94" s="199"/>
      <c r="IDQ94" s="199"/>
      <c r="IDR94" s="199"/>
      <c r="IDS94" s="199"/>
      <c r="IDT94" s="199"/>
      <c r="IDU94" s="199"/>
      <c r="IDV94" s="199"/>
      <c r="IDW94" s="193"/>
      <c r="IDX94" s="193"/>
      <c r="IDY94" s="193"/>
      <c r="IDZ94" s="193"/>
      <c r="IEA94" s="194"/>
      <c r="IEB94" s="194"/>
      <c r="IEC94" s="196"/>
      <c r="IED94" s="197"/>
      <c r="IEE94" s="197"/>
      <c r="IEF94" s="198"/>
      <c r="IEG94" s="198"/>
      <c r="IEH94" s="199"/>
      <c r="IEI94" s="199"/>
      <c r="IEJ94" s="199"/>
      <c r="IEK94" s="199"/>
      <c r="IEL94" s="199"/>
      <c r="IEM94" s="199"/>
      <c r="IEN94" s="199"/>
      <c r="IEO94" s="199"/>
      <c r="IEP94" s="199"/>
      <c r="IEQ94" s="199"/>
      <c r="IER94" s="199"/>
      <c r="IES94" s="199"/>
      <c r="IET94" s="199"/>
      <c r="IEU94" s="199"/>
      <c r="IEV94" s="199"/>
      <c r="IEW94" s="199"/>
      <c r="IEX94" s="199"/>
      <c r="IEY94" s="199"/>
      <c r="IEZ94" s="199"/>
      <c r="IFA94" s="199"/>
      <c r="IFB94" s="199"/>
      <c r="IFC94" s="199"/>
      <c r="IFD94" s="199"/>
      <c r="IFE94" s="199"/>
      <c r="IFF94" s="199"/>
      <c r="IFG94" s="199"/>
      <c r="IFH94" s="199"/>
      <c r="IFI94" s="199"/>
      <c r="IFJ94" s="199"/>
      <c r="IFK94" s="199"/>
      <c r="IFL94" s="199"/>
      <c r="IFM94" s="199"/>
      <c r="IFN94" s="199"/>
      <c r="IFO94" s="199"/>
      <c r="IFP94" s="193"/>
      <c r="IFQ94" s="193"/>
      <c r="IFR94" s="193"/>
      <c r="IFS94" s="193"/>
      <c r="IFT94" s="194"/>
      <c r="IFU94" s="194"/>
      <c r="IFV94" s="196"/>
      <c r="IFW94" s="197"/>
      <c r="IFX94" s="197"/>
      <c r="IFY94" s="198"/>
      <c r="IFZ94" s="198"/>
      <c r="IGA94" s="199"/>
      <c r="IGB94" s="199"/>
      <c r="IGC94" s="199"/>
      <c r="IGD94" s="199"/>
      <c r="IGE94" s="199"/>
      <c r="IGF94" s="199"/>
      <c r="IGG94" s="199"/>
      <c r="IGH94" s="199"/>
      <c r="IGI94" s="199"/>
      <c r="IGJ94" s="199"/>
      <c r="IGK94" s="199"/>
      <c r="IGL94" s="199"/>
      <c r="IGM94" s="199"/>
      <c r="IGN94" s="199"/>
      <c r="IGO94" s="199"/>
      <c r="IGP94" s="199"/>
      <c r="IGQ94" s="199"/>
      <c r="IGR94" s="199"/>
      <c r="IGS94" s="199"/>
      <c r="IGT94" s="199"/>
      <c r="IGU94" s="199"/>
      <c r="IGV94" s="199"/>
      <c r="IGW94" s="199"/>
      <c r="IGX94" s="199"/>
      <c r="IGY94" s="199"/>
      <c r="IGZ94" s="199"/>
      <c r="IHA94" s="199"/>
      <c r="IHB94" s="199"/>
      <c r="IHC94" s="199"/>
      <c r="IHD94" s="199"/>
      <c r="IHE94" s="199"/>
      <c r="IHF94" s="199"/>
      <c r="IHG94" s="199"/>
      <c r="IHH94" s="199"/>
      <c r="IHI94" s="193"/>
      <c r="IHJ94" s="193"/>
      <c r="IHK94" s="193"/>
      <c r="IHL94" s="193"/>
      <c r="IHM94" s="194"/>
      <c r="IHN94" s="194"/>
      <c r="IHO94" s="196"/>
      <c r="IHP94" s="197"/>
      <c r="IHQ94" s="197"/>
      <c r="IHR94" s="198"/>
      <c r="IHS94" s="198"/>
      <c r="IHT94" s="199"/>
      <c r="IHU94" s="199"/>
      <c r="IHV94" s="199"/>
      <c r="IHW94" s="199"/>
      <c r="IHX94" s="199"/>
      <c r="IHY94" s="199"/>
      <c r="IHZ94" s="199"/>
      <c r="IIA94" s="199"/>
      <c r="IIB94" s="199"/>
      <c r="IIC94" s="199"/>
      <c r="IID94" s="199"/>
      <c r="IIE94" s="199"/>
      <c r="IIF94" s="199"/>
      <c r="IIG94" s="199"/>
      <c r="IIH94" s="199"/>
      <c r="III94" s="199"/>
      <c r="IIJ94" s="199"/>
      <c r="IIK94" s="199"/>
      <c r="IIL94" s="199"/>
      <c r="IIM94" s="199"/>
      <c r="IIN94" s="199"/>
      <c r="IIO94" s="199"/>
      <c r="IIP94" s="199"/>
      <c r="IIQ94" s="199"/>
      <c r="IIR94" s="199"/>
      <c r="IIS94" s="199"/>
      <c r="IIT94" s="199"/>
      <c r="IIU94" s="199"/>
      <c r="IIV94" s="199"/>
      <c r="IIW94" s="199"/>
      <c r="IIX94" s="199"/>
      <c r="IIY94" s="199"/>
      <c r="IIZ94" s="199"/>
      <c r="IJA94" s="199"/>
      <c r="IJB94" s="193"/>
      <c r="IJC94" s="193"/>
      <c r="IJD94" s="193"/>
      <c r="IJE94" s="193"/>
      <c r="IJF94" s="194"/>
      <c r="IJG94" s="194"/>
      <c r="IJH94" s="196"/>
      <c r="IJI94" s="197"/>
      <c r="IJJ94" s="197"/>
      <c r="IJK94" s="198"/>
      <c r="IJL94" s="198"/>
      <c r="IJM94" s="199"/>
      <c r="IJN94" s="199"/>
      <c r="IJO94" s="199"/>
      <c r="IJP94" s="199"/>
      <c r="IJQ94" s="199"/>
      <c r="IJR94" s="199"/>
      <c r="IJS94" s="199"/>
      <c r="IJT94" s="199"/>
      <c r="IJU94" s="199"/>
      <c r="IJV94" s="199"/>
      <c r="IJW94" s="199"/>
      <c r="IJX94" s="199"/>
      <c r="IJY94" s="199"/>
      <c r="IJZ94" s="199"/>
      <c r="IKA94" s="199"/>
      <c r="IKB94" s="199"/>
      <c r="IKC94" s="199"/>
      <c r="IKD94" s="199"/>
      <c r="IKE94" s="199"/>
      <c r="IKF94" s="199"/>
      <c r="IKG94" s="199"/>
      <c r="IKH94" s="199"/>
      <c r="IKI94" s="199"/>
      <c r="IKJ94" s="199"/>
      <c r="IKK94" s="199"/>
      <c r="IKL94" s="199"/>
      <c r="IKM94" s="199"/>
      <c r="IKN94" s="199"/>
      <c r="IKO94" s="199"/>
      <c r="IKP94" s="199"/>
      <c r="IKQ94" s="199"/>
      <c r="IKR94" s="199"/>
      <c r="IKS94" s="199"/>
      <c r="IKT94" s="199"/>
      <c r="IKU94" s="193"/>
      <c r="IKV94" s="193"/>
      <c r="IKW94" s="193"/>
      <c r="IKX94" s="193"/>
      <c r="IKY94" s="194"/>
      <c r="IKZ94" s="194"/>
      <c r="ILA94" s="196"/>
      <c r="ILB94" s="197"/>
      <c r="ILC94" s="197"/>
      <c r="ILD94" s="198"/>
      <c r="ILE94" s="198"/>
      <c r="ILF94" s="199"/>
      <c r="ILG94" s="199"/>
      <c r="ILH94" s="199"/>
      <c r="ILI94" s="199"/>
      <c r="ILJ94" s="199"/>
      <c r="ILK94" s="199"/>
      <c r="ILL94" s="199"/>
      <c r="ILM94" s="199"/>
      <c r="ILN94" s="199"/>
      <c r="ILO94" s="199"/>
      <c r="ILP94" s="199"/>
      <c r="ILQ94" s="199"/>
      <c r="ILR94" s="199"/>
      <c r="ILS94" s="199"/>
      <c r="ILT94" s="199"/>
      <c r="ILU94" s="199"/>
      <c r="ILV94" s="199"/>
      <c r="ILW94" s="199"/>
      <c r="ILX94" s="199"/>
      <c r="ILY94" s="199"/>
      <c r="ILZ94" s="199"/>
      <c r="IMA94" s="199"/>
      <c r="IMB94" s="199"/>
      <c r="IMC94" s="199"/>
      <c r="IMD94" s="199"/>
      <c r="IME94" s="199"/>
      <c r="IMF94" s="199"/>
      <c r="IMG94" s="199"/>
      <c r="IMH94" s="199"/>
      <c r="IMI94" s="199"/>
      <c r="IMJ94" s="199"/>
      <c r="IMK94" s="199"/>
      <c r="IML94" s="199"/>
      <c r="IMM94" s="199"/>
      <c r="IMN94" s="193"/>
      <c r="IMO94" s="193"/>
      <c r="IMP94" s="193"/>
      <c r="IMQ94" s="193"/>
      <c r="IMR94" s="194"/>
      <c r="IMS94" s="194"/>
      <c r="IMT94" s="196"/>
      <c r="IMU94" s="197"/>
      <c r="IMV94" s="197"/>
      <c r="IMW94" s="198"/>
      <c r="IMX94" s="198"/>
      <c r="IMY94" s="199"/>
      <c r="IMZ94" s="199"/>
      <c r="INA94" s="199"/>
      <c r="INB94" s="199"/>
      <c r="INC94" s="199"/>
      <c r="IND94" s="199"/>
      <c r="INE94" s="199"/>
      <c r="INF94" s="199"/>
      <c r="ING94" s="199"/>
      <c r="INH94" s="199"/>
      <c r="INI94" s="199"/>
      <c r="INJ94" s="199"/>
      <c r="INK94" s="199"/>
      <c r="INL94" s="199"/>
      <c r="INM94" s="199"/>
      <c r="INN94" s="199"/>
      <c r="INO94" s="199"/>
      <c r="INP94" s="199"/>
      <c r="INQ94" s="199"/>
      <c r="INR94" s="199"/>
      <c r="INS94" s="199"/>
      <c r="INT94" s="199"/>
      <c r="INU94" s="199"/>
      <c r="INV94" s="199"/>
      <c r="INW94" s="199"/>
      <c r="INX94" s="199"/>
      <c r="INY94" s="199"/>
      <c r="INZ94" s="199"/>
      <c r="IOA94" s="199"/>
      <c r="IOB94" s="199"/>
      <c r="IOC94" s="199"/>
      <c r="IOD94" s="199"/>
      <c r="IOE94" s="199"/>
      <c r="IOF94" s="199"/>
      <c r="IOG94" s="193"/>
      <c r="IOH94" s="193"/>
      <c r="IOI94" s="193"/>
      <c r="IOJ94" s="193"/>
      <c r="IOK94" s="194"/>
      <c r="IOL94" s="194"/>
      <c r="IOM94" s="196"/>
      <c r="ION94" s="197"/>
      <c r="IOO94" s="197"/>
      <c r="IOP94" s="198"/>
      <c r="IOQ94" s="198"/>
      <c r="IOR94" s="199"/>
      <c r="IOS94" s="199"/>
      <c r="IOT94" s="199"/>
      <c r="IOU94" s="199"/>
      <c r="IOV94" s="199"/>
      <c r="IOW94" s="199"/>
      <c r="IOX94" s="199"/>
      <c r="IOY94" s="199"/>
      <c r="IOZ94" s="199"/>
      <c r="IPA94" s="199"/>
      <c r="IPB94" s="199"/>
      <c r="IPC94" s="199"/>
      <c r="IPD94" s="199"/>
      <c r="IPE94" s="199"/>
      <c r="IPF94" s="199"/>
      <c r="IPG94" s="199"/>
      <c r="IPH94" s="199"/>
      <c r="IPI94" s="199"/>
      <c r="IPJ94" s="199"/>
      <c r="IPK94" s="199"/>
      <c r="IPL94" s="199"/>
      <c r="IPM94" s="199"/>
      <c r="IPN94" s="199"/>
      <c r="IPO94" s="199"/>
      <c r="IPP94" s="199"/>
      <c r="IPQ94" s="199"/>
      <c r="IPR94" s="199"/>
      <c r="IPS94" s="199"/>
      <c r="IPT94" s="199"/>
      <c r="IPU94" s="199"/>
      <c r="IPV94" s="199"/>
      <c r="IPW94" s="199"/>
      <c r="IPX94" s="199"/>
      <c r="IPY94" s="199"/>
      <c r="IPZ94" s="193"/>
      <c r="IQA94" s="193"/>
      <c r="IQB94" s="193"/>
      <c r="IQC94" s="193"/>
      <c r="IQD94" s="194"/>
      <c r="IQE94" s="194"/>
      <c r="IQF94" s="196"/>
      <c r="IQG94" s="197"/>
      <c r="IQH94" s="197"/>
      <c r="IQI94" s="198"/>
      <c r="IQJ94" s="198"/>
      <c r="IQK94" s="199"/>
      <c r="IQL94" s="199"/>
      <c r="IQM94" s="199"/>
      <c r="IQN94" s="199"/>
      <c r="IQO94" s="199"/>
      <c r="IQP94" s="199"/>
      <c r="IQQ94" s="199"/>
      <c r="IQR94" s="199"/>
      <c r="IQS94" s="199"/>
      <c r="IQT94" s="199"/>
      <c r="IQU94" s="199"/>
      <c r="IQV94" s="199"/>
      <c r="IQW94" s="199"/>
      <c r="IQX94" s="199"/>
      <c r="IQY94" s="199"/>
      <c r="IQZ94" s="199"/>
      <c r="IRA94" s="199"/>
      <c r="IRB94" s="199"/>
      <c r="IRC94" s="199"/>
      <c r="IRD94" s="199"/>
      <c r="IRE94" s="199"/>
      <c r="IRF94" s="199"/>
      <c r="IRG94" s="199"/>
      <c r="IRH94" s="199"/>
      <c r="IRI94" s="199"/>
      <c r="IRJ94" s="199"/>
      <c r="IRK94" s="199"/>
      <c r="IRL94" s="199"/>
      <c r="IRM94" s="199"/>
      <c r="IRN94" s="199"/>
      <c r="IRO94" s="199"/>
      <c r="IRP94" s="199"/>
      <c r="IRQ94" s="199"/>
      <c r="IRR94" s="199"/>
      <c r="IRS94" s="193"/>
      <c r="IRT94" s="193"/>
      <c r="IRU94" s="193"/>
      <c r="IRV94" s="193"/>
      <c r="IRW94" s="194"/>
      <c r="IRX94" s="194"/>
      <c r="IRY94" s="196"/>
      <c r="IRZ94" s="197"/>
      <c r="ISA94" s="197"/>
      <c r="ISB94" s="198"/>
      <c r="ISC94" s="198"/>
      <c r="ISD94" s="199"/>
      <c r="ISE94" s="199"/>
      <c r="ISF94" s="199"/>
      <c r="ISG94" s="199"/>
      <c r="ISH94" s="199"/>
      <c r="ISI94" s="199"/>
      <c r="ISJ94" s="199"/>
      <c r="ISK94" s="199"/>
      <c r="ISL94" s="199"/>
      <c r="ISM94" s="199"/>
      <c r="ISN94" s="199"/>
      <c r="ISO94" s="199"/>
      <c r="ISP94" s="199"/>
      <c r="ISQ94" s="199"/>
      <c r="ISR94" s="199"/>
      <c r="ISS94" s="199"/>
      <c r="IST94" s="199"/>
      <c r="ISU94" s="199"/>
      <c r="ISV94" s="199"/>
      <c r="ISW94" s="199"/>
      <c r="ISX94" s="199"/>
      <c r="ISY94" s="199"/>
      <c r="ISZ94" s="199"/>
      <c r="ITA94" s="199"/>
      <c r="ITB94" s="199"/>
      <c r="ITC94" s="199"/>
      <c r="ITD94" s="199"/>
      <c r="ITE94" s="199"/>
      <c r="ITF94" s="199"/>
      <c r="ITG94" s="199"/>
      <c r="ITH94" s="199"/>
      <c r="ITI94" s="199"/>
      <c r="ITJ94" s="199"/>
      <c r="ITK94" s="199"/>
      <c r="ITL94" s="193"/>
      <c r="ITM94" s="193"/>
      <c r="ITN94" s="193"/>
      <c r="ITO94" s="193"/>
      <c r="ITP94" s="194"/>
      <c r="ITQ94" s="194"/>
      <c r="ITR94" s="196"/>
      <c r="ITS94" s="197"/>
      <c r="ITT94" s="197"/>
      <c r="ITU94" s="198"/>
      <c r="ITV94" s="198"/>
      <c r="ITW94" s="199"/>
      <c r="ITX94" s="199"/>
      <c r="ITY94" s="199"/>
      <c r="ITZ94" s="199"/>
      <c r="IUA94" s="199"/>
      <c r="IUB94" s="199"/>
      <c r="IUC94" s="199"/>
      <c r="IUD94" s="199"/>
      <c r="IUE94" s="199"/>
      <c r="IUF94" s="199"/>
      <c r="IUG94" s="199"/>
      <c r="IUH94" s="199"/>
      <c r="IUI94" s="199"/>
      <c r="IUJ94" s="199"/>
      <c r="IUK94" s="199"/>
      <c r="IUL94" s="199"/>
      <c r="IUM94" s="199"/>
      <c r="IUN94" s="199"/>
      <c r="IUO94" s="199"/>
      <c r="IUP94" s="199"/>
      <c r="IUQ94" s="199"/>
      <c r="IUR94" s="199"/>
      <c r="IUS94" s="199"/>
      <c r="IUT94" s="199"/>
      <c r="IUU94" s="199"/>
      <c r="IUV94" s="199"/>
      <c r="IUW94" s="199"/>
      <c r="IUX94" s="199"/>
      <c r="IUY94" s="199"/>
      <c r="IUZ94" s="199"/>
      <c r="IVA94" s="199"/>
      <c r="IVB94" s="199"/>
      <c r="IVC94" s="199"/>
      <c r="IVD94" s="199"/>
      <c r="IVE94" s="193"/>
      <c r="IVF94" s="193"/>
      <c r="IVG94" s="193"/>
      <c r="IVH94" s="193"/>
      <c r="IVI94" s="194"/>
      <c r="IVJ94" s="194"/>
      <c r="IVK94" s="196"/>
      <c r="IVL94" s="197"/>
      <c r="IVM94" s="197"/>
      <c r="IVN94" s="198"/>
      <c r="IVO94" s="198"/>
      <c r="IVP94" s="199"/>
      <c r="IVQ94" s="199"/>
      <c r="IVR94" s="199"/>
      <c r="IVS94" s="199"/>
      <c r="IVT94" s="199"/>
      <c r="IVU94" s="199"/>
      <c r="IVV94" s="199"/>
      <c r="IVW94" s="199"/>
      <c r="IVX94" s="199"/>
      <c r="IVY94" s="199"/>
      <c r="IVZ94" s="199"/>
      <c r="IWA94" s="199"/>
      <c r="IWB94" s="199"/>
      <c r="IWC94" s="199"/>
      <c r="IWD94" s="199"/>
      <c r="IWE94" s="199"/>
      <c r="IWF94" s="199"/>
      <c r="IWG94" s="199"/>
      <c r="IWH94" s="199"/>
      <c r="IWI94" s="199"/>
      <c r="IWJ94" s="199"/>
      <c r="IWK94" s="199"/>
      <c r="IWL94" s="199"/>
      <c r="IWM94" s="199"/>
      <c r="IWN94" s="199"/>
      <c r="IWO94" s="199"/>
      <c r="IWP94" s="199"/>
      <c r="IWQ94" s="199"/>
      <c r="IWR94" s="199"/>
      <c r="IWS94" s="199"/>
      <c r="IWT94" s="199"/>
      <c r="IWU94" s="199"/>
      <c r="IWV94" s="199"/>
      <c r="IWW94" s="199"/>
      <c r="IWX94" s="193"/>
      <c r="IWY94" s="193"/>
      <c r="IWZ94" s="193"/>
      <c r="IXA94" s="193"/>
      <c r="IXB94" s="194"/>
      <c r="IXC94" s="194"/>
      <c r="IXD94" s="196"/>
      <c r="IXE94" s="197"/>
      <c r="IXF94" s="197"/>
      <c r="IXG94" s="198"/>
      <c r="IXH94" s="198"/>
      <c r="IXI94" s="199"/>
      <c r="IXJ94" s="199"/>
      <c r="IXK94" s="199"/>
      <c r="IXL94" s="199"/>
      <c r="IXM94" s="199"/>
      <c r="IXN94" s="199"/>
      <c r="IXO94" s="199"/>
      <c r="IXP94" s="199"/>
      <c r="IXQ94" s="199"/>
      <c r="IXR94" s="199"/>
      <c r="IXS94" s="199"/>
      <c r="IXT94" s="199"/>
      <c r="IXU94" s="199"/>
      <c r="IXV94" s="199"/>
      <c r="IXW94" s="199"/>
      <c r="IXX94" s="199"/>
      <c r="IXY94" s="199"/>
      <c r="IXZ94" s="199"/>
      <c r="IYA94" s="199"/>
      <c r="IYB94" s="199"/>
      <c r="IYC94" s="199"/>
      <c r="IYD94" s="199"/>
      <c r="IYE94" s="199"/>
      <c r="IYF94" s="199"/>
      <c r="IYG94" s="199"/>
      <c r="IYH94" s="199"/>
      <c r="IYI94" s="199"/>
      <c r="IYJ94" s="199"/>
      <c r="IYK94" s="199"/>
      <c r="IYL94" s="199"/>
      <c r="IYM94" s="199"/>
      <c r="IYN94" s="199"/>
      <c r="IYO94" s="199"/>
      <c r="IYP94" s="199"/>
      <c r="IYQ94" s="193"/>
      <c r="IYR94" s="193"/>
      <c r="IYS94" s="193"/>
      <c r="IYT94" s="193"/>
      <c r="IYU94" s="194"/>
      <c r="IYV94" s="194"/>
      <c r="IYW94" s="196"/>
      <c r="IYX94" s="197"/>
      <c r="IYY94" s="197"/>
      <c r="IYZ94" s="198"/>
      <c r="IZA94" s="198"/>
      <c r="IZB94" s="199"/>
      <c r="IZC94" s="199"/>
      <c r="IZD94" s="199"/>
      <c r="IZE94" s="199"/>
      <c r="IZF94" s="199"/>
      <c r="IZG94" s="199"/>
      <c r="IZH94" s="199"/>
      <c r="IZI94" s="199"/>
      <c r="IZJ94" s="199"/>
      <c r="IZK94" s="199"/>
      <c r="IZL94" s="199"/>
      <c r="IZM94" s="199"/>
      <c r="IZN94" s="199"/>
      <c r="IZO94" s="199"/>
      <c r="IZP94" s="199"/>
      <c r="IZQ94" s="199"/>
      <c r="IZR94" s="199"/>
      <c r="IZS94" s="199"/>
      <c r="IZT94" s="199"/>
      <c r="IZU94" s="199"/>
      <c r="IZV94" s="199"/>
      <c r="IZW94" s="199"/>
      <c r="IZX94" s="199"/>
      <c r="IZY94" s="199"/>
      <c r="IZZ94" s="199"/>
      <c r="JAA94" s="199"/>
      <c r="JAB94" s="199"/>
      <c r="JAC94" s="199"/>
      <c r="JAD94" s="199"/>
      <c r="JAE94" s="199"/>
      <c r="JAF94" s="199"/>
      <c r="JAG94" s="199"/>
      <c r="JAH94" s="199"/>
      <c r="JAI94" s="199"/>
      <c r="JAJ94" s="193"/>
      <c r="JAK94" s="193"/>
      <c r="JAL94" s="193"/>
      <c r="JAM94" s="193"/>
      <c r="JAN94" s="194"/>
      <c r="JAO94" s="194"/>
      <c r="JAP94" s="196"/>
      <c r="JAQ94" s="197"/>
      <c r="JAR94" s="197"/>
      <c r="JAS94" s="198"/>
      <c r="JAT94" s="198"/>
      <c r="JAU94" s="199"/>
      <c r="JAV94" s="199"/>
      <c r="JAW94" s="199"/>
      <c r="JAX94" s="199"/>
      <c r="JAY94" s="199"/>
      <c r="JAZ94" s="199"/>
      <c r="JBA94" s="199"/>
      <c r="JBB94" s="199"/>
      <c r="JBC94" s="199"/>
      <c r="JBD94" s="199"/>
      <c r="JBE94" s="199"/>
      <c r="JBF94" s="199"/>
      <c r="JBG94" s="199"/>
      <c r="JBH94" s="199"/>
      <c r="JBI94" s="199"/>
      <c r="JBJ94" s="199"/>
      <c r="JBK94" s="199"/>
      <c r="JBL94" s="199"/>
      <c r="JBM94" s="199"/>
      <c r="JBN94" s="199"/>
      <c r="JBO94" s="199"/>
      <c r="JBP94" s="199"/>
      <c r="JBQ94" s="199"/>
      <c r="JBR94" s="199"/>
      <c r="JBS94" s="199"/>
      <c r="JBT94" s="199"/>
      <c r="JBU94" s="199"/>
      <c r="JBV94" s="199"/>
      <c r="JBW94" s="199"/>
      <c r="JBX94" s="199"/>
      <c r="JBY94" s="199"/>
      <c r="JBZ94" s="199"/>
      <c r="JCA94" s="199"/>
      <c r="JCB94" s="199"/>
      <c r="JCC94" s="193"/>
      <c r="JCD94" s="193"/>
      <c r="JCE94" s="193"/>
      <c r="JCF94" s="193"/>
      <c r="JCG94" s="194"/>
      <c r="JCH94" s="194"/>
      <c r="JCI94" s="196"/>
      <c r="JCJ94" s="197"/>
      <c r="JCK94" s="197"/>
      <c r="JCL94" s="198"/>
      <c r="JCM94" s="198"/>
      <c r="JCN94" s="199"/>
      <c r="JCO94" s="199"/>
      <c r="JCP94" s="199"/>
      <c r="JCQ94" s="199"/>
      <c r="JCR94" s="199"/>
      <c r="JCS94" s="199"/>
      <c r="JCT94" s="199"/>
      <c r="JCU94" s="199"/>
      <c r="JCV94" s="199"/>
      <c r="JCW94" s="199"/>
      <c r="JCX94" s="199"/>
      <c r="JCY94" s="199"/>
      <c r="JCZ94" s="199"/>
      <c r="JDA94" s="199"/>
      <c r="JDB94" s="199"/>
      <c r="JDC94" s="199"/>
      <c r="JDD94" s="199"/>
      <c r="JDE94" s="199"/>
      <c r="JDF94" s="199"/>
      <c r="JDG94" s="199"/>
      <c r="JDH94" s="199"/>
      <c r="JDI94" s="199"/>
      <c r="JDJ94" s="199"/>
      <c r="JDK94" s="199"/>
      <c r="JDL94" s="199"/>
      <c r="JDM94" s="199"/>
      <c r="JDN94" s="199"/>
      <c r="JDO94" s="199"/>
      <c r="JDP94" s="199"/>
      <c r="JDQ94" s="199"/>
      <c r="JDR94" s="199"/>
      <c r="JDS94" s="199"/>
      <c r="JDT94" s="199"/>
      <c r="JDU94" s="199"/>
      <c r="JDV94" s="193"/>
      <c r="JDW94" s="193"/>
      <c r="JDX94" s="193"/>
      <c r="JDY94" s="193"/>
      <c r="JDZ94" s="194"/>
      <c r="JEA94" s="194"/>
      <c r="JEB94" s="196"/>
      <c r="JEC94" s="197"/>
      <c r="JED94" s="197"/>
      <c r="JEE94" s="198"/>
      <c r="JEF94" s="198"/>
      <c r="JEG94" s="199"/>
      <c r="JEH94" s="199"/>
      <c r="JEI94" s="199"/>
      <c r="JEJ94" s="199"/>
      <c r="JEK94" s="199"/>
      <c r="JEL94" s="199"/>
      <c r="JEM94" s="199"/>
      <c r="JEN94" s="199"/>
      <c r="JEO94" s="199"/>
      <c r="JEP94" s="199"/>
      <c r="JEQ94" s="199"/>
      <c r="JER94" s="199"/>
      <c r="JES94" s="199"/>
      <c r="JET94" s="199"/>
      <c r="JEU94" s="199"/>
      <c r="JEV94" s="199"/>
      <c r="JEW94" s="199"/>
      <c r="JEX94" s="199"/>
      <c r="JEY94" s="199"/>
      <c r="JEZ94" s="199"/>
      <c r="JFA94" s="199"/>
      <c r="JFB94" s="199"/>
      <c r="JFC94" s="199"/>
      <c r="JFD94" s="199"/>
      <c r="JFE94" s="199"/>
      <c r="JFF94" s="199"/>
      <c r="JFG94" s="199"/>
      <c r="JFH94" s="199"/>
      <c r="JFI94" s="199"/>
      <c r="JFJ94" s="199"/>
      <c r="JFK94" s="199"/>
      <c r="JFL94" s="199"/>
      <c r="JFM94" s="199"/>
      <c r="JFN94" s="199"/>
      <c r="JFO94" s="193"/>
      <c r="JFP94" s="193"/>
      <c r="JFQ94" s="193"/>
      <c r="JFR94" s="193"/>
      <c r="JFS94" s="194"/>
      <c r="JFT94" s="194"/>
      <c r="JFU94" s="196"/>
      <c r="JFV94" s="197"/>
      <c r="JFW94" s="197"/>
      <c r="JFX94" s="198"/>
      <c r="JFY94" s="198"/>
      <c r="JFZ94" s="199"/>
      <c r="JGA94" s="199"/>
      <c r="JGB94" s="199"/>
      <c r="JGC94" s="199"/>
      <c r="JGD94" s="199"/>
      <c r="JGE94" s="199"/>
      <c r="JGF94" s="199"/>
      <c r="JGG94" s="199"/>
      <c r="JGH94" s="199"/>
      <c r="JGI94" s="199"/>
      <c r="JGJ94" s="199"/>
      <c r="JGK94" s="199"/>
      <c r="JGL94" s="199"/>
      <c r="JGM94" s="199"/>
      <c r="JGN94" s="199"/>
      <c r="JGO94" s="199"/>
      <c r="JGP94" s="199"/>
      <c r="JGQ94" s="199"/>
      <c r="JGR94" s="199"/>
      <c r="JGS94" s="199"/>
      <c r="JGT94" s="199"/>
      <c r="JGU94" s="199"/>
      <c r="JGV94" s="199"/>
      <c r="JGW94" s="199"/>
      <c r="JGX94" s="199"/>
      <c r="JGY94" s="199"/>
      <c r="JGZ94" s="199"/>
      <c r="JHA94" s="199"/>
      <c r="JHB94" s="199"/>
      <c r="JHC94" s="199"/>
      <c r="JHD94" s="199"/>
      <c r="JHE94" s="199"/>
      <c r="JHF94" s="199"/>
      <c r="JHG94" s="199"/>
      <c r="JHH94" s="193"/>
      <c r="JHI94" s="193"/>
      <c r="JHJ94" s="193"/>
      <c r="JHK94" s="193"/>
      <c r="JHL94" s="194"/>
      <c r="JHM94" s="194"/>
      <c r="JHN94" s="196"/>
      <c r="JHO94" s="197"/>
      <c r="JHP94" s="197"/>
      <c r="JHQ94" s="198"/>
      <c r="JHR94" s="198"/>
      <c r="JHS94" s="199"/>
      <c r="JHT94" s="199"/>
      <c r="JHU94" s="199"/>
      <c r="JHV94" s="199"/>
      <c r="JHW94" s="199"/>
      <c r="JHX94" s="199"/>
      <c r="JHY94" s="199"/>
      <c r="JHZ94" s="199"/>
      <c r="JIA94" s="199"/>
      <c r="JIB94" s="199"/>
      <c r="JIC94" s="199"/>
      <c r="JID94" s="199"/>
      <c r="JIE94" s="199"/>
      <c r="JIF94" s="199"/>
      <c r="JIG94" s="199"/>
      <c r="JIH94" s="199"/>
      <c r="JII94" s="199"/>
      <c r="JIJ94" s="199"/>
      <c r="JIK94" s="199"/>
      <c r="JIL94" s="199"/>
      <c r="JIM94" s="199"/>
      <c r="JIN94" s="199"/>
      <c r="JIO94" s="199"/>
      <c r="JIP94" s="199"/>
      <c r="JIQ94" s="199"/>
      <c r="JIR94" s="199"/>
      <c r="JIS94" s="199"/>
      <c r="JIT94" s="199"/>
      <c r="JIU94" s="199"/>
      <c r="JIV94" s="199"/>
      <c r="JIW94" s="199"/>
      <c r="JIX94" s="199"/>
      <c r="JIY94" s="199"/>
      <c r="JIZ94" s="199"/>
      <c r="JJA94" s="193"/>
      <c r="JJB94" s="193"/>
      <c r="JJC94" s="193"/>
      <c r="JJD94" s="193"/>
      <c r="JJE94" s="194"/>
      <c r="JJF94" s="194"/>
      <c r="JJG94" s="196"/>
      <c r="JJH94" s="197"/>
      <c r="JJI94" s="197"/>
      <c r="JJJ94" s="198"/>
      <c r="JJK94" s="198"/>
      <c r="JJL94" s="199"/>
      <c r="JJM94" s="199"/>
      <c r="JJN94" s="199"/>
      <c r="JJO94" s="199"/>
      <c r="JJP94" s="199"/>
      <c r="JJQ94" s="199"/>
      <c r="JJR94" s="199"/>
      <c r="JJS94" s="199"/>
      <c r="JJT94" s="199"/>
      <c r="JJU94" s="199"/>
      <c r="JJV94" s="199"/>
      <c r="JJW94" s="199"/>
      <c r="JJX94" s="199"/>
      <c r="JJY94" s="199"/>
      <c r="JJZ94" s="199"/>
      <c r="JKA94" s="199"/>
      <c r="JKB94" s="199"/>
      <c r="JKC94" s="199"/>
      <c r="JKD94" s="199"/>
      <c r="JKE94" s="199"/>
      <c r="JKF94" s="199"/>
      <c r="JKG94" s="199"/>
      <c r="JKH94" s="199"/>
      <c r="JKI94" s="199"/>
      <c r="JKJ94" s="199"/>
      <c r="JKK94" s="199"/>
      <c r="JKL94" s="199"/>
      <c r="JKM94" s="199"/>
      <c r="JKN94" s="199"/>
      <c r="JKO94" s="199"/>
      <c r="JKP94" s="199"/>
      <c r="JKQ94" s="199"/>
      <c r="JKR94" s="199"/>
      <c r="JKS94" s="199"/>
      <c r="JKT94" s="193"/>
      <c r="JKU94" s="193"/>
      <c r="JKV94" s="193"/>
      <c r="JKW94" s="193"/>
      <c r="JKX94" s="194"/>
      <c r="JKY94" s="194"/>
      <c r="JKZ94" s="196"/>
      <c r="JLA94" s="197"/>
      <c r="JLB94" s="197"/>
      <c r="JLC94" s="198"/>
      <c r="JLD94" s="198"/>
      <c r="JLE94" s="199"/>
      <c r="JLF94" s="199"/>
      <c r="JLG94" s="199"/>
      <c r="JLH94" s="199"/>
      <c r="JLI94" s="199"/>
      <c r="JLJ94" s="199"/>
      <c r="JLK94" s="199"/>
      <c r="JLL94" s="199"/>
      <c r="JLM94" s="199"/>
      <c r="JLN94" s="199"/>
      <c r="JLO94" s="199"/>
      <c r="JLP94" s="199"/>
      <c r="JLQ94" s="199"/>
      <c r="JLR94" s="199"/>
      <c r="JLS94" s="199"/>
      <c r="JLT94" s="199"/>
      <c r="JLU94" s="199"/>
      <c r="JLV94" s="199"/>
      <c r="JLW94" s="199"/>
      <c r="JLX94" s="199"/>
      <c r="JLY94" s="199"/>
      <c r="JLZ94" s="199"/>
      <c r="JMA94" s="199"/>
      <c r="JMB94" s="199"/>
      <c r="JMC94" s="199"/>
      <c r="JMD94" s="199"/>
      <c r="JME94" s="199"/>
      <c r="JMF94" s="199"/>
      <c r="JMG94" s="199"/>
      <c r="JMH94" s="199"/>
      <c r="JMI94" s="199"/>
      <c r="JMJ94" s="199"/>
      <c r="JMK94" s="199"/>
      <c r="JML94" s="199"/>
      <c r="JMM94" s="193"/>
      <c r="JMN94" s="193"/>
      <c r="JMO94" s="193"/>
      <c r="JMP94" s="193"/>
      <c r="JMQ94" s="194"/>
      <c r="JMR94" s="194"/>
      <c r="JMS94" s="196"/>
      <c r="JMT94" s="197"/>
      <c r="JMU94" s="197"/>
      <c r="JMV94" s="198"/>
      <c r="JMW94" s="198"/>
      <c r="JMX94" s="199"/>
      <c r="JMY94" s="199"/>
      <c r="JMZ94" s="199"/>
      <c r="JNA94" s="199"/>
      <c r="JNB94" s="199"/>
      <c r="JNC94" s="199"/>
      <c r="JND94" s="199"/>
      <c r="JNE94" s="199"/>
      <c r="JNF94" s="199"/>
      <c r="JNG94" s="199"/>
      <c r="JNH94" s="199"/>
      <c r="JNI94" s="199"/>
      <c r="JNJ94" s="199"/>
      <c r="JNK94" s="199"/>
      <c r="JNL94" s="199"/>
      <c r="JNM94" s="199"/>
      <c r="JNN94" s="199"/>
      <c r="JNO94" s="199"/>
      <c r="JNP94" s="199"/>
      <c r="JNQ94" s="199"/>
      <c r="JNR94" s="199"/>
      <c r="JNS94" s="199"/>
      <c r="JNT94" s="199"/>
      <c r="JNU94" s="199"/>
      <c r="JNV94" s="199"/>
      <c r="JNW94" s="199"/>
      <c r="JNX94" s="199"/>
      <c r="JNY94" s="199"/>
      <c r="JNZ94" s="199"/>
      <c r="JOA94" s="199"/>
      <c r="JOB94" s="199"/>
      <c r="JOC94" s="199"/>
      <c r="JOD94" s="199"/>
      <c r="JOE94" s="199"/>
      <c r="JOF94" s="193"/>
      <c r="JOG94" s="193"/>
      <c r="JOH94" s="193"/>
      <c r="JOI94" s="193"/>
      <c r="JOJ94" s="194"/>
      <c r="JOK94" s="194"/>
      <c r="JOL94" s="196"/>
      <c r="JOM94" s="197"/>
      <c r="JON94" s="197"/>
      <c r="JOO94" s="198"/>
      <c r="JOP94" s="198"/>
      <c r="JOQ94" s="199"/>
      <c r="JOR94" s="199"/>
      <c r="JOS94" s="199"/>
      <c r="JOT94" s="199"/>
      <c r="JOU94" s="199"/>
      <c r="JOV94" s="199"/>
      <c r="JOW94" s="199"/>
      <c r="JOX94" s="199"/>
      <c r="JOY94" s="199"/>
      <c r="JOZ94" s="199"/>
      <c r="JPA94" s="199"/>
      <c r="JPB94" s="199"/>
      <c r="JPC94" s="199"/>
      <c r="JPD94" s="199"/>
      <c r="JPE94" s="199"/>
      <c r="JPF94" s="199"/>
      <c r="JPG94" s="199"/>
      <c r="JPH94" s="199"/>
      <c r="JPI94" s="199"/>
      <c r="JPJ94" s="199"/>
      <c r="JPK94" s="199"/>
      <c r="JPL94" s="199"/>
      <c r="JPM94" s="199"/>
      <c r="JPN94" s="199"/>
      <c r="JPO94" s="199"/>
      <c r="JPP94" s="199"/>
      <c r="JPQ94" s="199"/>
      <c r="JPR94" s="199"/>
      <c r="JPS94" s="199"/>
      <c r="JPT94" s="199"/>
      <c r="JPU94" s="199"/>
      <c r="JPV94" s="199"/>
      <c r="JPW94" s="199"/>
      <c r="JPX94" s="199"/>
      <c r="JPY94" s="193"/>
      <c r="JPZ94" s="193"/>
      <c r="JQA94" s="193"/>
      <c r="JQB94" s="193"/>
      <c r="JQC94" s="194"/>
      <c r="JQD94" s="194"/>
      <c r="JQE94" s="196"/>
      <c r="JQF94" s="197"/>
      <c r="JQG94" s="197"/>
      <c r="JQH94" s="198"/>
      <c r="JQI94" s="198"/>
      <c r="JQJ94" s="199"/>
      <c r="JQK94" s="199"/>
      <c r="JQL94" s="199"/>
      <c r="JQM94" s="199"/>
      <c r="JQN94" s="199"/>
      <c r="JQO94" s="199"/>
      <c r="JQP94" s="199"/>
      <c r="JQQ94" s="199"/>
      <c r="JQR94" s="199"/>
      <c r="JQS94" s="199"/>
      <c r="JQT94" s="199"/>
      <c r="JQU94" s="199"/>
      <c r="JQV94" s="199"/>
      <c r="JQW94" s="199"/>
      <c r="JQX94" s="199"/>
      <c r="JQY94" s="199"/>
      <c r="JQZ94" s="199"/>
      <c r="JRA94" s="199"/>
      <c r="JRB94" s="199"/>
      <c r="JRC94" s="199"/>
      <c r="JRD94" s="199"/>
      <c r="JRE94" s="199"/>
      <c r="JRF94" s="199"/>
      <c r="JRG94" s="199"/>
      <c r="JRH94" s="199"/>
      <c r="JRI94" s="199"/>
      <c r="JRJ94" s="199"/>
      <c r="JRK94" s="199"/>
      <c r="JRL94" s="199"/>
      <c r="JRM94" s="199"/>
      <c r="JRN94" s="199"/>
      <c r="JRO94" s="199"/>
      <c r="JRP94" s="199"/>
      <c r="JRQ94" s="199"/>
      <c r="JRR94" s="193"/>
      <c r="JRS94" s="193"/>
      <c r="JRT94" s="193"/>
      <c r="JRU94" s="193"/>
      <c r="JRV94" s="194"/>
      <c r="JRW94" s="194"/>
      <c r="JRX94" s="196"/>
      <c r="JRY94" s="197"/>
      <c r="JRZ94" s="197"/>
      <c r="JSA94" s="198"/>
      <c r="JSB94" s="198"/>
      <c r="JSC94" s="199"/>
      <c r="JSD94" s="199"/>
      <c r="JSE94" s="199"/>
      <c r="JSF94" s="199"/>
      <c r="JSG94" s="199"/>
      <c r="JSH94" s="199"/>
      <c r="JSI94" s="199"/>
      <c r="JSJ94" s="199"/>
      <c r="JSK94" s="199"/>
      <c r="JSL94" s="199"/>
      <c r="JSM94" s="199"/>
      <c r="JSN94" s="199"/>
      <c r="JSO94" s="199"/>
      <c r="JSP94" s="199"/>
      <c r="JSQ94" s="199"/>
      <c r="JSR94" s="199"/>
      <c r="JSS94" s="199"/>
      <c r="JST94" s="199"/>
      <c r="JSU94" s="199"/>
      <c r="JSV94" s="199"/>
      <c r="JSW94" s="199"/>
      <c r="JSX94" s="199"/>
      <c r="JSY94" s="199"/>
      <c r="JSZ94" s="199"/>
      <c r="JTA94" s="199"/>
      <c r="JTB94" s="199"/>
      <c r="JTC94" s="199"/>
      <c r="JTD94" s="199"/>
      <c r="JTE94" s="199"/>
      <c r="JTF94" s="199"/>
      <c r="JTG94" s="199"/>
      <c r="JTH94" s="199"/>
      <c r="JTI94" s="199"/>
      <c r="JTJ94" s="199"/>
      <c r="JTK94" s="193"/>
      <c r="JTL94" s="193"/>
      <c r="JTM94" s="193"/>
      <c r="JTN94" s="193"/>
      <c r="JTO94" s="194"/>
      <c r="JTP94" s="194"/>
      <c r="JTQ94" s="196"/>
      <c r="JTR94" s="197"/>
      <c r="JTS94" s="197"/>
      <c r="JTT94" s="198"/>
      <c r="JTU94" s="198"/>
      <c r="JTV94" s="199"/>
      <c r="JTW94" s="199"/>
      <c r="JTX94" s="199"/>
      <c r="JTY94" s="199"/>
      <c r="JTZ94" s="199"/>
      <c r="JUA94" s="199"/>
      <c r="JUB94" s="199"/>
      <c r="JUC94" s="199"/>
      <c r="JUD94" s="199"/>
      <c r="JUE94" s="199"/>
      <c r="JUF94" s="199"/>
      <c r="JUG94" s="199"/>
      <c r="JUH94" s="199"/>
      <c r="JUI94" s="199"/>
      <c r="JUJ94" s="199"/>
      <c r="JUK94" s="199"/>
      <c r="JUL94" s="199"/>
      <c r="JUM94" s="199"/>
      <c r="JUN94" s="199"/>
      <c r="JUO94" s="199"/>
      <c r="JUP94" s="199"/>
      <c r="JUQ94" s="199"/>
      <c r="JUR94" s="199"/>
      <c r="JUS94" s="199"/>
      <c r="JUT94" s="199"/>
      <c r="JUU94" s="199"/>
      <c r="JUV94" s="199"/>
      <c r="JUW94" s="199"/>
      <c r="JUX94" s="199"/>
      <c r="JUY94" s="199"/>
      <c r="JUZ94" s="199"/>
      <c r="JVA94" s="199"/>
      <c r="JVB94" s="199"/>
      <c r="JVC94" s="199"/>
      <c r="JVD94" s="193"/>
      <c r="JVE94" s="193"/>
      <c r="JVF94" s="193"/>
      <c r="JVG94" s="193"/>
      <c r="JVH94" s="194"/>
      <c r="JVI94" s="194"/>
      <c r="JVJ94" s="196"/>
      <c r="JVK94" s="197"/>
      <c r="JVL94" s="197"/>
      <c r="JVM94" s="198"/>
      <c r="JVN94" s="198"/>
      <c r="JVO94" s="199"/>
      <c r="JVP94" s="199"/>
      <c r="JVQ94" s="199"/>
      <c r="JVR94" s="199"/>
      <c r="JVS94" s="199"/>
      <c r="JVT94" s="199"/>
      <c r="JVU94" s="199"/>
      <c r="JVV94" s="199"/>
      <c r="JVW94" s="199"/>
      <c r="JVX94" s="199"/>
      <c r="JVY94" s="199"/>
      <c r="JVZ94" s="199"/>
      <c r="JWA94" s="199"/>
      <c r="JWB94" s="199"/>
      <c r="JWC94" s="199"/>
      <c r="JWD94" s="199"/>
      <c r="JWE94" s="199"/>
      <c r="JWF94" s="199"/>
      <c r="JWG94" s="199"/>
      <c r="JWH94" s="199"/>
      <c r="JWI94" s="199"/>
      <c r="JWJ94" s="199"/>
      <c r="JWK94" s="199"/>
      <c r="JWL94" s="199"/>
      <c r="JWM94" s="199"/>
      <c r="JWN94" s="199"/>
      <c r="JWO94" s="199"/>
      <c r="JWP94" s="199"/>
      <c r="JWQ94" s="199"/>
      <c r="JWR94" s="199"/>
      <c r="JWS94" s="199"/>
      <c r="JWT94" s="199"/>
      <c r="JWU94" s="199"/>
      <c r="JWV94" s="199"/>
      <c r="JWW94" s="193"/>
      <c r="JWX94" s="193"/>
      <c r="JWY94" s="193"/>
      <c r="JWZ94" s="193"/>
      <c r="JXA94" s="194"/>
      <c r="JXB94" s="194"/>
      <c r="JXC94" s="196"/>
      <c r="JXD94" s="197"/>
      <c r="JXE94" s="197"/>
      <c r="JXF94" s="198"/>
      <c r="JXG94" s="198"/>
      <c r="JXH94" s="199"/>
      <c r="JXI94" s="199"/>
      <c r="JXJ94" s="199"/>
      <c r="JXK94" s="199"/>
      <c r="JXL94" s="199"/>
      <c r="JXM94" s="199"/>
      <c r="JXN94" s="199"/>
      <c r="JXO94" s="199"/>
      <c r="JXP94" s="199"/>
      <c r="JXQ94" s="199"/>
      <c r="JXR94" s="199"/>
      <c r="JXS94" s="199"/>
      <c r="JXT94" s="199"/>
      <c r="JXU94" s="199"/>
      <c r="JXV94" s="199"/>
      <c r="JXW94" s="199"/>
      <c r="JXX94" s="199"/>
      <c r="JXY94" s="199"/>
      <c r="JXZ94" s="199"/>
      <c r="JYA94" s="199"/>
      <c r="JYB94" s="199"/>
      <c r="JYC94" s="199"/>
      <c r="JYD94" s="199"/>
      <c r="JYE94" s="199"/>
      <c r="JYF94" s="199"/>
      <c r="JYG94" s="199"/>
      <c r="JYH94" s="199"/>
      <c r="JYI94" s="199"/>
      <c r="JYJ94" s="199"/>
      <c r="JYK94" s="199"/>
      <c r="JYL94" s="199"/>
      <c r="JYM94" s="199"/>
      <c r="JYN94" s="199"/>
      <c r="JYO94" s="199"/>
      <c r="JYP94" s="193"/>
      <c r="JYQ94" s="193"/>
      <c r="JYR94" s="193"/>
      <c r="JYS94" s="193"/>
      <c r="JYT94" s="194"/>
      <c r="JYU94" s="194"/>
      <c r="JYV94" s="196"/>
      <c r="JYW94" s="197"/>
      <c r="JYX94" s="197"/>
      <c r="JYY94" s="198"/>
      <c r="JYZ94" s="198"/>
      <c r="JZA94" s="199"/>
      <c r="JZB94" s="199"/>
      <c r="JZC94" s="199"/>
      <c r="JZD94" s="199"/>
      <c r="JZE94" s="199"/>
      <c r="JZF94" s="199"/>
      <c r="JZG94" s="199"/>
      <c r="JZH94" s="199"/>
      <c r="JZI94" s="199"/>
      <c r="JZJ94" s="199"/>
      <c r="JZK94" s="199"/>
      <c r="JZL94" s="199"/>
      <c r="JZM94" s="199"/>
      <c r="JZN94" s="199"/>
      <c r="JZO94" s="199"/>
      <c r="JZP94" s="199"/>
      <c r="JZQ94" s="199"/>
      <c r="JZR94" s="199"/>
      <c r="JZS94" s="199"/>
      <c r="JZT94" s="199"/>
      <c r="JZU94" s="199"/>
      <c r="JZV94" s="199"/>
      <c r="JZW94" s="199"/>
      <c r="JZX94" s="199"/>
      <c r="JZY94" s="199"/>
      <c r="JZZ94" s="199"/>
      <c r="KAA94" s="199"/>
      <c r="KAB94" s="199"/>
      <c r="KAC94" s="199"/>
      <c r="KAD94" s="199"/>
      <c r="KAE94" s="199"/>
      <c r="KAF94" s="199"/>
      <c r="KAG94" s="199"/>
      <c r="KAH94" s="199"/>
      <c r="KAI94" s="193"/>
      <c r="KAJ94" s="193"/>
      <c r="KAK94" s="193"/>
      <c r="KAL94" s="193"/>
      <c r="KAM94" s="194"/>
      <c r="KAN94" s="194"/>
      <c r="KAO94" s="196"/>
      <c r="KAP94" s="197"/>
      <c r="KAQ94" s="197"/>
      <c r="KAR94" s="198"/>
      <c r="KAS94" s="198"/>
      <c r="KAT94" s="199"/>
      <c r="KAU94" s="199"/>
      <c r="KAV94" s="199"/>
      <c r="KAW94" s="199"/>
      <c r="KAX94" s="199"/>
      <c r="KAY94" s="199"/>
      <c r="KAZ94" s="199"/>
      <c r="KBA94" s="199"/>
      <c r="KBB94" s="199"/>
      <c r="KBC94" s="199"/>
      <c r="KBD94" s="199"/>
      <c r="KBE94" s="199"/>
      <c r="KBF94" s="199"/>
      <c r="KBG94" s="199"/>
      <c r="KBH94" s="199"/>
      <c r="KBI94" s="199"/>
      <c r="KBJ94" s="199"/>
      <c r="KBK94" s="199"/>
      <c r="KBL94" s="199"/>
      <c r="KBM94" s="199"/>
      <c r="KBN94" s="199"/>
      <c r="KBO94" s="199"/>
      <c r="KBP94" s="199"/>
      <c r="KBQ94" s="199"/>
      <c r="KBR94" s="199"/>
      <c r="KBS94" s="199"/>
      <c r="KBT94" s="199"/>
      <c r="KBU94" s="199"/>
      <c r="KBV94" s="199"/>
      <c r="KBW94" s="199"/>
      <c r="KBX94" s="199"/>
      <c r="KBY94" s="199"/>
      <c r="KBZ94" s="199"/>
      <c r="KCA94" s="199"/>
      <c r="KCB94" s="193"/>
      <c r="KCC94" s="193"/>
      <c r="KCD94" s="193"/>
      <c r="KCE94" s="193"/>
      <c r="KCF94" s="194"/>
      <c r="KCG94" s="194"/>
      <c r="KCH94" s="196"/>
      <c r="KCI94" s="197"/>
      <c r="KCJ94" s="197"/>
      <c r="KCK94" s="198"/>
      <c r="KCL94" s="198"/>
      <c r="KCM94" s="199"/>
      <c r="KCN94" s="199"/>
      <c r="KCO94" s="199"/>
      <c r="KCP94" s="199"/>
      <c r="KCQ94" s="199"/>
      <c r="KCR94" s="199"/>
      <c r="KCS94" s="199"/>
      <c r="KCT94" s="199"/>
      <c r="KCU94" s="199"/>
      <c r="KCV94" s="199"/>
      <c r="KCW94" s="199"/>
      <c r="KCX94" s="199"/>
      <c r="KCY94" s="199"/>
      <c r="KCZ94" s="199"/>
      <c r="KDA94" s="199"/>
      <c r="KDB94" s="199"/>
      <c r="KDC94" s="199"/>
      <c r="KDD94" s="199"/>
      <c r="KDE94" s="199"/>
      <c r="KDF94" s="199"/>
      <c r="KDG94" s="199"/>
      <c r="KDH94" s="199"/>
      <c r="KDI94" s="199"/>
      <c r="KDJ94" s="199"/>
      <c r="KDK94" s="199"/>
      <c r="KDL94" s="199"/>
      <c r="KDM94" s="199"/>
      <c r="KDN94" s="199"/>
      <c r="KDO94" s="199"/>
      <c r="KDP94" s="199"/>
      <c r="KDQ94" s="199"/>
      <c r="KDR94" s="199"/>
      <c r="KDS94" s="199"/>
      <c r="KDT94" s="199"/>
      <c r="KDU94" s="193"/>
      <c r="KDV94" s="193"/>
      <c r="KDW94" s="193"/>
      <c r="KDX94" s="193"/>
      <c r="KDY94" s="194"/>
      <c r="KDZ94" s="194"/>
      <c r="KEA94" s="196"/>
      <c r="KEB94" s="197"/>
      <c r="KEC94" s="197"/>
      <c r="KED94" s="198"/>
      <c r="KEE94" s="198"/>
      <c r="KEF94" s="199"/>
      <c r="KEG94" s="199"/>
      <c r="KEH94" s="199"/>
      <c r="KEI94" s="199"/>
      <c r="KEJ94" s="199"/>
      <c r="KEK94" s="199"/>
      <c r="KEL94" s="199"/>
      <c r="KEM94" s="199"/>
      <c r="KEN94" s="199"/>
      <c r="KEO94" s="199"/>
      <c r="KEP94" s="199"/>
      <c r="KEQ94" s="199"/>
      <c r="KER94" s="199"/>
      <c r="KES94" s="199"/>
      <c r="KET94" s="199"/>
      <c r="KEU94" s="199"/>
      <c r="KEV94" s="199"/>
      <c r="KEW94" s="199"/>
      <c r="KEX94" s="199"/>
      <c r="KEY94" s="199"/>
      <c r="KEZ94" s="199"/>
      <c r="KFA94" s="199"/>
      <c r="KFB94" s="199"/>
      <c r="KFC94" s="199"/>
      <c r="KFD94" s="199"/>
      <c r="KFE94" s="199"/>
      <c r="KFF94" s="199"/>
      <c r="KFG94" s="199"/>
      <c r="KFH94" s="199"/>
      <c r="KFI94" s="199"/>
      <c r="KFJ94" s="199"/>
      <c r="KFK94" s="199"/>
      <c r="KFL94" s="199"/>
      <c r="KFM94" s="199"/>
      <c r="KFN94" s="193"/>
      <c r="KFO94" s="193"/>
      <c r="KFP94" s="193"/>
      <c r="KFQ94" s="193"/>
      <c r="KFR94" s="194"/>
      <c r="KFS94" s="194"/>
      <c r="KFT94" s="196"/>
      <c r="KFU94" s="197"/>
      <c r="KFV94" s="197"/>
      <c r="KFW94" s="198"/>
      <c r="KFX94" s="198"/>
      <c r="KFY94" s="199"/>
      <c r="KFZ94" s="199"/>
      <c r="KGA94" s="199"/>
      <c r="KGB94" s="199"/>
      <c r="KGC94" s="199"/>
      <c r="KGD94" s="199"/>
      <c r="KGE94" s="199"/>
      <c r="KGF94" s="199"/>
      <c r="KGG94" s="199"/>
      <c r="KGH94" s="199"/>
      <c r="KGI94" s="199"/>
      <c r="KGJ94" s="199"/>
      <c r="KGK94" s="199"/>
      <c r="KGL94" s="199"/>
      <c r="KGM94" s="199"/>
      <c r="KGN94" s="199"/>
      <c r="KGO94" s="199"/>
      <c r="KGP94" s="199"/>
      <c r="KGQ94" s="199"/>
      <c r="KGR94" s="199"/>
      <c r="KGS94" s="199"/>
      <c r="KGT94" s="199"/>
      <c r="KGU94" s="199"/>
      <c r="KGV94" s="199"/>
      <c r="KGW94" s="199"/>
      <c r="KGX94" s="199"/>
      <c r="KGY94" s="199"/>
      <c r="KGZ94" s="199"/>
      <c r="KHA94" s="199"/>
      <c r="KHB94" s="199"/>
      <c r="KHC94" s="199"/>
      <c r="KHD94" s="199"/>
      <c r="KHE94" s="199"/>
      <c r="KHF94" s="199"/>
      <c r="KHG94" s="193"/>
      <c r="KHH94" s="193"/>
      <c r="KHI94" s="193"/>
      <c r="KHJ94" s="193"/>
      <c r="KHK94" s="194"/>
      <c r="KHL94" s="194"/>
      <c r="KHM94" s="196"/>
      <c r="KHN94" s="197"/>
      <c r="KHO94" s="197"/>
      <c r="KHP94" s="198"/>
      <c r="KHQ94" s="198"/>
      <c r="KHR94" s="199"/>
      <c r="KHS94" s="199"/>
      <c r="KHT94" s="199"/>
      <c r="KHU94" s="199"/>
      <c r="KHV94" s="199"/>
      <c r="KHW94" s="199"/>
      <c r="KHX94" s="199"/>
      <c r="KHY94" s="199"/>
      <c r="KHZ94" s="199"/>
      <c r="KIA94" s="199"/>
      <c r="KIB94" s="199"/>
      <c r="KIC94" s="199"/>
      <c r="KID94" s="199"/>
      <c r="KIE94" s="199"/>
      <c r="KIF94" s="199"/>
      <c r="KIG94" s="199"/>
      <c r="KIH94" s="199"/>
      <c r="KII94" s="199"/>
      <c r="KIJ94" s="199"/>
      <c r="KIK94" s="199"/>
      <c r="KIL94" s="199"/>
      <c r="KIM94" s="199"/>
      <c r="KIN94" s="199"/>
      <c r="KIO94" s="199"/>
      <c r="KIP94" s="199"/>
      <c r="KIQ94" s="199"/>
      <c r="KIR94" s="199"/>
      <c r="KIS94" s="199"/>
      <c r="KIT94" s="199"/>
      <c r="KIU94" s="199"/>
      <c r="KIV94" s="199"/>
      <c r="KIW94" s="199"/>
      <c r="KIX94" s="199"/>
      <c r="KIY94" s="199"/>
      <c r="KIZ94" s="193"/>
      <c r="KJA94" s="193"/>
      <c r="KJB94" s="193"/>
      <c r="KJC94" s="193"/>
      <c r="KJD94" s="194"/>
      <c r="KJE94" s="194"/>
      <c r="KJF94" s="196"/>
      <c r="KJG94" s="197"/>
      <c r="KJH94" s="197"/>
      <c r="KJI94" s="198"/>
      <c r="KJJ94" s="198"/>
      <c r="KJK94" s="199"/>
      <c r="KJL94" s="199"/>
      <c r="KJM94" s="199"/>
      <c r="KJN94" s="199"/>
      <c r="KJO94" s="199"/>
      <c r="KJP94" s="199"/>
      <c r="KJQ94" s="199"/>
      <c r="KJR94" s="199"/>
      <c r="KJS94" s="199"/>
      <c r="KJT94" s="199"/>
      <c r="KJU94" s="199"/>
      <c r="KJV94" s="199"/>
      <c r="KJW94" s="199"/>
      <c r="KJX94" s="199"/>
      <c r="KJY94" s="199"/>
      <c r="KJZ94" s="199"/>
      <c r="KKA94" s="199"/>
      <c r="KKB94" s="199"/>
      <c r="KKC94" s="199"/>
      <c r="KKD94" s="199"/>
      <c r="KKE94" s="199"/>
      <c r="KKF94" s="199"/>
      <c r="KKG94" s="199"/>
      <c r="KKH94" s="199"/>
      <c r="KKI94" s="199"/>
      <c r="KKJ94" s="199"/>
      <c r="KKK94" s="199"/>
      <c r="KKL94" s="199"/>
      <c r="KKM94" s="199"/>
      <c r="KKN94" s="199"/>
      <c r="KKO94" s="199"/>
      <c r="KKP94" s="199"/>
      <c r="KKQ94" s="199"/>
      <c r="KKR94" s="199"/>
      <c r="KKS94" s="193"/>
      <c r="KKT94" s="193"/>
      <c r="KKU94" s="193"/>
      <c r="KKV94" s="193"/>
      <c r="KKW94" s="194"/>
      <c r="KKX94" s="194"/>
      <c r="KKY94" s="196"/>
      <c r="KKZ94" s="197"/>
      <c r="KLA94" s="197"/>
      <c r="KLB94" s="198"/>
      <c r="KLC94" s="198"/>
      <c r="KLD94" s="199"/>
      <c r="KLE94" s="199"/>
      <c r="KLF94" s="199"/>
      <c r="KLG94" s="199"/>
      <c r="KLH94" s="199"/>
      <c r="KLI94" s="199"/>
      <c r="KLJ94" s="199"/>
      <c r="KLK94" s="199"/>
      <c r="KLL94" s="199"/>
      <c r="KLM94" s="199"/>
      <c r="KLN94" s="199"/>
      <c r="KLO94" s="199"/>
      <c r="KLP94" s="199"/>
      <c r="KLQ94" s="199"/>
      <c r="KLR94" s="199"/>
      <c r="KLS94" s="199"/>
      <c r="KLT94" s="199"/>
      <c r="KLU94" s="199"/>
      <c r="KLV94" s="199"/>
      <c r="KLW94" s="199"/>
      <c r="KLX94" s="199"/>
      <c r="KLY94" s="199"/>
      <c r="KLZ94" s="199"/>
      <c r="KMA94" s="199"/>
      <c r="KMB94" s="199"/>
      <c r="KMC94" s="199"/>
      <c r="KMD94" s="199"/>
      <c r="KME94" s="199"/>
      <c r="KMF94" s="199"/>
      <c r="KMG94" s="199"/>
      <c r="KMH94" s="199"/>
      <c r="KMI94" s="199"/>
      <c r="KMJ94" s="199"/>
      <c r="KMK94" s="199"/>
      <c r="KML94" s="193"/>
      <c r="KMM94" s="193"/>
      <c r="KMN94" s="193"/>
      <c r="KMO94" s="193"/>
      <c r="KMP94" s="194"/>
      <c r="KMQ94" s="194"/>
      <c r="KMR94" s="196"/>
      <c r="KMS94" s="197"/>
      <c r="KMT94" s="197"/>
      <c r="KMU94" s="198"/>
      <c r="KMV94" s="198"/>
      <c r="KMW94" s="199"/>
      <c r="KMX94" s="199"/>
      <c r="KMY94" s="199"/>
      <c r="KMZ94" s="199"/>
      <c r="KNA94" s="199"/>
      <c r="KNB94" s="199"/>
      <c r="KNC94" s="199"/>
      <c r="KND94" s="199"/>
      <c r="KNE94" s="199"/>
      <c r="KNF94" s="199"/>
      <c r="KNG94" s="199"/>
      <c r="KNH94" s="199"/>
      <c r="KNI94" s="199"/>
      <c r="KNJ94" s="199"/>
      <c r="KNK94" s="199"/>
      <c r="KNL94" s="199"/>
      <c r="KNM94" s="199"/>
      <c r="KNN94" s="199"/>
      <c r="KNO94" s="199"/>
      <c r="KNP94" s="199"/>
      <c r="KNQ94" s="199"/>
      <c r="KNR94" s="199"/>
      <c r="KNS94" s="199"/>
      <c r="KNT94" s="199"/>
      <c r="KNU94" s="199"/>
      <c r="KNV94" s="199"/>
      <c r="KNW94" s="199"/>
      <c r="KNX94" s="199"/>
      <c r="KNY94" s="199"/>
      <c r="KNZ94" s="199"/>
      <c r="KOA94" s="199"/>
      <c r="KOB94" s="199"/>
      <c r="KOC94" s="199"/>
      <c r="KOD94" s="199"/>
      <c r="KOE94" s="193"/>
      <c r="KOF94" s="193"/>
      <c r="KOG94" s="193"/>
      <c r="KOH94" s="193"/>
      <c r="KOI94" s="194"/>
      <c r="KOJ94" s="194"/>
      <c r="KOK94" s="196"/>
      <c r="KOL94" s="197"/>
      <c r="KOM94" s="197"/>
      <c r="KON94" s="198"/>
      <c r="KOO94" s="198"/>
      <c r="KOP94" s="199"/>
      <c r="KOQ94" s="199"/>
      <c r="KOR94" s="199"/>
      <c r="KOS94" s="199"/>
      <c r="KOT94" s="199"/>
      <c r="KOU94" s="199"/>
      <c r="KOV94" s="199"/>
      <c r="KOW94" s="199"/>
      <c r="KOX94" s="199"/>
      <c r="KOY94" s="199"/>
      <c r="KOZ94" s="199"/>
      <c r="KPA94" s="199"/>
      <c r="KPB94" s="199"/>
      <c r="KPC94" s="199"/>
      <c r="KPD94" s="199"/>
      <c r="KPE94" s="199"/>
      <c r="KPF94" s="199"/>
      <c r="KPG94" s="199"/>
      <c r="KPH94" s="199"/>
      <c r="KPI94" s="199"/>
      <c r="KPJ94" s="199"/>
      <c r="KPK94" s="199"/>
      <c r="KPL94" s="199"/>
      <c r="KPM94" s="199"/>
      <c r="KPN94" s="199"/>
      <c r="KPO94" s="199"/>
      <c r="KPP94" s="199"/>
      <c r="KPQ94" s="199"/>
      <c r="KPR94" s="199"/>
      <c r="KPS94" s="199"/>
      <c r="KPT94" s="199"/>
      <c r="KPU94" s="199"/>
      <c r="KPV94" s="199"/>
      <c r="KPW94" s="199"/>
      <c r="KPX94" s="193"/>
      <c r="KPY94" s="193"/>
      <c r="KPZ94" s="193"/>
      <c r="KQA94" s="193"/>
      <c r="KQB94" s="194"/>
      <c r="KQC94" s="194"/>
      <c r="KQD94" s="196"/>
      <c r="KQE94" s="197"/>
      <c r="KQF94" s="197"/>
      <c r="KQG94" s="198"/>
      <c r="KQH94" s="198"/>
      <c r="KQI94" s="199"/>
      <c r="KQJ94" s="199"/>
      <c r="KQK94" s="199"/>
      <c r="KQL94" s="199"/>
      <c r="KQM94" s="199"/>
      <c r="KQN94" s="199"/>
      <c r="KQO94" s="199"/>
      <c r="KQP94" s="199"/>
      <c r="KQQ94" s="199"/>
      <c r="KQR94" s="199"/>
      <c r="KQS94" s="199"/>
      <c r="KQT94" s="199"/>
      <c r="KQU94" s="199"/>
      <c r="KQV94" s="199"/>
      <c r="KQW94" s="199"/>
      <c r="KQX94" s="199"/>
      <c r="KQY94" s="199"/>
      <c r="KQZ94" s="199"/>
      <c r="KRA94" s="199"/>
      <c r="KRB94" s="199"/>
      <c r="KRC94" s="199"/>
      <c r="KRD94" s="199"/>
      <c r="KRE94" s="199"/>
      <c r="KRF94" s="199"/>
      <c r="KRG94" s="199"/>
      <c r="KRH94" s="199"/>
      <c r="KRI94" s="199"/>
      <c r="KRJ94" s="199"/>
      <c r="KRK94" s="199"/>
      <c r="KRL94" s="199"/>
      <c r="KRM94" s="199"/>
      <c r="KRN94" s="199"/>
      <c r="KRO94" s="199"/>
      <c r="KRP94" s="199"/>
      <c r="KRQ94" s="193"/>
      <c r="KRR94" s="193"/>
      <c r="KRS94" s="193"/>
      <c r="KRT94" s="193"/>
      <c r="KRU94" s="194"/>
      <c r="KRV94" s="194"/>
      <c r="KRW94" s="196"/>
      <c r="KRX94" s="197"/>
      <c r="KRY94" s="197"/>
      <c r="KRZ94" s="198"/>
      <c r="KSA94" s="198"/>
      <c r="KSB94" s="199"/>
      <c r="KSC94" s="199"/>
      <c r="KSD94" s="199"/>
      <c r="KSE94" s="199"/>
      <c r="KSF94" s="199"/>
      <c r="KSG94" s="199"/>
      <c r="KSH94" s="199"/>
      <c r="KSI94" s="199"/>
      <c r="KSJ94" s="199"/>
      <c r="KSK94" s="199"/>
      <c r="KSL94" s="199"/>
      <c r="KSM94" s="199"/>
      <c r="KSN94" s="199"/>
      <c r="KSO94" s="199"/>
      <c r="KSP94" s="199"/>
      <c r="KSQ94" s="199"/>
      <c r="KSR94" s="199"/>
      <c r="KSS94" s="199"/>
      <c r="KST94" s="199"/>
      <c r="KSU94" s="199"/>
      <c r="KSV94" s="199"/>
      <c r="KSW94" s="199"/>
      <c r="KSX94" s="199"/>
      <c r="KSY94" s="199"/>
      <c r="KSZ94" s="199"/>
      <c r="KTA94" s="199"/>
      <c r="KTB94" s="199"/>
      <c r="KTC94" s="199"/>
      <c r="KTD94" s="199"/>
      <c r="KTE94" s="199"/>
      <c r="KTF94" s="199"/>
      <c r="KTG94" s="199"/>
      <c r="KTH94" s="199"/>
      <c r="KTI94" s="199"/>
      <c r="KTJ94" s="193"/>
      <c r="KTK94" s="193"/>
      <c r="KTL94" s="193"/>
      <c r="KTM94" s="193"/>
      <c r="KTN94" s="194"/>
      <c r="KTO94" s="194"/>
      <c r="KTP94" s="196"/>
      <c r="KTQ94" s="197"/>
      <c r="KTR94" s="197"/>
      <c r="KTS94" s="198"/>
      <c r="KTT94" s="198"/>
      <c r="KTU94" s="199"/>
      <c r="KTV94" s="199"/>
      <c r="KTW94" s="199"/>
      <c r="KTX94" s="199"/>
      <c r="KTY94" s="199"/>
      <c r="KTZ94" s="199"/>
      <c r="KUA94" s="199"/>
      <c r="KUB94" s="199"/>
      <c r="KUC94" s="199"/>
      <c r="KUD94" s="199"/>
      <c r="KUE94" s="199"/>
      <c r="KUF94" s="199"/>
      <c r="KUG94" s="199"/>
      <c r="KUH94" s="199"/>
      <c r="KUI94" s="199"/>
      <c r="KUJ94" s="199"/>
      <c r="KUK94" s="199"/>
      <c r="KUL94" s="199"/>
      <c r="KUM94" s="199"/>
      <c r="KUN94" s="199"/>
      <c r="KUO94" s="199"/>
      <c r="KUP94" s="199"/>
      <c r="KUQ94" s="199"/>
      <c r="KUR94" s="199"/>
      <c r="KUS94" s="199"/>
      <c r="KUT94" s="199"/>
      <c r="KUU94" s="199"/>
      <c r="KUV94" s="199"/>
      <c r="KUW94" s="199"/>
      <c r="KUX94" s="199"/>
      <c r="KUY94" s="199"/>
      <c r="KUZ94" s="199"/>
      <c r="KVA94" s="199"/>
      <c r="KVB94" s="199"/>
      <c r="KVC94" s="193"/>
      <c r="KVD94" s="193"/>
      <c r="KVE94" s="193"/>
      <c r="KVF94" s="193"/>
      <c r="KVG94" s="194"/>
      <c r="KVH94" s="194"/>
      <c r="KVI94" s="196"/>
      <c r="KVJ94" s="197"/>
      <c r="KVK94" s="197"/>
      <c r="KVL94" s="198"/>
      <c r="KVM94" s="198"/>
      <c r="KVN94" s="199"/>
      <c r="KVO94" s="199"/>
      <c r="KVP94" s="199"/>
      <c r="KVQ94" s="199"/>
      <c r="KVR94" s="199"/>
      <c r="KVS94" s="199"/>
      <c r="KVT94" s="199"/>
      <c r="KVU94" s="199"/>
      <c r="KVV94" s="199"/>
      <c r="KVW94" s="199"/>
      <c r="KVX94" s="199"/>
      <c r="KVY94" s="199"/>
      <c r="KVZ94" s="199"/>
      <c r="KWA94" s="199"/>
      <c r="KWB94" s="199"/>
      <c r="KWC94" s="199"/>
      <c r="KWD94" s="199"/>
      <c r="KWE94" s="199"/>
      <c r="KWF94" s="199"/>
      <c r="KWG94" s="199"/>
      <c r="KWH94" s="199"/>
      <c r="KWI94" s="199"/>
      <c r="KWJ94" s="199"/>
      <c r="KWK94" s="199"/>
      <c r="KWL94" s="199"/>
      <c r="KWM94" s="199"/>
      <c r="KWN94" s="199"/>
      <c r="KWO94" s="199"/>
      <c r="KWP94" s="199"/>
      <c r="KWQ94" s="199"/>
      <c r="KWR94" s="199"/>
      <c r="KWS94" s="199"/>
      <c r="KWT94" s="199"/>
      <c r="KWU94" s="199"/>
      <c r="KWV94" s="193"/>
      <c r="KWW94" s="193"/>
      <c r="KWX94" s="193"/>
      <c r="KWY94" s="193"/>
      <c r="KWZ94" s="194"/>
      <c r="KXA94" s="194"/>
      <c r="KXB94" s="196"/>
      <c r="KXC94" s="197"/>
      <c r="KXD94" s="197"/>
      <c r="KXE94" s="198"/>
      <c r="KXF94" s="198"/>
      <c r="KXG94" s="199"/>
      <c r="KXH94" s="199"/>
      <c r="KXI94" s="199"/>
      <c r="KXJ94" s="199"/>
      <c r="KXK94" s="199"/>
      <c r="KXL94" s="199"/>
      <c r="KXM94" s="199"/>
      <c r="KXN94" s="199"/>
      <c r="KXO94" s="199"/>
      <c r="KXP94" s="199"/>
      <c r="KXQ94" s="199"/>
      <c r="KXR94" s="199"/>
      <c r="KXS94" s="199"/>
      <c r="KXT94" s="199"/>
      <c r="KXU94" s="199"/>
      <c r="KXV94" s="199"/>
      <c r="KXW94" s="199"/>
      <c r="KXX94" s="199"/>
      <c r="KXY94" s="199"/>
      <c r="KXZ94" s="199"/>
      <c r="KYA94" s="199"/>
      <c r="KYB94" s="199"/>
      <c r="KYC94" s="199"/>
      <c r="KYD94" s="199"/>
      <c r="KYE94" s="199"/>
      <c r="KYF94" s="199"/>
      <c r="KYG94" s="199"/>
      <c r="KYH94" s="199"/>
      <c r="KYI94" s="199"/>
      <c r="KYJ94" s="199"/>
      <c r="KYK94" s="199"/>
      <c r="KYL94" s="199"/>
      <c r="KYM94" s="199"/>
      <c r="KYN94" s="199"/>
      <c r="KYO94" s="193"/>
      <c r="KYP94" s="193"/>
      <c r="KYQ94" s="193"/>
      <c r="KYR94" s="193"/>
      <c r="KYS94" s="194"/>
      <c r="KYT94" s="194"/>
      <c r="KYU94" s="196"/>
      <c r="KYV94" s="197"/>
      <c r="KYW94" s="197"/>
      <c r="KYX94" s="198"/>
      <c r="KYY94" s="198"/>
      <c r="KYZ94" s="199"/>
      <c r="KZA94" s="199"/>
      <c r="KZB94" s="199"/>
      <c r="KZC94" s="199"/>
      <c r="KZD94" s="199"/>
      <c r="KZE94" s="199"/>
      <c r="KZF94" s="199"/>
      <c r="KZG94" s="199"/>
      <c r="KZH94" s="199"/>
      <c r="KZI94" s="199"/>
      <c r="KZJ94" s="199"/>
      <c r="KZK94" s="199"/>
      <c r="KZL94" s="199"/>
      <c r="KZM94" s="199"/>
      <c r="KZN94" s="199"/>
      <c r="KZO94" s="199"/>
      <c r="KZP94" s="199"/>
      <c r="KZQ94" s="199"/>
      <c r="KZR94" s="199"/>
      <c r="KZS94" s="199"/>
      <c r="KZT94" s="199"/>
      <c r="KZU94" s="199"/>
      <c r="KZV94" s="199"/>
      <c r="KZW94" s="199"/>
      <c r="KZX94" s="199"/>
      <c r="KZY94" s="199"/>
      <c r="KZZ94" s="199"/>
      <c r="LAA94" s="199"/>
      <c r="LAB94" s="199"/>
      <c r="LAC94" s="199"/>
      <c r="LAD94" s="199"/>
      <c r="LAE94" s="199"/>
      <c r="LAF94" s="199"/>
      <c r="LAG94" s="199"/>
      <c r="LAH94" s="193"/>
      <c r="LAI94" s="193"/>
      <c r="LAJ94" s="193"/>
      <c r="LAK94" s="193"/>
      <c r="LAL94" s="194"/>
      <c r="LAM94" s="194"/>
      <c r="LAN94" s="196"/>
      <c r="LAO94" s="197"/>
      <c r="LAP94" s="197"/>
      <c r="LAQ94" s="198"/>
      <c r="LAR94" s="198"/>
      <c r="LAS94" s="199"/>
      <c r="LAT94" s="199"/>
      <c r="LAU94" s="199"/>
      <c r="LAV94" s="199"/>
      <c r="LAW94" s="199"/>
      <c r="LAX94" s="199"/>
      <c r="LAY94" s="199"/>
      <c r="LAZ94" s="199"/>
      <c r="LBA94" s="199"/>
      <c r="LBB94" s="199"/>
      <c r="LBC94" s="199"/>
      <c r="LBD94" s="199"/>
      <c r="LBE94" s="199"/>
      <c r="LBF94" s="199"/>
      <c r="LBG94" s="199"/>
      <c r="LBH94" s="199"/>
      <c r="LBI94" s="199"/>
      <c r="LBJ94" s="199"/>
      <c r="LBK94" s="199"/>
      <c r="LBL94" s="199"/>
      <c r="LBM94" s="199"/>
      <c r="LBN94" s="199"/>
      <c r="LBO94" s="199"/>
      <c r="LBP94" s="199"/>
      <c r="LBQ94" s="199"/>
      <c r="LBR94" s="199"/>
      <c r="LBS94" s="199"/>
      <c r="LBT94" s="199"/>
      <c r="LBU94" s="199"/>
      <c r="LBV94" s="199"/>
      <c r="LBW94" s="199"/>
      <c r="LBX94" s="199"/>
      <c r="LBY94" s="199"/>
      <c r="LBZ94" s="199"/>
      <c r="LCA94" s="193"/>
      <c r="LCB94" s="193"/>
      <c r="LCC94" s="193"/>
      <c r="LCD94" s="193"/>
      <c r="LCE94" s="194"/>
      <c r="LCF94" s="194"/>
      <c r="LCG94" s="196"/>
      <c r="LCH94" s="197"/>
      <c r="LCI94" s="197"/>
      <c r="LCJ94" s="198"/>
      <c r="LCK94" s="198"/>
      <c r="LCL94" s="199"/>
      <c r="LCM94" s="199"/>
      <c r="LCN94" s="199"/>
      <c r="LCO94" s="199"/>
      <c r="LCP94" s="199"/>
      <c r="LCQ94" s="199"/>
      <c r="LCR94" s="199"/>
      <c r="LCS94" s="199"/>
      <c r="LCT94" s="199"/>
      <c r="LCU94" s="199"/>
      <c r="LCV94" s="199"/>
      <c r="LCW94" s="199"/>
      <c r="LCX94" s="199"/>
      <c r="LCY94" s="199"/>
      <c r="LCZ94" s="199"/>
      <c r="LDA94" s="199"/>
      <c r="LDB94" s="199"/>
      <c r="LDC94" s="199"/>
      <c r="LDD94" s="199"/>
      <c r="LDE94" s="199"/>
      <c r="LDF94" s="199"/>
      <c r="LDG94" s="199"/>
      <c r="LDH94" s="199"/>
      <c r="LDI94" s="199"/>
      <c r="LDJ94" s="199"/>
      <c r="LDK94" s="199"/>
      <c r="LDL94" s="199"/>
      <c r="LDM94" s="199"/>
      <c r="LDN94" s="199"/>
      <c r="LDO94" s="199"/>
      <c r="LDP94" s="199"/>
      <c r="LDQ94" s="199"/>
      <c r="LDR94" s="199"/>
      <c r="LDS94" s="199"/>
      <c r="LDT94" s="193"/>
      <c r="LDU94" s="193"/>
      <c r="LDV94" s="193"/>
      <c r="LDW94" s="193"/>
      <c r="LDX94" s="194"/>
      <c r="LDY94" s="194"/>
      <c r="LDZ94" s="196"/>
      <c r="LEA94" s="197"/>
      <c r="LEB94" s="197"/>
      <c r="LEC94" s="198"/>
      <c r="LED94" s="198"/>
      <c r="LEE94" s="199"/>
      <c r="LEF94" s="199"/>
      <c r="LEG94" s="199"/>
      <c r="LEH94" s="199"/>
      <c r="LEI94" s="199"/>
      <c r="LEJ94" s="199"/>
      <c r="LEK94" s="199"/>
      <c r="LEL94" s="199"/>
      <c r="LEM94" s="199"/>
      <c r="LEN94" s="199"/>
      <c r="LEO94" s="199"/>
      <c r="LEP94" s="199"/>
      <c r="LEQ94" s="199"/>
      <c r="LER94" s="199"/>
      <c r="LES94" s="199"/>
      <c r="LET94" s="199"/>
      <c r="LEU94" s="199"/>
      <c r="LEV94" s="199"/>
      <c r="LEW94" s="199"/>
      <c r="LEX94" s="199"/>
      <c r="LEY94" s="199"/>
      <c r="LEZ94" s="199"/>
      <c r="LFA94" s="199"/>
      <c r="LFB94" s="199"/>
      <c r="LFC94" s="199"/>
      <c r="LFD94" s="199"/>
      <c r="LFE94" s="199"/>
      <c r="LFF94" s="199"/>
      <c r="LFG94" s="199"/>
      <c r="LFH94" s="199"/>
      <c r="LFI94" s="199"/>
      <c r="LFJ94" s="199"/>
      <c r="LFK94" s="199"/>
      <c r="LFL94" s="199"/>
      <c r="LFM94" s="193"/>
      <c r="LFN94" s="193"/>
      <c r="LFO94" s="193"/>
      <c r="LFP94" s="193"/>
      <c r="LFQ94" s="194"/>
      <c r="LFR94" s="194"/>
      <c r="LFS94" s="196"/>
      <c r="LFT94" s="197"/>
      <c r="LFU94" s="197"/>
      <c r="LFV94" s="198"/>
      <c r="LFW94" s="198"/>
      <c r="LFX94" s="199"/>
      <c r="LFY94" s="199"/>
      <c r="LFZ94" s="199"/>
      <c r="LGA94" s="199"/>
      <c r="LGB94" s="199"/>
      <c r="LGC94" s="199"/>
      <c r="LGD94" s="199"/>
      <c r="LGE94" s="199"/>
      <c r="LGF94" s="199"/>
      <c r="LGG94" s="199"/>
      <c r="LGH94" s="199"/>
      <c r="LGI94" s="199"/>
      <c r="LGJ94" s="199"/>
      <c r="LGK94" s="199"/>
      <c r="LGL94" s="199"/>
      <c r="LGM94" s="199"/>
      <c r="LGN94" s="199"/>
      <c r="LGO94" s="199"/>
      <c r="LGP94" s="199"/>
      <c r="LGQ94" s="199"/>
      <c r="LGR94" s="199"/>
      <c r="LGS94" s="199"/>
      <c r="LGT94" s="199"/>
      <c r="LGU94" s="199"/>
      <c r="LGV94" s="199"/>
      <c r="LGW94" s="199"/>
      <c r="LGX94" s="199"/>
      <c r="LGY94" s="199"/>
      <c r="LGZ94" s="199"/>
      <c r="LHA94" s="199"/>
      <c r="LHB94" s="199"/>
      <c r="LHC94" s="199"/>
      <c r="LHD94" s="199"/>
      <c r="LHE94" s="199"/>
      <c r="LHF94" s="193"/>
      <c r="LHG94" s="193"/>
      <c r="LHH94" s="193"/>
      <c r="LHI94" s="193"/>
      <c r="LHJ94" s="194"/>
      <c r="LHK94" s="194"/>
      <c r="LHL94" s="196"/>
      <c r="LHM94" s="197"/>
      <c r="LHN94" s="197"/>
      <c r="LHO94" s="198"/>
      <c r="LHP94" s="198"/>
      <c r="LHQ94" s="199"/>
      <c r="LHR94" s="199"/>
      <c r="LHS94" s="199"/>
      <c r="LHT94" s="199"/>
      <c r="LHU94" s="199"/>
      <c r="LHV94" s="199"/>
      <c r="LHW94" s="199"/>
      <c r="LHX94" s="199"/>
      <c r="LHY94" s="199"/>
      <c r="LHZ94" s="199"/>
      <c r="LIA94" s="199"/>
      <c r="LIB94" s="199"/>
      <c r="LIC94" s="199"/>
      <c r="LID94" s="199"/>
      <c r="LIE94" s="199"/>
      <c r="LIF94" s="199"/>
      <c r="LIG94" s="199"/>
      <c r="LIH94" s="199"/>
      <c r="LII94" s="199"/>
      <c r="LIJ94" s="199"/>
      <c r="LIK94" s="199"/>
      <c r="LIL94" s="199"/>
      <c r="LIM94" s="199"/>
      <c r="LIN94" s="199"/>
      <c r="LIO94" s="199"/>
      <c r="LIP94" s="199"/>
      <c r="LIQ94" s="199"/>
      <c r="LIR94" s="199"/>
      <c r="LIS94" s="199"/>
      <c r="LIT94" s="199"/>
      <c r="LIU94" s="199"/>
      <c r="LIV94" s="199"/>
      <c r="LIW94" s="199"/>
      <c r="LIX94" s="199"/>
      <c r="LIY94" s="193"/>
      <c r="LIZ94" s="193"/>
      <c r="LJA94" s="193"/>
      <c r="LJB94" s="193"/>
      <c r="LJC94" s="194"/>
      <c r="LJD94" s="194"/>
      <c r="LJE94" s="196"/>
      <c r="LJF94" s="197"/>
      <c r="LJG94" s="197"/>
      <c r="LJH94" s="198"/>
      <c r="LJI94" s="198"/>
      <c r="LJJ94" s="199"/>
      <c r="LJK94" s="199"/>
      <c r="LJL94" s="199"/>
      <c r="LJM94" s="199"/>
      <c r="LJN94" s="199"/>
      <c r="LJO94" s="199"/>
      <c r="LJP94" s="199"/>
      <c r="LJQ94" s="199"/>
      <c r="LJR94" s="199"/>
      <c r="LJS94" s="199"/>
      <c r="LJT94" s="199"/>
      <c r="LJU94" s="199"/>
      <c r="LJV94" s="199"/>
      <c r="LJW94" s="199"/>
      <c r="LJX94" s="199"/>
      <c r="LJY94" s="199"/>
      <c r="LJZ94" s="199"/>
      <c r="LKA94" s="199"/>
      <c r="LKB94" s="199"/>
      <c r="LKC94" s="199"/>
      <c r="LKD94" s="199"/>
      <c r="LKE94" s="199"/>
      <c r="LKF94" s="199"/>
      <c r="LKG94" s="199"/>
      <c r="LKH94" s="199"/>
      <c r="LKI94" s="199"/>
      <c r="LKJ94" s="199"/>
      <c r="LKK94" s="199"/>
      <c r="LKL94" s="199"/>
      <c r="LKM94" s="199"/>
      <c r="LKN94" s="199"/>
      <c r="LKO94" s="199"/>
      <c r="LKP94" s="199"/>
      <c r="LKQ94" s="199"/>
      <c r="LKR94" s="193"/>
      <c r="LKS94" s="193"/>
      <c r="LKT94" s="193"/>
      <c r="LKU94" s="193"/>
      <c r="LKV94" s="194"/>
      <c r="LKW94" s="194"/>
      <c r="LKX94" s="196"/>
      <c r="LKY94" s="197"/>
      <c r="LKZ94" s="197"/>
      <c r="LLA94" s="198"/>
      <c r="LLB94" s="198"/>
      <c r="LLC94" s="199"/>
      <c r="LLD94" s="199"/>
      <c r="LLE94" s="199"/>
      <c r="LLF94" s="199"/>
      <c r="LLG94" s="199"/>
      <c r="LLH94" s="199"/>
      <c r="LLI94" s="199"/>
      <c r="LLJ94" s="199"/>
      <c r="LLK94" s="199"/>
      <c r="LLL94" s="199"/>
      <c r="LLM94" s="199"/>
      <c r="LLN94" s="199"/>
      <c r="LLO94" s="199"/>
      <c r="LLP94" s="199"/>
      <c r="LLQ94" s="199"/>
      <c r="LLR94" s="199"/>
      <c r="LLS94" s="199"/>
      <c r="LLT94" s="199"/>
      <c r="LLU94" s="199"/>
      <c r="LLV94" s="199"/>
      <c r="LLW94" s="199"/>
      <c r="LLX94" s="199"/>
      <c r="LLY94" s="199"/>
      <c r="LLZ94" s="199"/>
      <c r="LMA94" s="199"/>
      <c r="LMB94" s="199"/>
      <c r="LMC94" s="199"/>
      <c r="LMD94" s="199"/>
      <c r="LME94" s="199"/>
      <c r="LMF94" s="199"/>
      <c r="LMG94" s="199"/>
      <c r="LMH94" s="199"/>
      <c r="LMI94" s="199"/>
      <c r="LMJ94" s="199"/>
      <c r="LMK94" s="193"/>
      <c r="LML94" s="193"/>
      <c r="LMM94" s="193"/>
      <c r="LMN94" s="193"/>
      <c r="LMO94" s="194"/>
      <c r="LMP94" s="194"/>
      <c r="LMQ94" s="196"/>
      <c r="LMR94" s="197"/>
      <c r="LMS94" s="197"/>
      <c r="LMT94" s="198"/>
      <c r="LMU94" s="198"/>
      <c r="LMV94" s="199"/>
      <c r="LMW94" s="199"/>
      <c r="LMX94" s="199"/>
      <c r="LMY94" s="199"/>
      <c r="LMZ94" s="199"/>
      <c r="LNA94" s="199"/>
      <c r="LNB94" s="199"/>
      <c r="LNC94" s="199"/>
      <c r="LND94" s="199"/>
      <c r="LNE94" s="199"/>
      <c r="LNF94" s="199"/>
      <c r="LNG94" s="199"/>
      <c r="LNH94" s="199"/>
      <c r="LNI94" s="199"/>
      <c r="LNJ94" s="199"/>
      <c r="LNK94" s="199"/>
      <c r="LNL94" s="199"/>
      <c r="LNM94" s="199"/>
      <c r="LNN94" s="199"/>
      <c r="LNO94" s="199"/>
      <c r="LNP94" s="199"/>
      <c r="LNQ94" s="199"/>
      <c r="LNR94" s="199"/>
      <c r="LNS94" s="199"/>
      <c r="LNT94" s="199"/>
      <c r="LNU94" s="199"/>
      <c r="LNV94" s="199"/>
      <c r="LNW94" s="199"/>
      <c r="LNX94" s="199"/>
      <c r="LNY94" s="199"/>
      <c r="LNZ94" s="199"/>
      <c r="LOA94" s="199"/>
      <c r="LOB94" s="199"/>
      <c r="LOC94" s="199"/>
      <c r="LOD94" s="193"/>
      <c r="LOE94" s="193"/>
      <c r="LOF94" s="193"/>
      <c r="LOG94" s="193"/>
      <c r="LOH94" s="194"/>
      <c r="LOI94" s="194"/>
      <c r="LOJ94" s="196"/>
      <c r="LOK94" s="197"/>
      <c r="LOL94" s="197"/>
      <c r="LOM94" s="198"/>
      <c r="LON94" s="198"/>
      <c r="LOO94" s="199"/>
      <c r="LOP94" s="199"/>
      <c r="LOQ94" s="199"/>
      <c r="LOR94" s="199"/>
      <c r="LOS94" s="199"/>
      <c r="LOT94" s="199"/>
      <c r="LOU94" s="199"/>
      <c r="LOV94" s="199"/>
      <c r="LOW94" s="199"/>
      <c r="LOX94" s="199"/>
      <c r="LOY94" s="199"/>
      <c r="LOZ94" s="199"/>
      <c r="LPA94" s="199"/>
      <c r="LPB94" s="199"/>
      <c r="LPC94" s="199"/>
      <c r="LPD94" s="199"/>
      <c r="LPE94" s="199"/>
      <c r="LPF94" s="199"/>
      <c r="LPG94" s="199"/>
      <c r="LPH94" s="199"/>
      <c r="LPI94" s="199"/>
      <c r="LPJ94" s="199"/>
      <c r="LPK94" s="199"/>
      <c r="LPL94" s="199"/>
      <c r="LPM94" s="199"/>
      <c r="LPN94" s="199"/>
      <c r="LPO94" s="199"/>
      <c r="LPP94" s="199"/>
      <c r="LPQ94" s="199"/>
      <c r="LPR94" s="199"/>
      <c r="LPS94" s="199"/>
      <c r="LPT94" s="199"/>
      <c r="LPU94" s="199"/>
      <c r="LPV94" s="199"/>
      <c r="LPW94" s="193"/>
      <c r="LPX94" s="193"/>
      <c r="LPY94" s="193"/>
      <c r="LPZ94" s="193"/>
      <c r="LQA94" s="194"/>
      <c r="LQB94" s="194"/>
      <c r="LQC94" s="196"/>
      <c r="LQD94" s="197"/>
      <c r="LQE94" s="197"/>
      <c r="LQF94" s="198"/>
      <c r="LQG94" s="198"/>
      <c r="LQH94" s="199"/>
      <c r="LQI94" s="199"/>
      <c r="LQJ94" s="199"/>
      <c r="LQK94" s="199"/>
      <c r="LQL94" s="199"/>
      <c r="LQM94" s="199"/>
      <c r="LQN94" s="199"/>
      <c r="LQO94" s="199"/>
      <c r="LQP94" s="199"/>
      <c r="LQQ94" s="199"/>
      <c r="LQR94" s="199"/>
      <c r="LQS94" s="199"/>
      <c r="LQT94" s="199"/>
      <c r="LQU94" s="199"/>
      <c r="LQV94" s="199"/>
      <c r="LQW94" s="199"/>
      <c r="LQX94" s="199"/>
      <c r="LQY94" s="199"/>
      <c r="LQZ94" s="199"/>
      <c r="LRA94" s="199"/>
      <c r="LRB94" s="199"/>
      <c r="LRC94" s="199"/>
      <c r="LRD94" s="199"/>
      <c r="LRE94" s="199"/>
      <c r="LRF94" s="199"/>
      <c r="LRG94" s="199"/>
      <c r="LRH94" s="199"/>
      <c r="LRI94" s="199"/>
      <c r="LRJ94" s="199"/>
      <c r="LRK94" s="199"/>
      <c r="LRL94" s="199"/>
      <c r="LRM94" s="199"/>
      <c r="LRN94" s="199"/>
      <c r="LRO94" s="199"/>
      <c r="LRP94" s="193"/>
      <c r="LRQ94" s="193"/>
      <c r="LRR94" s="193"/>
      <c r="LRS94" s="193"/>
      <c r="LRT94" s="194"/>
      <c r="LRU94" s="194"/>
      <c r="LRV94" s="196"/>
      <c r="LRW94" s="197"/>
      <c r="LRX94" s="197"/>
      <c r="LRY94" s="198"/>
      <c r="LRZ94" s="198"/>
      <c r="LSA94" s="199"/>
      <c r="LSB94" s="199"/>
      <c r="LSC94" s="199"/>
      <c r="LSD94" s="199"/>
      <c r="LSE94" s="199"/>
      <c r="LSF94" s="199"/>
      <c r="LSG94" s="199"/>
      <c r="LSH94" s="199"/>
      <c r="LSI94" s="199"/>
      <c r="LSJ94" s="199"/>
      <c r="LSK94" s="199"/>
      <c r="LSL94" s="199"/>
      <c r="LSM94" s="199"/>
      <c r="LSN94" s="199"/>
      <c r="LSO94" s="199"/>
      <c r="LSP94" s="199"/>
      <c r="LSQ94" s="199"/>
      <c r="LSR94" s="199"/>
      <c r="LSS94" s="199"/>
      <c r="LST94" s="199"/>
      <c r="LSU94" s="199"/>
      <c r="LSV94" s="199"/>
      <c r="LSW94" s="199"/>
      <c r="LSX94" s="199"/>
      <c r="LSY94" s="199"/>
      <c r="LSZ94" s="199"/>
      <c r="LTA94" s="199"/>
      <c r="LTB94" s="199"/>
      <c r="LTC94" s="199"/>
      <c r="LTD94" s="199"/>
      <c r="LTE94" s="199"/>
      <c r="LTF94" s="199"/>
      <c r="LTG94" s="199"/>
      <c r="LTH94" s="199"/>
      <c r="LTI94" s="193"/>
      <c r="LTJ94" s="193"/>
      <c r="LTK94" s="193"/>
      <c r="LTL94" s="193"/>
      <c r="LTM94" s="194"/>
      <c r="LTN94" s="194"/>
      <c r="LTO94" s="196"/>
      <c r="LTP94" s="197"/>
      <c r="LTQ94" s="197"/>
      <c r="LTR94" s="198"/>
      <c r="LTS94" s="198"/>
      <c r="LTT94" s="199"/>
      <c r="LTU94" s="199"/>
      <c r="LTV94" s="199"/>
      <c r="LTW94" s="199"/>
      <c r="LTX94" s="199"/>
      <c r="LTY94" s="199"/>
      <c r="LTZ94" s="199"/>
      <c r="LUA94" s="199"/>
      <c r="LUB94" s="199"/>
      <c r="LUC94" s="199"/>
      <c r="LUD94" s="199"/>
      <c r="LUE94" s="199"/>
      <c r="LUF94" s="199"/>
      <c r="LUG94" s="199"/>
      <c r="LUH94" s="199"/>
      <c r="LUI94" s="199"/>
      <c r="LUJ94" s="199"/>
      <c r="LUK94" s="199"/>
      <c r="LUL94" s="199"/>
      <c r="LUM94" s="199"/>
      <c r="LUN94" s="199"/>
      <c r="LUO94" s="199"/>
      <c r="LUP94" s="199"/>
      <c r="LUQ94" s="199"/>
      <c r="LUR94" s="199"/>
      <c r="LUS94" s="199"/>
      <c r="LUT94" s="199"/>
      <c r="LUU94" s="199"/>
      <c r="LUV94" s="199"/>
      <c r="LUW94" s="199"/>
      <c r="LUX94" s="199"/>
      <c r="LUY94" s="199"/>
      <c r="LUZ94" s="199"/>
      <c r="LVA94" s="199"/>
      <c r="LVB94" s="193"/>
      <c r="LVC94" s="193"/>
      <c r="LVD94" s="193"/>
      <c r="LVE94" s="193"/>
      <c r="LVF94" s="194"/>
      <c r="LVG94" s="194"/>
      <c r="LVH94" s="196"/>
      <c r="LVI94" s="197"/>
      <c r="LVJ94" s="197"/>
      <c r="LVK94" s="198"/>
      <c r="LVL94" s="198"/>
      <c r="LVM94" s="199"/>
      <c r="LVN94" s="199"/>
      <c r="LVO94" s="199"/>
      <c r="LVP94" s="199"/>
      <c r="LVQ94" s="199"/>
      <c r="LVR94" s="199"/>
      <c r="LVS94" s="199"/>
      <c r="LVT94" s="199"/>
      <c r="LVU94" s="199"/>
      <c r="LVV94" s="199"/>
      <c r="LVW94" s="199"/>
      <c r="LVX94" s="199"/>
      <c r="LVY94" s="199"/>
      <c r="LVZ94" s="199"/>
      <c r="LWA94" s="199"/>
      <c r="LWB94" s="199"/>
      <c r="LWC94" s="199"/>
      <c r="LWD94" s="199"/>
      <c r="LWE94" s="199"/>
      <c r="LWF94" s="199"/>
      <c r="LWG94" s="199"/>
      <c r="LWH94" s="199"/>
      <c r="LWI94" s="199"/>
      <c r="LWJ94" s="199"/>
      <c r="LWK94" s="199"/>
      <c r="LWL94" s="199"/>
      <c r="LWM94" s="199"/>
      <c r="LWN94" s="199"/>
      <c r="LWO94" s="199"/>
      <c r="LWP94" s="199"/>
      <c r="LWQ94" s="199"/>
      <c r="LWR94" s="199"/>
      <c r="LWS94" s="199"/>
      <c r="LWT94" s="199"/>
      <c r="LWU94" s="193"/>
      <c r="LWV94" s="193"/>
      <c r="LWW94" s="193"/>
      <c r="LWX94" s="193"/>
      <c r="LWY94" s="194"/>
      <c r="LWZ94" s="194"/>
      <c r="LXA94" s="196"/>
      <c r="LXB94" s="197"/>
      <c r="LXC94" s="197"/>
      <c r="LXD94" s="198"/>
      <c r="LXE94" s="198"/>
      <c r="LXF94" s="199"/>
      <c r="LXG94" s="199"/>
      <c r="LXH94" s="199"/>
      <c r="LXI94" s="199"/>
      <c r="LXJ94" s="199"/>
      <c r="LXK94" s="199"/>
      <c r="LXL94" s="199"/>
      <c r="LXM94" s="199"/>
      <c r="LXN94" s="199"/>
      <c r="LXO94" s="199"/>
      <c r="LXP94" s="199"/>
      <c r="LXQ94" s="199"/>
      <c r="LXR94" s="199"/>
      <c r="LXS94" s="199"/>
      <c r="LXT94" s="199"/>
      <c r="LXU94" s="199"/>
      <c r="LXV94" s="199"/>
      <c r="LXW94" s="199"/>
      <c r="LXX94" s="199"/>
      <c r="LXY94" s="199"/>
      <c r="LXZ94" s="199"/>
      <c r="LYA94" s="199"/>
      <c r="LYB94" s="199"/>
      <c r="LYC94" s="199"/>
      <c r="LYD94" s="199"/>
      <c r="LYE94" s="199"/>
      <c r="LYF94" s="199"/>
      <c r="LYG94" s="199"/>
      <c r="LYH94" s="199"/>
      <c r="LYI94" s="199"/>
      <c r="LYJ94" s="199"/>
      <c r="LYK94" s="199"/>
      <c r="LYL94" s="199"/>
      <c r="LYM94" s="199"/>
      <c r="LYN94" s="193"/>
      <c r="LYO94" s="193"/>
      <c r="LYP94" s="193"/>
      <c r="LYQ94" s="193"/>
      <c r="LYR94" s="194"/>
      <c r="LYS94" s="194"/>
      <c r="LYT94" s="196"/>
      <c r="LYU94" s="197"/>
      <c r="LYV94" s="197"/>
      <c r="LYW94" s="198"/>
      <c r="LYX94" s="198"/>
      <c r="LYY94" s="199"/>
      <c r="LYZ94" s="199"/>
      <c r="LZA94" s="199"/>
      <c r="LZB94" s="199"/>
      <c r="LZC94" s="199"/>
      <c r="LZD94" s="199"/>
      <c r="LZE94" s="199"/>
      <c r="LZF94" s="199"/>
      <c r="LZG94" s="199"/>
      <c r="LZH94" s="199"/>
      <c r="LZI94" s="199"/>
      <c r="LZJ94" s="199"/>
      <c r="LZK94" s="199"/>
      <c r="LZL94" s="199"/>
      <c r="LZM94" s="199"/>
      <c r="LZN94" s="199"/>
      <c r="LZO94" s="199"/>
      <c r="LZP94" s="199"/>
      <c r="LZQ94" s="199"/>
      <c r="LZR94" s="199"/>
      <c r="LZS94" s="199"/>
      <c r="LZT94" s="199"/>
      <c r="LZU94" s="199"/>
      <c r="LZV94" s="199"/>
      <c r="LZW94" s="199"/>
      <c r="LZX94" s="199"/>
      <c r="LZY94" s="199"/>
      <c r="LZZ94" s="199"/>
      <c r="MAA94" s="199"/>
      <c r="MAB94" s="199"/>
      <c r="MAC94" s="199"/>
      <c r="MAD94" s="199"/>
      <c r="MAE94" s="199"/>
      <c r="MAF94" s="199"/>
      <c r="MAG94" s="193"/>
      <c r="MAH94" s="193"/>
      <c r="MAI94" s="193"/>
      <c r="MAJ94" s="193"/>
      <c r="MAK94" s="194"/>
      <c r="MAL94" s="194"/>
      <c r="MAM94" s="196"/>
      <c r="MAN94" s="197"/>
      <c r="MAO94" s="197"/>
      <c r="MAP94" s="198"/>
      <c r="MAQ94" s="198"/>
      <c r="MAR94" s="199"/>
      <c r="MAS94" s="199"/>
      <c r="MAT94" s="199"/>
      <c r="MAU94" s="199"/>
      <c r="MAV94" s="199"/>
      <c r="MAW94" s="199"/>
      <c r="MAX94" s="199"/>
      <c r="MAY94" s="199"/>
      <c r="MAZ94" s="199"/>
      <c r="MBA94" s="199"/>
      <c r="MBB94" s="199"/>
      <c r="MBC94" s="199"/>
      <c r="MBD94" s="199"/>
      <c r="MBE94" s="199"/>
      <c r="MBF94" s="199"/>
      <c r="MBG94" s="199"/>
      <c r="MBH94" s="199"/>
      <c r="MBI94" s="199"/>
      <c r="MBJ94" s="199"/>
      <c r="MBK94" s="199"/>
      <c r="MBL94" s="199"/>
      <c r="MBM94" s="199"/>
      <c r="MBN94" s="199"/>
      <c r="MBO94" s="199"/>
      <c r="MBP94" s="199"/>
      <c r="MBQ94" s="199"/>
      <c r="MBR94" s="199"/>
      <c r="MBS94" s="199"/>
      <c r="MBT94" s="199"/>
      <c r="MBU94" s="199"/>
      <c r="MBV94" s="199"/>
      <c r="MBW94" s="199"/>
      <c r="MBX94" s="199"/>
      <c r="MBY94" s="199"/>
      <c r="MBZ94" s="193"/>
      <c r="MCA94" s="193"/>
      <c r="MCB94" s="193"/>
      <c r="MCC94" s="193"/>
      <c r="MCD94" s="194"/>
      <c r="MCE94" s="194"/>
      <c r="MCF94" s="196"/>
      <c r="MCG94" s="197"/>
      <c r="MCH94" s="197"/>
      <c r="MCI94" s="198"/>
      <c r="MCJ94" s="198"/>
      <c r="MCK94" s="199"/>
      <c r="MCL94" s="199"/>
      <c r="MCM94" s="199"/>
      <c r="MCN94" s="199"/>
      <c r="MCO94" s="199"/>
      <c r="MCP94" s="199"/>
      <c r="MCQ94" s="199"/>
      <c r="MCR94" s="199"/>
      <c r="MCS94" s="199"/>
      <c r="MCT94" s="199"/>
      <c r="MCU94" s="199"/>
      <c r="MCV94" s="199"/>
      <c r="MCW94" s="199"/>
      <c r="MCX94" s="199"/>
      <c r="MCY94" s="199"/>
      <c r="MCZ94" s="199"/>
      <c r="MDA94" s="199"/>
      <c r="MDB94" s="199"/>
      <c r="MDC94" s="199"/>
      <c r="MDD94" s="199"/>
      <c r="MDE94" s="199"/>
      <c r="MDF94" s="199"/>
      <c r="MDG94" s="199"/>
      <c r="MDH94" s="199"/>
      <c r="MDI94" s="199"/>
      <c r="MDJ94" s="199"/>
      <c r="MDK94" s="199"/>
      <c r="MDL94" s="199"/>
      <c r="MDM94" s="199"/>
      <c r="MDN94" s="199"/>
      <c r="MDO94" s="199"/>
      <c r="MDP94" s="199"/>
      <c r="MDQ94" s="199"/>
      <c r="MDR94" s="199"/>
      <c r="MDS94" s="193"/>
      <c r="MDT94" s="193"/>
      <c r="MDU94" s="193"/>
      <c r="MDV94" s="193"/>
      <c r="MDW94" s="194"/>
      <c r="MDX94" s="194"/>
      <c r="MDY94" s="196"/>
      <c r="MDZ94" s="197"/>
      <c r="MEA94" s="197"/>
      <c r="MEB94" s="198"/>
      <c r="MEC94" s="198"/>
      <c r="MED94" s="199"/>
      <c r="MEE94" s="199"/>
      <c r="MEF94" s="199"/>
      <c r="MEG94" s="199"/>
      <c r="MEH94" s="199"/>
      <c r="MEI94" s="199"/>
      <c r="MEJ94" s="199"/>
      <c r="MEK94" s="199"/>
      <c r="MEL94" s="199"/>
      <c r="MEM94" s="199"/>
      <c r="MEN94" s="199"/>
      <c r="MEO94" s="199"/>
      <c r="MEP94" s="199"/>
      <c r="MEQ94" s="199"/>
      <c r="MER94" s="199"/>
      <c r="MES94" s="199"/>
      <c r="MET94" s="199"/>
      <c r="MEU94" s="199"/>
      <c r="MEV94" s="199"/>
      <c r="MEW94" s="199"/>
      <c r="MEX94" s="199"/>
      <c r="MEY94" s="199"/>
      <c r="MEZ94" s="199"/>
      <c r="MFA94" s="199"/>
      <c r="MFB94" s="199"/>
      <c r="MFC94" s="199"/>
      <c r="MFD94" s="199"/>
      <c r="MFE94" s="199"/>
      <c r="MFF94" s="199"/>
      <c r="MFG94" s="199"/>
      <c r="MFH94" s="199"/>
      <c r="MFI94" s="199"/>
      <c r="MFJ94" s="199"/>
      <c r="MFK94" s="199"/>
      <c r="MFL94" s="193"/>
      <c r="MFM94" s="193"/>
      <c r="MFN94" s="193"/>
      <c r="MFO94" s="193"/>
      <c r="MFP94" s="194"/>
      <c r="MFQ94" s="194"/>
      <c r="MFR94" s="196"/>
      <c r="MFS94" s="197"/>
      <c r="MFT94" s="197"/>
      <c r="MFU94" s="198"/>
      <c r="MFV94" s="198"/>
      <c r="MFW94" s="199"/>
      <c r="MFX94" s="199"/>
      <c r="MFY94" s="199"/>
      <c r="MFZ94" s="199"/>
      <c r="MGA94" s="199"/>
      <c r="MGB94" s="199"/>
      <c r="MGC94" s="199"/>
      <c r="MGD94" s="199"/>
      <c r="MGE94" s="199"/>
      <c r="MGF94" s="199"/>
      <c r="MGG94" s="199"/>
      <c r="MGH94" s="199"/>
      <c r="MGI94" s="199"/>
      <c r="MGJ94" s="199"/>
      <c r="MGK94" s="199"/>
      <c r="MGL94" s="199"/>
      <c r="MGM94" s="199"/>
      <c r="MGN94" s="199"/>
      <c r="MGO94" s="199"/>
      <c r="MGP94" s="199"/>
      <c r="MGQ94" s="199"/>
      <c r="MGR94" s="199"/>
      <c r="MGS94" s="199"/>
      <c r="MGT94" s="199"/>
      <c r="MGU94" s="199"/>
      <c r="MGV94" s="199"/>
      <c r="MGW94" s="199"/>
      <c r="MGX94" s="199"/>
      <c r="MGY94" s="199"/>
      <c r="MGZ94" s="199"/>
      <c r="MHA94" s="199"/>
      <c r="MHB94" s="199"/>
      <c r="MHC94" s="199"/>
      <c r="MHD94" s="199"/>
      <c r="MHE94" s="193"/>
      <c r="MHF94" s="193"/>
      <c r="MHG94" s="193"/>
      <c r="MHH94" s="193"/>
      <c r="MHI94" s="194"/>
      <c r="MHJ94" s="194"/>
      <c r="MHK94" s="196"/>
      <c r="MHL94" s="197"/>
      <c r="MHM94" s="197"/>
      <c r="MHN94" s="198"/>
      <c r="MHO94" s="198"/>
      <c r="MHP94" s="199"/>
      <c r="MHQ94" s="199"/>
      <c r="MHR94" s="199"/>
      <c r="MHS94" s="199"/>
      <c r="MHT94" s="199"/>
      <c r="MHU94" s="199"/>
      <c r="MHV94" s="199"/>
      <c r="MHW94" s="199"/>
      <c r="MHX94" s="199"/>
      <c r="MHY94" s="199"/>
      <c r="MHZ94" s="199"/>
      <c r="MIA94" s="199"/>
      <c r="MIB94" s="199"/>
      <c r="MIC94" s="199"/>
      <c r="MID94" s="199"/>
      <c r="MIE94" s="199"/>
      <c r="MIF94" s="199"/>
      <c r="MIG94" s="199"/>
      <c r="MIH94" s="199"/>
      <c r="MII94" s="199"/>
      <c r="MIJ94" s="199"/>
      <c r="MIK94" s="199"/>
      <c r="MIL94" s="199"/>
      <c r="MIM94" s="199"/>
      <c r="MIN94" s="199"/>
      <c r="MIO94" s="199"/>
      <c r="MIP94" s="199"/>
      <c r="MIQ94" s="199"/>
      <c r="MIR94" s="199"/>
      <c r="MIS94" s="199"/>
      <c r="MIT94" s="199"/>
      <c r="MIU94" s="199"/>
      <c r="MIV94" s="199"/>
      <c r="MIW94" s="199"/>
      <c r="MIX94" s="193"/>
      <c r="MIY94" s="193"/>
      <c r="MIZ94" s="193"/>
      <c r="MJA94" s="193"/>
      <c r="MJB94" s="194"/>
      <c r="MJC94" s="194"/>
      <c r="MJD94" s="196"/>
      <c r="MJE94" s="197"/>
      <c r="MJF94" s="197"/>
      <c r="MJG94" s="198"/>
      <c r="MJH94" s="198"/>
      <c r="MJI94" s="199"/>
      <c r="MJJ94" s="199"/>
      <c r="MJK94" s="199"/>
      <c r="MJL94" s="199"/>
      <c r="MJM94" s="199"/>
      <c r="MJN94" s="199"/>
      <c r="MJO94" s="199"/>
      <c r="MJP94" s="199"/>
      <c r="MJQ94" s="199"/>
      <c r="MJR94" s="199"/>
      <c r="MJS94" s="199"/>
      <c r="MJT94" s="199"/>
      <c r="MJU94" s="199"/>
      <c r="MJV94" s="199"/>
      <c r="MJW94" s="199"/>
      <c r="MJX94" s="199"/>
      <c r="MJY94" s="199"/>
      <c r="MJZ94" s="199"/>
      <c r="MKA94" s="199"/>
      <c r="MKB94" s="199"/>
      <c r="MKC94" s="199"/>
      <c r="MKD94" s="199"/>
      <c r="MKE94" s="199"/>
      <c r="MKF94" s="199"/>
      <c r="MKG94" s="199"/>
      <c r="MKH94" s="199"/>
      <c r="MKI94" s="199"/>
      <c r="MKJ94" s="199"/>
      <c r="MKK94" s="199"/>
      <c r="MKL94" s="199"/>
      <c r="MKM94" s="199"/>
      <c r="MKN94" s="199"/>
      <c r="MKO94" s="199"/>
      <c r="MKP94" s="199"/>
      <c r="MKQ94" s="193"/>
      <c r="MKR94" s="193"/>
      <c r="MKS94" s="193"/>
      <c r="MKT94" s="193"/>
      <c r="MKU94" s="194"/>
      <c r="MKV94" s="194"/>
      <c r="MKW94" s="196"/>
      <c r="MKX94" s="197"/>
      <c r="MKY94" s="197"/>
      <c r="MKZ94" s="198"/>
      <c r="MLA94" s="198"/>
      <c r="MLB94" s="199"/>
      <c r="MLC94" s="199"/>
      <c r="MLD94" s="199"/>
      <c r="MLE94" s="199"/>
      <c r="MLF94" s="199"/>
      <c r="MLG94" s="199"/>
      <c r="MLH94" s="199"/>
      <c r="MLI94" s="199"/>
      <c r="MLJ94" s="199"/>
      <c r="MLK94" s="199"/>
      <c r="MLL94" s="199"/>
      <c r="MLM94" s="199"/>
      <c r="MLN94" s="199"/>
      <c r="MLO94" s="199"/>
      <c r="MLP94" s="199"/>
      <c r="MLQ94" s="199"/>
      <c r="MLR94" s="199"/>
      <c r="MLS94" s="199"/>
      <c r="MLT94" s="199"/>
      <c r="MLU94" s="199"/>
      <c r="MLV94" s="199"/>
      <c r="MLW94" s="199"/>
      <c r="MLX94" s="199"/>
      <c r="MLY94" s="199"/>
      <c r="MLZ94" s="199"/>
      <c r="MMA94" s="199"/>
      <c r="MMB94" s="199"/>
      <c r="MMC94" s="199"/>
      <c r="MMD94" s="199"/>
      <c r="MME94" s="199"/>
      <c r="MMF94" s="199"/>
      <c r="MMG94" s="199"/>
      <c r="MMH94" s="199"/>
      <c r="MMI94" s="199"/>
      <c r="MMJ94" s="193"/>
      <c r="MMK94" s="193"/>
      <c r="MML94" s="193"/>
      <c r="MMM94" s="193"/>
      <c r="MMN94" s="194"/>
      <c r="MMO94" s="194"/>
      <c r="MMP94" s="196"/>
      <c r="MMQ94" s="197"/>
      <c r="MMR94" s="197"/>
      <c r="MMS94" s="198"/>
      <c r="MMT94" s="198"/>
      <c r="MMU94" s="199"/>
      <c r="MMV94" s="199"/>
      <c r="MMW94" s="199"/>
      <c r="MMX94" s="199"/>
      <c r="MMY94" s="199"/>
      <c r="MMZ94" s="199"/>
      <c r="MNA94" s="199"/>
      <c r="MNB94" s="199"/>
      <c r="MNC94" s="199"/>
      <c r="MND94" s="199"/>
      <c r="MNE94" s="199"/>
      <c r="MNF94" s="199"/>
      <c r="MNG94" s="199"/>
      <c r="MNH94" s="199"/>
      <c r="MNI94" s="199"/>
      <c r="MNJ94" s="199"/>
      <c r="MNK94" s="199"/>
      <c r="MNL94" s="199"/>
      <c r="MNM94" s="199"/>
      <c r="MNN94" s="199"/>
      <c r="MNO94" s="199"/>
      <c r="MNP94" s="199"/>
      <c r="MNQ94" s="199"/>
      <c r="MNR94" s="199"/>
      <c r="MNS94" s="199"/>
      <c r="MNT94" s="199"/>
      <c r="MNU94" s="199"/>
      <c r="MNV94" s="199"/>
      <c r="MNW94" s="199"/>
      <c r="MNX94" s="199"/>
      <c r="MNY94" s="199"/>
      <c r="MNZ94" s="199"/>
      <c r="MOA94" s="199"/>
      <c r="MOB94" s="199"/>
      <c r="MOC94" s="193"/>
      <c r="MOD94" s="193"/>
      <c r="MOE94" s="193"/>
      <c r="MOF94" s="193"/>
      <c r="MOG94" s="194"/>
      <c r="MOH94" s="194"/>
      <c r="MOI94" s="196"/>
      <c r="MOJ94" s="197"/>
      <c r="MOK94" s="197"/>
      <c r="MOL94" s="198"/>
      <c r="MOM94" s="198"/>
      <c r="MON94" s="199"/>
      <c r="MOO94" s="199"/>
      <c r="MOP94" s="199"/>
      <c r="MOQ94" s="199"/>
      <c r="MOR94" s="199"/>
      <c r="MOS94" s="199"/>
      <c r="MOT94" s="199"/>
      <c r="MOU94" s="199"/>
      <c r="MOV94" s="199"/>
      <c r="MOW94" s="199"/>
      <c r="MOX94" s="199"/>
      <c r="MOY94" s="199"/>
      <c r="MOZ94" s="199"/>
      <c r="MPA94" s="199"/>
      <c r="MPB94" s="199"/>
      <c r="MPC94" s="199"/>
      <c r="MPD94" s="199"/>
      <c r="MPE94" s="199"/>
      <c r="MPF94" s="199"/>
      <c r="MPG94" s="199"/>
      <c r="MPH94" s="199"/>
      <c r="MPI94" s="199"/>
      <c r="MPJ94" s="199"/>
      <c r="MPK94" s="199"/>
      <c r="MPL94" s="199"/>
      <c r="MPM94" s="199"/>
      <c r="MPN94" s="199"/>
      <c r="MPO94" s="199"/>
      <c r="MPP94" s="199"/>
      <c r="MPQ94" s="199"/>
      <c r="MPR94" s="199"/>
      <c r="MPS94" s="199"/>
      <c r="MPT94" s="199"/>
      <c r="MPU94" s="199"/>
      <c r="MPV94" s="193"/>
      <c r="MPW94" s="193"/>
      <c r="MPX94" s="193"/>
      <c r="MPY94" s="193"/>
      <c r="MPZ94" s="194"/>
      <c r="MQA94" s="194"/>
      <c r="MQB94" s="196"/>
      <c r="MQC94" s="197"/>
      <c r="MQD94" s="197"/>
      <c r="MQE94" s="198"/>
      <c r="MQF94" s="198"/>
      <c r="MQG94" s="199"/>
      <c r="MQH94" s="199"/>
      <c r="MQI94" s="199"/>
      <c r="MQJ94" s="199"/>
      <c r="MQK94" s="199"/>
      <c r="MQL94" s="199"/>
      <c r="MQM94" s="199"/>
      <c r="MQN94" s="199"/>
      <c r="MQO94" s="199"/>
      <c r="MQP94" s="199"/>
      <c r="MQQ94" s="199"/>
      <c r="MQR94" s="199"/>
      <c r="MQS94" s="199"/>
      <c r="MQT94" s="199"/>
      <c r="MQU94" s="199"/>
      <c r="MQV94" s="199"/>
      <c r="MQW94" s="199"/>
      <c r="MQX94" s="199"/>
      <c r="MQY94" s="199"/>
      <c r="MQZ94" s="199"/>
      <c r="MRA94" s="199"/>
      <c r="MRB94" s="199"/>
      <c r="MRC94" s="199"/>
      <c r="MRD94" s="199"/>
      <c r="MRE94" s="199"/>
      <c r="MRF94" s="199"/>
      <c r="MRG94" s="199"/>
      <c r="MRH94" s="199"/>
      <c r="MRI94" s="199"/>
      <c r="MRJ94" s="199"/>
      <c r="MRK94" s="199"/>
      <c r="MRL94" s="199"/>
      <c r="MRM94" s="199"/>
      <c r="MRN94" s="199"/>
      <c r="MRO94" s="193"/>
      <c r="MRP94" s="193"/>
      <c r="MRQ94" s="193"/>
      <c r="MRR94" s="193"/>
      <c r="MRS94" s="194"/>
      <c r="MRT94" s="194"/>
      <c r="MRU94" s="196"/>
      <c r="MRV94" s="197"/>
      <c r="MRW94" s="197"/>
      <c r="MRX94" s="198"/>
      <c r="MRY94" s="198"/>
      <c r="MRZ94" s="199"/>
      <c r="MSA94" s="199"/>
      <c r="MSB94" s="199"/>
      <c r="MSC94" s="199"/>
      <c r="MSD94" s="199"/>
      <c r="MSE94" s="199"/>
      <c r="MSF94" s="199"/>
      <c r="MSG94" s="199"/>
      <c r="MSH94" s="199"/>
      <c r="MSI94" s="199"/>
      <c r="MSJ94" s="199"/>
      <c r="MSK94" s="199"/>
      <c r="MSL94" s="199"/>
      <c r="MSM94" s="199"/>
      <c r="MSN94" s="199"/>
      <c r="MSO94" s="199"/>
      <c r="MSP94" s="199"/>
      <c r="MSQ94" s="199"/>
      <c r="MSR94" s="199"/>
      <c r="MSS94" s="199"/>
      <c r="MST94" s="199"/>
      <c r="MSU94" s="199"/>
      <c r="MSV94" s="199"/>
      <c r="MSW94" s="199"/>
      <c r="MSX94" s="199"/>
      <c r="MSY94" s="199"/>
      <c r="MSZ94" s="199"/>
      <c r="MTA94" s="199"/>
      <c r="MTB94" s="199"/>
      <c r="MTC94" s="199"/>
      <c r="MTD94" s="199"/>
      <c r="MTE94" s="199"/>
      <c r="MTF94" s="199"/>
      <c r="MTG94" s="199"/>
      <c r="MTH94" s="193"/>
      <c r="MTI94" s="193"/>
      <c r="MTJ94" s="193"/>
      <c r="MTK94" s="193"/>
      <c r="MTL94" s="194"/>
      <c r="MTM94" s="194"/>
      <c r="MTN94" s="196"/>
      <c r="MTO94" s="197"/>
      <c r="MTP94" s="197"/>
      <c r="MTQ94" s="198"/>
      <c r="MTR94" s="198"/>
      <c r="MTS94" s="199"/>
      <c r="MTT94" s="199"/>
      <c r="MTU94" s="199"/>
      <c r="MTV94" s="199"/>
      <c r="MTW94" s="199"/>
      <c r="MTX94" s="199"/>
      <c r="MTY94" s="199"/>
      <c r="MTZ94" s="199"/>
      <c r="MUA94" s="199"/>
      <c r="MUB94" s="199"/>
      <c r="MUC94" s="199"/>
      <c r="MUD94" s="199"/>
      <c r="MUE94" s="199"/>
      <c r="MUF94" s="199"/>
      <c r="MUG94" s="199"/>
      <c r="MUH94" s="199"/>
      <c r="MUI94" s="199"/>
      <c r="MUJ94" s="199"/>
      <c r="MUK94" s="199"/>
      <c r="MUL94" s="199"/>
      <c r="MUM94" s="199"/>
      <c r="MUN94" s="199"/>
      <c r="MUO94" s="199"/>
      <c r="MUP94" s="199"/>
      <c r="MUQ94" s="199"/>
      <c r="MUR94" s="199"/>
      <c r="MUS94" s="199"/>
      <c r="MUT94" s="199"/>
      <c r="MUU94" s="199"/>
      <c r="MUV94" s="199"/>
      <c r="MUW94" s="199"/>
      <c r="MUX94" s="199"/>
      <c r="MUY94" s="199"/>
      <c r="MUZ94" s="199"/>
      <c r="MVA94" s="193"/>
      <c r="MVB94" s="193"/>
      <c r="MVC94" s="193"/>
      <c r="MVD94" s="193"/>
      <c r="MVE94" s="194"/>
      <c r="MVF94" s="194"/>
      <c r="MVG94" s="196"/>
      <c r="MVH94" s="197"/>
      <c r="MVI94" s="197"/>
      <c r="MVJ94" s="198"/>
      <c r="MVK94" s="198"/>
      <c r="MVL94" s="199"/>
      <c r="MVM94" s="199"/>
      <c r="MVN94" s="199"/>
      <c r="MVO94" s="199"/>
      <c r="MVP94" s="199"/>
      <c r="MVQ94" s="199"/>
      <c r="MVR94" s="199"/>
      <c r="MVS94" s="199"/>
      <c r="MVT94" s="199"/>
      <c r="MVU94" s="199"/>
      <c r="MVV94" s="199"/>
      <c r="MVW94" s="199"/>
      <c r="MVX94" s="199"/>
      <c r="MVY94" s="199"/>
      <c r="MVZ94" s="199"/>
      <c r="MWA94" s="199"/>
      <c r="MWB94" s="199"/>
      <c r="MWC94" s="199"/>
      <c r="MWD94" s="199"/>
      <c r="MWE94" s="199"/>
      <c r="MWF94" s="199"/>
      <c r="MWG94" s="199"/>
      <c r="MWH94" s="199"/>
      <c r="MWI94" s="199"/>
      <c r="MWJ94" s="199"/>
      <c r="MWK94" s="199"/>
      <c r="MWL94" s="199"/>
      <c r="MWM94" s="199"/>
      <c r="MWN94" s="199"/>
      <c r="MWO94" s="199"/>
      <c r="MWP94" s="199"/>
      <c r="MWQ94" s="199"/>
      <c r="MWR94" s="199"/>
      <c r="MWS94" s="199"/>
      <c r="MWT94" s="193"/>
      <c r="MWU94" s="193"/>
      <c r="MWV94" s="193"/>
      <c r="MWW94" s="193"/>
      <c r="MWX94" s="194"/>
      <c r="MWY94" s="194"/>
      <c r="MWZ94" s="196"/>
      <c r="MXA94" s="197"/>
      <c r="MXB94" s="197"/>
      <c r="MXC94" s="198"/>
      <c r="MXD94" s="198"/>
      <c r="MXE94" s="199"/>
      <c r="MXF94" s="199"/>
      <c r="MXG94" s="199"/>
      <c r="MXH94" s="199"/>
      <c r="MXI94" s="199"/>
      <c r="MXJ94" s="199"/>
      <c r="MXK94" s="199"/>
      <c r="MXL94" s="199"/>
      <c r="MXM94" s="199"/>
      <c r="MXN94" s="199"/>
      <c r="MXO94" s="199"/>
      <c r="MXP94" s="199"/>
      <c r="MXQ94" s="199"/>
      <c r="MXR94" s="199"/>
      <c r="MXS94" s="199"/>
      <c r="MXT94" s="199"/>
      <c r="MXU94" s="199"/>
      <c r="MXV94" s="199"/>
      <c r="MXW94" s="199"/>
      <c r="MXX94" s="199"/>
      <c r="MXY94" s="199"/>
      <c r="MXZ94" s="199"/>
      <c r="MYA94" s="199"/>
      <c r="MYB94" s="199"/>
      <c r="MYC94" s="199"/>
      <c r="MYD94" s="199"/>
      <c r="MYE94" s="199"/>
      <c r="MYF94" s="199"/>
      <c r="MYG94" s="199"/>
      <c r="MYH94" s="199"/>
      <c r="MYI94" s="199"/>
      <c r="MYJ94" s="199"/>
      <c r="MYK94" s="199"/>
      <c r="MYL94" s="199"/>
      <c r="MYM94" s="193"/>
      <c r="MYN94" s="193"/>
      <c r="MYO94" s="193"/>
      <c r="MYP94" s="193"/>
      <c r="MYQ94" s="194"/>
      <c r="MYR94" s="194"/>
      <c r="MYS94" s="196"/>
      <c r="MYT94" s="197"/>
      <c r="MYU94" s="197"/>
      <c r="MYV94" s="198"/>
      <c r="MYW94" s="198"/>
      <c r="MYX94" s="199"/>
      <c r="MYY94" s="199"/>
      <c r="MYZ94" s="199"/>
      <c r="MZA94" s="199"/>
      <c r="MZB94" s="199"/>
      <c r="MZC94" s="199"/>
      <c r="MZD94" s="199"/>
      <c r="MZE94" s="199"/>
      <c r="MZF94" s="199"/>
      <c r="MZG94" s="199"/>
      <c r="MZH94" s="199"/>
      <c r="MZI94" s="199"/>
      <c r="MZJ94" s="199"/>
      <c r="MZK94" s="199"/>
      <c r="MZL94" s="199"/>
      <c r="MZM94" s="199"/>
      <c r="MZN94" s="199"/>
      <c r="MZO94" s="199"/>
      <c r="MZP94" s="199"/>
      <c r="MZQ94" s="199"/>
      <c r="MZR94" s="199"/>
      <c r="MZS94" s="199"/>
      <c r="MZT94" s="199"/>
      <c r="MZU94" s="199"/>
      <c r="MZV94" s="199"/>
      <c r="MZW94" s="199"/>
      <c r="MZX94" s="199"/>
      <c r="MZY94" s="199"/>
      <c r="MZZ94" s="199"/>
      <c r="NAA94" s="199"/>
      <c r="NAB94" s="199"/>
      <c r="NAC94" s="199"/>
      <c r="NAD94" s="199"/>
      <c r="NAE94" s="199"/>
      <c r="NAF94" s="193"/>
      <c r="NAG94" s="193"/>
      <c r="NAH94" s="193"/>
      <c r="NAI94" s="193"/>
      <c r="NAJ94" s="194"/>
      <c r="NAK94" s="194"/>
      <c r="NAL94" s="196"/>
      <c r="NAM94" s="197"/>
      <c r="NAN94" s="197"/>
      <c r="NAO94" s="198"/>
      <c r="NAP94" s="198"/>
      <c r="NAQ94" s="199"/>
      <c r="NAR94" s="199"/>
      <c r="NAS94" s="199"/>
      <c r="NAT94" s="199"/>
      <c r="NAU94" s="199"/>
      <c r="NAV94" s="199"/>
      <c r="NAW94" s="199"/>
      <c r="NAX94" s="199"/>
      <c r="NAY94" s="199"/>
      <c r="NAZ94" s="199"/>
      <c r="NBA94" s="199"/>
      <c r="NBB94" s="199"/>
      <c r="NBC94" s="199"/>
      <c r="NBD94" s="199"/>
      <c r="NBE94" s="199"/>
      <c r="NBF94" s="199"/>
      <c r="NBG94" s="199"/>
      <c r="NBH94" s="199"/>
      <c r="NBI94" s="199"/>
      <c r="NBJ94" s="199"/>
      <c r="NBK94" s="199"/>
      <c r="NBL94" s="199"/>
      <c r="NBM94" s="199"/>
      <c r="NBN94" s="199"/>
      <c r="NBO94" s="199"/>
      <c r="NBP94" s="199"/>
      <c r="NBQ94" s="199"/>
      <c r="NBR94" s="199"/>
      <c r="NBS94" s="199"/>
      <c r="NBT94" s="199"/>
      <c r="NBU94" s="199"/>
      <c r="NBV94" s="199"/>
      <c r="NBW94" s="199"/>
      <c r="NBX94" s="199"/>
      <c r="NBY94" s="193"/>
      <c r="NBZ94" s="193"/>
      <c r="NCA94" s="193"/>
      <c r="NCB94" s="193"/>
      <c r="NCC94" s="194"/>
      <c r="NCD94" s="194"/>
      <c r="NCE94" s="196"/>
      <c r="NCF94" s="197"/>
      <c r="NCG94" s="197"/>
      <c r="NCH94" s="198"/>
      <c r="NCI94" s="198"/>
      <c r="NCJ94" s="199"/>
      <c r="NCK94" s="199"/>
      <c r="NCL94" s="199"/>
      <c r="NCM94" s="199"/>
      <c r="NCN94" s="199"/>
      <c r="NCO94" s="199"/>
      <c r="NCP94" s="199"/>
      <c r="NCQ94" s="199"/>
      <c r="NCR94" s="199"/>
      <c r="NCS94" s="199"/>
      <c r="NCT94" s="199"/>
      <c r="NCU94" s="199"/>
      <c r="NCV94" s="199"/>
      <c r="NCW94" s="199"/>
      <c r="NCX94" s="199"/>
      <c r="NCY94" s="199"/>
      <c r="NCZ94" s="199"/>
      <c r="NDA94" s="199"/>
      <c r="NDB94" s="199"/>
      <c r="NDC94" s="199"/>
      <c r="NDD94" s="199"/>
      <c r="NDE94" s="199"/>
      <c r="NDF94" s="199"/>
      <c r="NDG94" s="199"/>
      <c r="NDH94" s="199"/>
      <c r="NDI94" s="199"/>
      <c r="NDJ94" s="199"/>
      <c r="NDK94" s="199"/>
      <c r="NDL94" s="199"/>
      <c r="NDM94" s="199"/>
      <c r="NDN94" s="199"/>
      <c r="NDO94" s="199"/>
      <c r="NDP94" s="199"/>
      <c r="NDQ94" s="199"/>
      <c r="NDR94" s="193"/>
      <c r="NDS94" s="193"/>
      <c r="NDT94" s="193"/>
      <c r="NDU94" s="193"/>
      <c r="NDV94" s="194"/>
      <c r="NDW94" s="194"/>
      <c r="NDX94" s="196"/>
      <c r="NDY94" s="197"/>
      <c r="NDZ94" s="197"/>
      <c r="NEA94" s="198"/>
      <c r="NEB94" s="198"/>
      <c r="NEC94" s="199"/>
      <c r="NED94" s="199"/>
      <c r="NEE94" s="199"/>
      <c r="NEF94" s="199"/>
      <c r="NEG94" s="199"/>
      <c r="NEH94" s="199"/>
      <c r="NEI94" s="199"/>
      <c r="NEJ94" s="199"/>
      <c r="NEK94" s="199"/>
      <c r="NEL94" s="199"/>
      <c r="NEM94" s="199"/>
      <c r="NEN94" s="199"/>
      <c r="NEO94" s="199"/>
      <c r="NEP94" s="199"/>
      <c r="NEQ94" s="199"/>
      <c r="NER94" s="199"/>
      <c r="NES94" s="199"/>
      <c r="NET94" s="199"/>
      <c r="NEU94" s="199"/>
      <c r="NEV94" s="199"/>
      <c r="NEW94" s="199"/>
      <c r="NEX94" s="199"/>
      <c r="NEY94" s="199"/>
      <c r="NEZ94" s="199"/>
      <c r="NFA94" s="199"/>
      <c r="NFB94" s="199"/>
      <c r="NFC94" s="199"/>
      <c r="NFD94" s="199"/>
      <c r="NFE94" s="199"/>
      <c r="NFF94" s="199"/>
      <c r="NFG94" s="199"/>
      <c r="NFH94" s="199"/>
      <c r="NFI94" s="199"/>
      <c r="NFJ94" s="199"/>
      <c r="NFK94" s="193"/>
      <c r="NFL94" s="193"/>
      <c r="NFM94" s="193"/>
      <c r="NFN94" s="193"/>
      <c r="NFO94" s="194"/>
      <c r="NFP94" s="194"/>
      <c r="NFQ94" s="196"/>
      <c r="NFR94" s="197"/>
      <c r="NFS94" s="197"/>
      <c r="NFT94" s="198"/>
      <c r="NFU94" s="198"/>
      <c r="NFV94" s="199"/>
      <c r="NFW94" s="199"/>
      <c r="NFX94" s="199"/>
      <c r="NFY94" s="199"/>
      <c r="NFZ94" s="199"/>
      <c r="NGA94" s="199"/>
      <c r="NGB94" s="199"/>
      <c r="NGC94" s="199"/>
      <c r="NGD94" s="199"/>
      <c r="NGE94" s="199"/>
      <c r="NGF94" s="199"/>
      <c r="NGG94" s="199"/>
      <c r="NGH94" s="199"/>
      <c r="NGI94" s="199"/>
      <c r="NGJ94" s="199"/>
      <c r="NGK94" s="199"/>
      <c r="NGL94" s="199"/>
      <c r="NGM94" s="199"/>
      <c r="NGN94" s="199"/>
      <c r="NGO94" s="199"/>
      <c r="NGP94" s="199"/>
      <c r="NGQ94" s="199"/>
      <c r="NGR94" s="199"/>
      <c r="NGS94" s="199"/>
      <c r="NGT94" s="199"/>
      <c r="NGU94" s="199"/>
      <c r="NGV94" s="199"/>
      <c r="NGW94" s="199"/>
      <c r="NGX94" s="199"/>
      <c r="NGY94" s="199"/>
      <c r="NGZ94" s="199"/>
      <c r="NHA94" s="199"/>
      <c r="NHB94" s="199"/>
      <c r="NHC94" s="199"/>
      <c r="NHD94" s="193"/>
      <c r="NHE94" s="193"/>
      <c r="NHF94" s="193"/>
      <c r="NHG94" s="193"/>
      <c r="NHH94" s="194"/>
      <c r="NHI94" s="194"/>
      <c r="NHJ94" s="196"/>
      <c r="NHK94" s="197"/>
      <c r="NHL94" s="197"/>
      <c r="NHM94" s="198"/>
      <c r="NHN94" s="198"/>
      <c r="NHO94" s="199"/>
      <c r="NHP94" s="199"/>
      <c r="NHQ94" s="199"/>
      <c r="NHR94" s="199"/>
      <c r="NHS94" s="199"/>
      <c r="NHT94" s="199"/>
      <c r="NHU94" s="199"/>
      <c r="NHV94" s="199"/>
      <c r="NHW94" s="199"/>
      <c r="NHX94" s="199"/>
      <c r="NHY94" s="199"/>
      <c r="NHZ94" s="199"/>
      <c r="NIA94" s="199"/>
      <c r="NIB94" s="199"/>
      <c r="NIC94" s="199"/>
      <c r="NID94" s="199"/>
      <c r="NIE94" s="199"/>
      <c r="NIF94" s="199"/>
      <c r="NIG94" s="199"/>
      <c r="NIH94" s="199"/>
      <c r="NII94" s="199"/>
      <c r="NIJ94" s="199"/>
      <c r="NIK94" s="199"/>
      <c r="NIL94" s="199"/>
      <c r="NIM94" s="199"/>
      <c r="NIN94" s="199"/>
      <c r="NIO94" s="199"/>
      <c r="NIP94" s="199"/>
      <c r="NIQ94" s="199"/>
      <c r="NIR94" s="199"/>
      <c r="NIS94" s="199"/>
      <c r="NIT94" s="199"/>
      <c r="NIU94" s="199"/>
      <c r="NIV94" s="199"/>
      <c r="NIW94" s="193"/>
      <c r="NIX94" s="193"/>
      <c r="NIY94" s="193"/>
      <c r="NIZ94" s="193"/>
      <c r="NJA94" s="194"/>
      <c r="NJB94" s="194"/>
      <c r="NJC94" s="196"/>
      <c r="NJD94" s="197"/>
      <c r="NJE94" s="197"/>
      <c r="NJF94" s="198"/>
      <c r="NJG94" s="198"/>
      <c r="NJH94" s="199"/>
      <c r="NJI94" s="199"/>
      <c r="NJJ94" s="199"/>
      <c r="NJK94" s="199"/>
      <c r="NJL94" s="199"/>
      <c r="NJM94" s="199"/>
      <c r="NJN94" s="199"/>
      <c r="NJO94" s="199"/>
      <c r="NJP94" s="199"/>
      <c r="NJQ94" s="199"/>
      <c r="NJR94" s="199"/>
      <c r="NJS94" s="199"/>
      <c r="NJT94" s="199"/>
      <c r="NJU94" s="199"/>
      <c r="NJV94" s="199"/>
      <c r="NJW94" s="199"/>
      <c r="NJX94" s="199"/>
      <c r="NJY94" s="199"/>
      <c r="NJZ94" s="199"/>
      <c r="NKA94" s="199"/>
      <c r="NKB94" s="199"/>
      <c r="NKC94" s="199"/>
      <c r="NKD94" s="199"/>
      <c r="NKE94" s="199"/>
      <c r="NKF94" s="199"/>
      <c r="NKG94" s="199"/>
      <c r="NKH94" s="199"/>
      <c r="NKI94" s="199"/>
      <c r="NKJ94" s="199"/>
      <c r="NKK94" s="199"/>
      <c r="NKL94" s="199"/>
      <c r="NKM94" s="199"/>
      <c r="NKN94" s="199"/>
      <c r="NKO94" s="199"/>
      <c r="NKP94" s="193"/>
      <c r="NKQ94" s="193"/>
      <c r="NKR94" s="193"/>
      <c r="NKS94" s="193"/>
      <c r="NKT94" s="194"/>
      <c r="NKU94" s="194"/>
      <c r="NKV94" s="196"/>
      <c r="NKW94" s="197"/>
      <c r="NKX94" s="197"/>
      <c r="NKY94" s="198"/>
      <c r="NKZ94" s="198"/>
      <c r="NLA94" s="199"/>
      <c r="NLB94" s="199"/>
      <c r="NLC94" s="199"/>
      <c r="NLD94" s="199"/>
      <c r="NLE94" s="199"/>
      <c r="NLF94" s="199"/>
      <c r="NLG94" s="199"/>
      <c r="NLH94" s="199"/>
      <c r="NLI94" s="199"/>
      <c r="NLJ94" s="199"/>
      <c r="NLK94" s="199"/>
      <c r="NLL94" s="199"/>
      <c r="NLM94" s="199"/>
      <c r="NLN94" s="199"/>
      <c r="NLO94" s="199"/>
      <c r="NLP94" s="199"/>
      <c r="NLQ94" s="199"/>
      <c r="NLR94" s="199"/>
      <c r="NLS94" s="199"/>
      <c r="NLT94" s="199"/>
      <c r="NLU94" s="199"/>
      <c r="NLV94" s="199"/>
      <c r="NLW94" s="199"/>
      <c r="NLX94" s="199"/>
      <c r="NLY94" s="199"/>
      <c r="NLZ94" s="199"/>
      <c r="NMA94" s="199"/>
      <c r="NMB94" s="199"/>
      <c r="NMC94" s="199"/>
      <c r="NMD94" s="199"/>
      <c r="NME94" s="199"/>
      <c r="NMF94" s="199"/>
      <c r="NMG94" s="199"/>
      <c r="NMH94" s="199"/>
      <c r="NMI94" s="193"/>
      <c r="NMJ94" s="193"/>
      <c r="NMK94" s="193"/>
      <c r="NML94" s="193"/>
      <c r="NMM94" s="194"/>
      <c r="NMN94" s="194"/>
      <c r="NMO94" s="196"/>
      <c r="NMP94" s="197"/>
      <c r="NMQ94" s="197"/>
      <c r="NMR94" s="198"/>
      <c r="NMS94" s="198"/>
      <c r="NMT94" s="199"/>
      <c r="NMU94" s="199"/>
      <c r="NMV94" s="199"/>
      <c r="NMW94" s="199"/>
      <c r="NMX94" s="199"/>
      <c r="NMY94" s="199"/>
      <c r="NMZ94" s="199"/>
      <c r="NNA94" s="199"/>
      <c r="NNB94" s="199"/>
      <c r="NNC94" s="199"/>
      <c r="NND94" s="199"/>
      <c r="NNE94" s="199"/>
      <c r="NNF94" s="199"/>
      <c r="NNG94" s="199"/>
      <c r="NNH94" s="199"/>
      <c r="NNI94" s="199"/>
      <c r="NNJ94" s="199"/>
      <c r="NNK94" s="199"/>
      <c r="NNL94" s="199"/>
      <c r="NNM94" s="199"/>
      <c r="NNN94" s="199"/>
      <c r="NNO94" s="199"/>
      <c r="NNP94" s="199"/>
      <c r="NNQ94" s="199"/>
      <c r="NNR94" s="199"/>
      <c r="NNS94" s="199"/>
      <c r="NNT94" s="199"/>
      <c r="NNU94" s="199"/>
      <c r="NNV94" s="199"/>
      <c r="NNW94" s="199"/>
      <c r="NNX94" s="199"/>
      <c r="NNY94" s="199"/>
      <c r="NNZ94" s="199"/>
      <c r="NOA94" s="199"/>
      <c r="NOB94" s="193"/>
      <c r="NOC94" s="193"/>
      <c r="NOD94" s="193"/>
      <c r="NOE94" s="193"/>
      <c r="NOF94" s="194"/>
      <c r="NOG94" s="194"/>
      <c r="NOH94" s="196"/>
      <c r="NOI94" s="197"/>
      <c r="NOJ94" s="197"/>
      <c r="NOK94" s="198"/>
      <c r="NOL94" s="198"/>
      <c r="NOM94" s="199"/>
      <c r="NON94" s="199"/>
      <c r="NOO94" s="199"/>
      <c r="NOP94" s="199"/>
      <c r="NOQ94" s="199"/>
      <c r="NOR94" s="199"/>
      <c r="NOS94" s="199"/>
      <c r="NOT94" s="199"/>
      <c r="NOU94" s="199"/>
      <c r="NOV94" s="199"/>
      <c r="NOW94" s="199"/>
      <c r="NOX94" s="199"/>
      <c r="NOY94" s="199"/>
      <c r="NOZ94" s="199"/>
      <c r="NPA94" s="199"/>
      <c r="NPB94" s="199"/>
      <c r="NPC94" s="199"/>
      <c r="NPD94" s="199"/>
      <c r="NPE94" s="199"/>
      <c r="NPF94" s="199"/>
      <c r="NPG94" s="199"/>
      <c r="NPH94" s="199"/>
      <c r="NPI94" s="199"/>
      <c r="NPJ94" s="199"/>
      <c r="NPK94" s="199"/>
      <c r="NPL94" s="199"/>
      <c r="NPM94" s="199"/>
      <c r="NPN94" s="199"/>
      <c r="NPO94" s="199"/>
      <c r="NPP94" s="199"/>
      <c r="NPQ94" s="199"/>
      <c r="NPR94" s="199"/>
      <c r="NPS94" s="199"/>
      <c r="NPT94" s="199"/>
      <c r="NPU94" s="193"/>
      <c r="NPV94" s="193"/>
      <c r="NPW94" s="193"/>
      <c r="NPX94" s="193"/>
      <c r="NPY94" s="194"/>
      <c r="NPZ94" s="194"/>
      <c r="NQA94" s="196"/>
      <c r="NQB94" s="197"/>
      <c r="NQC94" s="197"/>
      <c r="NQD94" s="198"/>
      <c r="NQE94" s="198"/>
      <c r="NQF94" s="199"/>
      <c r="NQG94" s="199"/>
      <c r="NQH94" s="199"/>
      <c r="NQI94" s="199"/>
      <c r="NQJ94" s="199"/>
      <c r="NQK94" s="199"/>
      <c r="NQL94" s="199"/>
      <c r="NQM94" s="199"/>
      <c r="NQN94" s="199"/>
      <c r="NQO94" s="199"/>
      <c r="NQP94" s="199"/>
      <c r="NQQ94" s="199"/>
      <c r="NQR94" s="199"/>
      <c r="NQS94" s="199"/>
      <c r="NQT94" s="199"/>
      <c r="NQU94" s="199"/>
      <c r="NQV94" s="199"/>
      <c r="NQW94" s="199"/>
      <c r="NQX94" s="199"/>
      <c r="NQY94" s="199"/>
      <c r="NQZ94" s="199"/>
      <c r="NRA94" s="199"/>
      <c r="NRB94" s="199"/>
      <c r="NRC94" s="199"/>
      <c r="NRD94" s="199"/>
      <c r="NRE94" s="199"/>
      <c r="NRF94" s="199"/>
      <c r="NRG94" s="199"/>
      <c r="NRH94" s="199"/>
      <c r="NRI94" s="199"/>
      <c r="NRJ94" s="199"/>
      <c r="NRK94" s="199"/>
      <c r="NRL94" s="199"/>
      <c r="NRM94" s="199"/>
      <c r="NRN94" s="193"/>
      <c r="NRO94" s="193"/>
      <c r="NRP94" s="193"/>
      <c r="NRQ94" s="193"/>
      <c r="NRR94" s="194"/>
      <c r="NRS94" s="194"/>
      <c r="NRT94" s="196"/>
      <c r="NRU94" s="197"/>
      <c r="NRV94" s="197"/>
      <c r="NRW94" s="198"/>
      <c r="NRX94" s="198"/>
      <c r="NRY94" s="199"/>
      <c r="NRZ94" s="199"/>
      <c r="NSA94" s="199"/>
      <c r="NSB94" s="199"/>
      <c r="NSC94" s="199"/>
      <c r="NSD94" s="199"/>
      <c r="NSE94" s="199"/>
      <c r="NSF94" s="199"/>
      <c r="NSG94" s="199"/>
      <c r="NSH94" s="199"/>
      <c r="NSI94" s="199"/>
      <c r="NSJ94" s="199"/>
      <c r="NSK94" s="199"/>
      <c r="NSL94" s="199"/>
      <c r="NSM94" s="199"/>
      <c r="NSN94" s="199"/>
      <c r="NSO94" s="199"/>
      <c r="NSP94" s="199"/>
      <c r="NSQ94" s="199"/>
      <c r="NSR94" s="199"/>
      <c r="NSS94" s="199"/>
      <c r="NST94" s="199"/>
      <c r="NSU94" s="199"/>
      <c r="NSV94" s="199"/>
      <c r="NSW94" s="199"/>
      <c r="NSX94" s="199"/>
      <c r="NSY94" s="199"/>
      <c r="NSZ94" s="199"/>
      <c r="NTA94" s="199"/>
      <c r="NTB94" s="199"/>
      <c r="NTC94" s="199"/>
      <c r="NTD94" s="199"/>
      <c r="NTE94" s="199"/>
      <c r="NTF94" s="199"/>
      <c r="NTG94" s="193"/>
      <c r="NTH94" s="193"/>
      <c r="NTI94" s="193"/>
      <c r="NTJ94" s="193"/>
      <c r="NTK94" s="194"/>
      <c r="NTL94" s="194"/>
      <c r="NTM94" s="196"/>
      <c r="NTN94" s="197"/>
      <c r="NTO94" s="197"/>
      <c r="NTP94" s="198"/>
      <c r="NTQ94" s="198"/>
      <c r="NTR94" s="199"/>
      <c r="NTS94" s="199"/>
      <c r="NTT94" s="199"/>
      <c r="NTU94" s="199"/>
      <c r="NTV94" s="199"/>
      <c r="NTW94" s="199"/>
      <c r="NTX94" s="199"/>
      <c r="NTY94" s="199"/>
      <c r="NTZ94" s="199"/>
      <c r="NUA94" s="199"/>
      <c r="NUB94" s="199"/>
      <c r="NUC94" s="199"/>
      <c r="NUD94" s="199"/>
      <c r="NUE94" s="199"/>
      <c r="NUF94" s="199"/>
      <c r="NUG94" s="199"/>
      <c r="NUH94" s="199"/>
      <c r="NUI94" s="199"/>
      <c r="NUJ94" s="199"/>
      <c r="NUK94" s="199"/>
      <c r="NUL94" s="199"/>
      <c r="NUM94" s="199"/>
      <c r="NUN94" s="199"/>
      <c r="NUO94" s="199"/>
      <c r="NUP94" s="199"/>
      <c r="NUQ94" s="199"/>
      <c r="NUR94" s="199"/>
      <c r="NUS94" s="199"/>
      <c r="NUT94" s="199"/>
      <c r="NUU94" s="199"/>
      <c r="NUV94" s="199"/>
      <c r="NUW94" s="199"/>
      <c r="NUX94" s="199"/>
      <c r="NUY94" s="199"/>
      <c r="NUZ94" s="193"/>
      <c r="NVA94" s="193"/>
      <c r="NVB94" s="193"/>
      <c r="NVC94" s="193"/>
      <c r="NVD94" s="194"/>
      <c r="NVE94" s="194"/>
      <c r="NVF94" s="196"/>
      <c r="NVG94" s="197"/>
      <c r="NVH94" s="197"/>
      <c r="NVI94" s="198"/>
      <c r="NVJ94" s="198"/>
      <c r="NVK94" s="199"/>
      <c r="NVL94" s="199"/>
      <c r="NVM94" s="199"/>
      <c r="NVN94" s="199"/>
      <c r="NVO94" s="199"/>
      <c r="NVP94" s="199"/>
      <c r="NVQ94" s="199"/>
      <c r="NVR94" s="199"/>
      <c r="NVS94" s="199"/>
      <c r="NVT94" s="199"/>
      <c r="NVU94" s="199"/>
      <c r="NVV94" s="199"/>
      <c r="NVW94" s="199"/>
      <c r="NVX94" s="199"/>
      <c r="NVY94" s="199"/>
      <c r="NVZ94" s="199"/>
      <c r="NWA94" s="199"/>
      <c r="NWB94" s="199"/>
      <c r="NWC94" s="199"/>
      <c r="NWD94" s="199"/>
      <c r="NWE94" s="199"/>
      <c r="NWF94" s="199"/>
      <c r="NWG94" s="199"/>
      <c r="NWH94" s="199"/>
      <c r="NWI94" s="199"/>
      <c r="NWJ94" s="199"/>
      <c r="NWK94" s="199"/>
      <c r="NWL94" s="199"/>
      <c r="NWM94" s="199"/>
      <c r="NWN94" s="199"/>
      <c r="NWO94" s="199"/>
      <c r="NWP94" s="199"/>
      <c r="NWQ94" s="199"/>
      <c r="NWR94" s="199"/>
      <c r="NWS94" s="193"/>
      <c r="NWT94" s="193"/>
      <c r="NWU94" s="193"/>
      <c r="NWV94" s="193"/>
      <c r="NWW94" s="194"/>
      <c r="NWX94" s="194"/>
      <c r="NWY94" s="196"/>
      <c r="NWZ94" s="197"/>
      <c r="NXA94" s="197"/>
      <c r="NXB94" s="198"/>
      <c r="NXC94" s="198"/>
      <c r="NXD94" s="199"/>
      <c r="NXE94" s="199"/>
      <c r="NXF94" s="199"/>
      <c r="NXG94" s="199"/>
      <c r="NXH94" s="199"/>
      <c r="NXI94" s="199"/>
      <c r="NXJ94" s="199"/>
      <c r="NXK94" s="199"/>
      <c r="NXL94" s="199"/>
      <c r="NXM94" s="199"/>
      <c r="NXN94" s="199"/>
      <c r="NXO94" s="199"/>
      <c r="NXP94" s="199"/>
      <c r="NXQ94" s="199"/>
      <c r="NXR94" s="199"/>
      <c r="NXS94" s="199"/>
      <c r="NXT94" s="199"/>
      <c r="NXU94" s="199"/>
      <c r="NXV94" s="199"/>
      <c r="NXW94" s="199"/>
      <c r="NXX94" s="199"/>
      <c r="NXY94" s="199"/>
      <c r="NXZ94" s="199"/>
      <c r="NYA94" s="199"/>
      <c r="NYB94" s="199"/>
      <c r="NYC94" s="199"/>
      <c r="NYD94" s="199"/>
      <c r="NYE94" s="199"/>
      <c r="NYF94" s="199"/>
      <c r="NYG94" s="199"/>
      <c r="NYH94" s="199"/>
      <c r="NYI94" s="199"/>
      <c r="NYJ94" s="199"/>
      <c r="NYK94" s="199"/>
      <c r="NYL94" s="193"/>
      <c r="NYM94" s="193"/>
      <c r="NYN94" s="193"/>
      <c r="NYO94" s="193"/>
      <c r="NYP94" s="194"/>
      <c r="NYQ94" s="194"/>
      <c r="NYR94" s="196"/>
      <c r="NYS94" s="197"/>
      <c r="NYT94" s="197"/>
      <c r="NYU94" s="198"/>
      <c r="NYV94" s="198"/>
      <c r="NYW94" s="199"/>
      <c r="NYX94" s="199"/>
      <c r="NYY94" s="199"/>
      <c r="NYZ94" s="199"/>
      <c r="NZA94" s="199"/>
      <c r="NZB94" s="199"/>
      <c r="NZC94" s="199"/>
      <c r="NZD94" s="199"/>
      <c r="NZE94" s="199"/>
      <c r="NZF94" s="199"/>
      <c r="NZG94" s="199"/>
      <c r="NZH94" s="199"/>
      <c r="NZI94" s="199"/>
      <c r="NZJ94" s="199"/>
      <c r="NZK94" s="199"/>
      <c r="NZL94" s="199"/>
      <c r="NZM94" s="199"/>
      <c r="NZN94" s="199"/>
      <c r="NZO94" s="199"/>
      <c r="NZP94" s="199"/>
      <c r="NZQ94" s="199"/>
      <c r="NZR94" s="199"/>
      <c r="NZS94" s="199"/>
      <c r="NZT94" s="199"/>
      <c r="NZU94" s="199"/>
      <c r="NZV94" s="199"/>
      <c r="NZW94" s="199"/>
      <c r="NZX94" s="199"/>
      <c r="NZY94" s="199"/>
      <c r="NZZ94" s="199"/>
      <c r="OAA94" s="199"/>
      <c r="OAB94" s="199"/>
      <c r="OAC94" s="199"/>
      <c r="OAD94" s="199"/>
      <c r="OAE94" s="193"/>
      <c r="OAF94" s="193"/>
      <c r="OAG94" s="193"/>
      <c r="OAH94" s="193"/>
      <c r="OAI94" s="194"/>
      <c r="OAJ94" s="194"/>
      <c r="OAK94" s="196"/>
      <c r="OAL94" s="197"/>
      <c r="OAM94" s="197"/>
      <c r="OAN94" s="198"/>
      <c r="OAO94" s="198"/>
      <c r="OAP94" s="199"/>
      <c r="OAQ94" s="199"/>
      <c r="OAR94" s="199"/>
      <c r="OAS94" s="199"/>
      <c r="OAT94" s="199"/>
      <c r="OAU94" s="199"/>
      <c r="OAV94" s="199"/>
      <c r="OAW94" s="199"/>
      <c r="OAX94" s="199"/>
      <c r="OAY94" s="199"/>
      <c r="OAZ94" s="199"/>
      <c r="OBA94" s="199"/>
      <c r="OBB94" s="199"/>
      <c r="OBC94" s="199"/>
      <c r="OBD94" s="199"/>
      <c r="OBE94" s="199"/>
      <c r="OBF94" s="199"/>
      <c r="OBG94" s="199"/>
      <c r="OBH94" s="199"/>
      <c r="OBI94" s="199"/>
      <c r="OBJ94" s="199"/>
      <c r="OBK94" s="199"/>
      <c r="OBL94" s="199"/>
      <c r="OBM94" s="199"/>
      <c r="OBN94" s="199"/>
      <c r="OBO94" s="199"/>
      <c r="OBP94" s="199"/>
      <c r="OBQ94" s="199"/>
      <c r="OBR94" s="199"/>
      <c r="OBS94" s="199"/>
      <c r="OBT94" s="199"/>
      <c r="OBU94" s="199"/>
      <c r="OBV94" s="199"/>
      <c r="OBW94" s="199"/>
      <c r="OBX94" s="193"/>
      <c r="OBY94" s="193"/>
      <c r="OBZ94" s="193"/>
      <c r="OCA94" s="193"/>
      <c r="OCB94" s="194"/>
      <c r="OCC94" s="194"/>
      <c r="OCD94" s="196"/>
      <c r="OCE94" s="197"/>
      <c r="OCF94" s="197"/>
      <c r="OCG94" s="198"/>
      <c r="OCH94" s="198"/>
      <c r="OCI94" s="199"/>
      <c r="OCJ94" s="199"/>
      <c r="OCK94" s="199"/>
      <c r="OCL94" s="199"/>
      <c r="OCM94" s="199"/>
      <c r="OCN94" s="199"/>
      <c r="OCO94" s="199"/>
      <c r="OCP94" s="199"/>
      <c r="OCQ94" s="199"/>
      <c r="OCR94" s="199"/>
      <c r="OCS94" s="199"/>
      <c r="OCT94" s="199"/>
      <c r="OCU94" s="199"/>
      <c r="OCV94" s="199"/>
      <c r="OCW94" s="199"/>
      <c r="OCX94" s="199"/>
      <c r="OCY94" s="199"/>
      <c r="OCZ94" s="199"/>
      <c r="ODA94" s="199"/>
      <c r="ODB94" s="199"/>
      <c r="ODC94" s="199"/>
      <c r="ODD94" s="199"/>
      <c r="ODE94" s="199"/>
      <c r="ODF94" s="199"/>
      <c r="ODG94" s="199"/>
      <c r="ODH94" s="199"/>
      <c r="ODI94" s="199"/>
      <c r="ODJ94" s="199"/>
      <c r="ODK94" s="199"/>
      <c r="ODL94" s="199"/>
      <c r="ODM94" s="199"/>
      <c r="ODN94" s="199"/>
      <c r="ODO94" s="199"/>
      <c r="ODP94" s="199"/>
      <c r="ODQ94" s="193"/>
      <c r="ODR94" s="193"/>
      <c r="ODS94" s="193"/>
      <c r="ODT94" s="193"/>
      <c r="ODU94" s="194"/>
      <c r="ODV94" s="194"/>
      <c r="ODW94" s="196"/>
      <c r="ODX94" s="197"/>
      <c r="ODY94" s="197"/>
      <c r="ODZ94" s="198"/>
      <c r="OEA94" s="198"/>
      <c r="OEB94" s="199"/>
      <c r="OEC94" s="199"/>
      <c r="OED94" s="199"/>
      <c r="OEE94" s="199"/>
      <c r="OEF94" s="199"/>
      <c r="OEG94" s="199"/>
      <c r="OEH94" s="199"/>
      <c r="OEI94" s="199"/>
      <c r="OEJ94" s="199"/>
      <c r="OEK94" s="199"/>
      <c r="OEL94" s="199"/>
      <c r="OEM94" s="199"/>
      <c r="OEN94" s="199"/>
      <c r="OEO94" s="199"/>
      <c r="OEP94" s="199"/>
      <c r="OEQ94" s="199"/>
      <c r="OER94" s="199"/>
      <c r="OES94" s="199"/>
      <c r="OET94" s="199"/>
      <c r="OEU94" s="199"/>
      <c r="OEV94" s="199"/>
      <c r="OEW94" s="199"/>
      <c r="OEX94" s="199"/>
      <c r="OEY94" s="199"/>
      <c r="OEZ94" s="199"/>
      <c r="OFA94" s="199"/>
      <c r="OFB94" s="199"/>
      <c r="OFC94" s="199"/>
      <c r="OFD94" s="199"/>
      <c r="OFE94" s="199"/>
      <c r="OFF94" s="199"/>
      <c r="OFG94" s="199"/>
      <c r="OFH94" s="199"/>
      <c r="OFI94" s="199"/>
      <c r="OFJ94" s="193"/>
      <c r="OFK94" s="193"/>
      <c r="OFL94" s="193"/>
      <c r="OFM94" s="193"/>
      <c r="OFN94" s="194"/>
      <c r="OFO94" s="194"/>
      <c r="OFP94" s="196"/>
      <c r="OFQ94" s="197"/>
      <c r="OFR94" s="197"/>
      <c r="OFS94" s="198"/>
      <c r="OFT94" s="198"/>
      <c r="OFU94" s="199"/>
      <c r="OFV94" s="199"/>
      <c r="OFW94" s="199"/>
      <c r="OFX94" s="199"/>
      <c r="OFY94" s="199"/>
      <c r="OFZ94" s="199"/>
      <c r="OGA94" s="199"/>
      <c r="OGB94" s="199"/>
      <c r="OGC94" s="199"/>
      <c r="OGD94" s="199"/>
      <c r="OGE94" s="199"/>
      <c r="OGF94" s="199"/>
      <c r="OGG94" s="199"/>
      <c r="OGH94" s="199"/>
      <c r="OGI94" s="199"/>
      <c r="OGJ94" s="199"/>
      <c r="OGK94" s="199"/>
      <c r="OGL94" s="199"/>
      <c r="OGM94" s="199"/>
      <c r="OGN94" s="199"/>
      <c r="OGO94" s="199"/>
      <c r="OGP94" s="199"/>
      <c r="OGQ94" s="199"/>
      <c r="OGR94" s="199"/>
      <c r="OGS94" s="199"/>
      <c r="OGT94" s="199"/>
      <c r="OGU94" s="199"/>
      <c r="OGV94" s="199"/>
      <c r="OGW94" s="199"/>
      <c r="OGX94" s="199"/>
      <c r="OGY94" s="199"/>
      <c r="OGZ94" s="199"/>
      <c r="OHA94" s="199"/>
      <c r="OHB94" s="199"/>
      <c r="OHC94" s="193"/>
      <c r="OHD94" s="193"/>
      <c r="OHE94" s="193"/>
      <c r="OHF94" s="193"/>
      <c r="OHG94" s="194"/>
      <c r="OHH94" s="194"/>
      <c r="OHI94" s="196"/>
      <c r="OHJ94" s="197"/>
      <c r="OHK94" s="197"/>
      <c r="OHL94" s="198"/>
      <c r="OHM94" s="198"/>
      <c r="OHN94" s="199"/>
      <c r="OHO94" s="199"/>
      <c r="OHP94" s="199"/>
      <c r="OHQ94" s="199"/>
      <c r="OHR94" s="199"/>
      <c r="OHS94" s="199"/>
      <c r="OHT94" s="199"/>
      <c r="OHU94" s="199"/>
      <c r="OHV94" s="199"/>
      <c r="OHW94" s="199"/>
      <c r="OHX94" s="199"/>
      <c r="OHY94" s="199"/>
      <c r="OHZ94" s="199"/>
      <c r="OIA94" s="199"/>
      <c r="OIB94" s="199"/>
      <c r="OIC94" s="199"/>
      <c r="OID94" s="199"/>
      <c r="OIE94" s="199"/>
      <c r="OIF94" s="199"/>
      <c r="OIG94" s="199"/>
      <c r="OIH94" s="199"/>
      <c r="OII94" s="199"/>
      <c r="OIJ94" s="199"/>
      <c r="OIK94" s="199"/>
      <c r="OIL94" s="199"/>
      <c r="OIM94" s="199"/>
      <c r="OIN94" s="199"/>
      <c r="OIO94" s="199"/>
      <c r="OIP94" s="199"/>
      <c r="OIQ94" s="199"/>
      <c r="OIR94" s="199"/>
      <c r="OIS94" s="199"/>
      <c r="OIT94" s="199"/>
      <c r="OIU94" s="199"/>
      <c r="OIV94" s="193"/>
      <c r="OIW94" s="193"/>
      <c r="OIX94" s="193"/>
      <c r="OIY94" s="193"/>
      <c r="OIZ94" s="194"/>
      <c r="OJA94" s="194"/>
      <c r="OJB94" s="196"/>
      <c r="OJC94" s="197"/>
      <c r="OJD94" s="197"/>
      <c r="OJE94" s="198"/>
      <c r="OJF94" s="198"/>
      <c r="OJG94" s="199"/>
      <c r="OJH94" s="199"/>
      <c r="OJI94" s="199"/>
      <c r="OJJ94" s="199"/>
      <c r="OJK94" s="199"/>
      <c r="OJL94" s="199"/>
      <c r="OJM94" s="199"/>
      <c r="OJN94" s="199"/>
      <c r="OJO94" s="199"/>
      <c r="OJP94" s="199"/>
      <c r="OJQ94" s="199"/>
      <c r="OJR94" s="199"/>
      <c r="OJS94" s="199"/>
      <c r="OJT94" s="199"/>
      <c r="OJU94" s="199"/>
      <c r="OJV94" s="199"/>
      <c r="OJW94" s="199"/>
      <c r="OJX94" s="199"/>
      <c r="OJY94" s="199"/>
      <c r="OJZ94" s="199"/>
      <c r="OKA94" s="199"/>
      <c r="OKB94" s="199"/>
      <c r="OKC94" s="199"/>
      <c r="OKD94" s="199"/>
      <c r="OKE94" s="199"/>
      <c r="OKF94" s="199"/>
      <c r="OKG94" s="199"/>
      <c r="OKH94" s="199"/>
      <c r="OKI94" s="199"/>
      <c r="OKJ94" s="199"/>
      <c r="OKK94" s="199"/>
      <c r="OKL94" s="199"/>
      <c r="OKM94" s="199"/>
      <c r="OKN94" s="199"/>
      <c r="OKO94" s="193"/>
      <c r="OKP94" s="193"/>
      <c r="OKQ94" s="193"/>
      <c r="OKR94" s="193"/>
      <c r="OKS94" s="194"/>
      <c r="OKT94" s="194"/>
      <c r="OKU94" s="196"/>
      <c r="OKV94" s="197"/>
      <c r="OKW94" s="197"/>
      <c r="OKX94" s="198"/>
      <c r="OKY94" s="198"/>
      <c r="OKZ94" s="199"/>
      <c r="OLA94" s="199"/>
      <c r="OLB94" s="199"/>
      <c r="OLC94" s="199"/>
      <c r="OLD94" s="199"/>
      <c r="OLE94" s="199"/>
      <c r="OLF94" s="199"/>
      <c r="OLG94" s="199"/>
      <c r="OLH94" s="199"/>
      <c r="OLI94" s="199"/>
      <c r="OLJ94" s="199"/>
      <c r="OLK94" s="199"/>
      <c r="OLL94" s="199"/>
      <c r="OLM94" s="199"/>
      <c r="OLN94" s="199"/>
      <c r="OLO94" s="199"/>
      <c r="OLP94" s="199"/>
      <c r="OLQ94" s="199"/>
      <c r="OLR94" s="199"/>
      <c r="OLS94" s="199"/>
      <c r="OLT94" s="199"/>
      <c r="OLU94" s="199"/>
      <c r="OLV94" s="199"/>
      <c r="OLW94" s="199"/>
      <c r="OLX94" s="199"/>
      <c r="OLY94" s="199"/>
      <c r="OLZ94" s="199"/>
      <c r="OMA94" s="199"/>
      <c r="OMB94" s="199"/>
      <c r="OMC94" s="199"/>
      <c r="OMD94" s="199"/>
      <c r="OME94" s="199"/>
      <c r="OMF94" s="199"/>
      <c r="OMG94" s="199"/>
      <c r="OMH94" s="193"/>
      <c r="OMI94" s="193"/>
      <c r="OMJ94" s="193"/>
      <c r="OMK94" s="193"/>
      <c r="OML94" s="194"/>
      <c r="OMM94" s="194"/>
      <c r="OMN94" s="196"/>
      <c r="OMO94" s="197"/>
      <c r="OMP94" s="197"/>
      <c r="OMQ94" s="198"/>
      <c r="OMR94" s="198"/>
      <c r="OMS94" s="199"/>
      <c r="OMT94" s="199"/>
      <c r="OMU94" s="199"/>
      <c r="OMV94" s="199"/>
      <c r="OMW94" s="199"/>
      <c r="OMX94" s="199"/>
      <c r="OMY94" s="199"/>
      <c r="OMZ94" s="199"/>
      <c r="ONA94" s="199"/>
      <c r="ONB94" s="199"/>
      <c r="ONC94" s="199"/>
      <c r="OND94" s="199"/>
      <c r="ONE94" s="199"/>
      <c r="ONF94" s="199"/>
      <c r="ONG94" s="199"/>
      <c r="ONH94" s="199"/>
      <c r="ONI94" s="199"/>
      <c r="ONJ94" s="199"/>
      <c r="ONK94" s="199"/>
      <c r="ONL94" s="199"/>
      <c r="ONM94" s="199"/>
      <c r="ONN94" s="199"/>
      <c r="ONO94" s="199"/>
      <c r="ONP94" s="199"/>
      <c r="ONQ94" s="199"/>
      <c r="ONR94" s="199"/>
      <c r="ONS94" s="199"/>
      <c r="ONT94" s="199"/>
      <c r="ONU94" s="199"/>
      <c r="ONV94" s="199"/>
      <c r="ONW94" s="199"/>
      <c r="ONX94" s="199"/>
      <c r="ONY94" s="199"/>
      <c r="ONZ94" s="199"/>
      <c r="OOA94" s="193"/>
      <c r="OOB94" s="193"/>
      <c r="OOC94" s="193"/>
      <c r="OOD94" s="193"/>
      <c r="OOE94" s="194"/>
      <c r="OOF94" s="194"/>
      <c r="OOG94" s="196"/>
      <c r="OOH94" s="197"/>
      <c r="OOI94" s="197"/>
      <c r="OOJ94" s="198"/>
      <c r="OOK94" s="198"/>
      <c r="OOL94" s="199"/>
      <c r="OOM94" s="199"/>
      <c r="OON94" s="199"/>
      <c r="OOO94" s="199"/>
      <c r="OOP94" s="199"/>
      <c r="OOQ94" s="199"/>
      <c r="OOR94" s="199"/>
      <c r="OOS94" s="199"/>
      <c r="OOT94" s="199"/>
      <c r="OOU94" s="199"/>
      <c r="OOV94" s="199"/>
      <c r="OOW94" s="199"/>
      <c r="OOX94" s="199"/>
      <c r="OOY94" s="199"/>
      <c r="OOZ94" s="199"/>
      <c r="OPA94" s="199"/>
      <c r="OPB94" s="199"/>
      <c r="OPC94" s="199"/>
      <c r="OPD94" s="199"/>
      <c r="OPE94" s="199"/>
      <c r="OPF94" s="199"/>
      <c r="OPG94" s="199"/>
      <c r="OPH94" s="199"/>
      <c r="OPI94" s="199"/>
      <c r="OPJ94" s="199"/>
      <c r="OPK94" s="199"/>
      <c r="OPL94" s="199"/>
      <c r="OPM94" s="199"/>
      <c r="OPN94" s="199"/>
      <c r="OPO94" s="199"/>
      <c r="OPP94" s="199"/>
      <c r="OPQ94" s="199"/>
      <c r="OPR94" s="199"/>
      <c r="OPS94" s="199"/>
      <c r="OPT94" s="193"/>
      <c r="OPU94" s="193"/>
      <c r="OPV94" s="193"/>
      <c r="OPW94" s="193"/>
      <c r="OPX94" s="194"/>
      <c r="OPY94" s="194"/>
      <c r="OPZ94" s="196"/>
      <c r="OQA94" s="197"/>
      <c r="OQB94" s="197"/>
      <c r="OQC94" s="198"/>
      <c r="OQD94" s="198"/>
      <c r="OQE94" s="199"/>
      <c r="OQF94" s="199"/>
      <c r="OQG94" s="199"/>
      <c r="OQH94" s="199"/>
      <c r="OQI94" s="199"/>
      <c r="OQJ94" s="199"/>
      <c r="OQK94" s="199"/>
      <c r="OQL94" s="199"/>
      <c r="OQM94" s="199"/>
      <c r="OQN94" s="199"/>
      <c r="OQO94" s="199"/>
      <c r="OQP94" s="199"/>
      <c r="OQQ94" s="199"/>
      <c r="OQR94" s="199"/>
      <c r="OQS94" s="199"/>
      <c r="OQT94" s="199"/>
      <c r="OQU94" s="199"/>
      <c r="OQV94" s="199"/>
      <c r="OQW94" s="199"/>
      <c r="OQX94" s="199"/>
      <c r="OQY94" s="199"/>
      <c r="OQZ94" s="199"/>
      <c r="ORA94" s="199"/>
      <c r="ORB94" s="199"/>
      <c r="ORC94" s="199"/>
      <c r="ORD94" s="199"/>
      <c r="ORE94" s="199"/>
      <c r="ORF94" s="199"/>
      <c r="ORG94" s="199"/>
      <c r="ORH94" s="199"/>
      <c r="ORI94" s="199"/>
      <c r="ORJ94" s="199"/>
      <c r="ORK94" s="199"/>
      <c r="ORL94" s="199"/>
      <c r="ORM94" s="193"/>
      <c r="ORN94" s="193"/>
      <c r="ORO94" s="193"/>
      <c r="ORP94" s="193"/>
      <c r="ORQ94" s="194"/>
      <c r="ORR94" s="194"/>
      <c r="ORS94" s="196"/>
      <c r="ORT94" s="197"/>
      <c r="ORU94" s="197"/>
      <c r="ORV94" s="198"/>
      <c r="ORW94" s="198"/>
      <c r="ORX94" s="199"/>
      <c r="ORY94" s="199"/>
      <c r="ORZ94" s="199"/>
      <c r="OSA94" s="199"/>
      <c r="OSB94" s="199"/>
      <c r="OSC94" s="199"/>
      <c r="OSD94" s="199"/>
      <c r="OSE94" s="199"/>
      <c r="OSF94" s="199"/>
      <c r="OSG94" s="199"/>
      <c r="OSH94" s="199"/>
      <c r="OSI94" s="199"/>
      <c r="OSJ94" s="199"/>
      <c r="OSK94" s="199"/>
      <c r="OSL94" s="199"/>
      <c r="OSM94" s="199"/>
      <c r="OSN94" s="199"/>
      <c r="OSO94" s="199"/>
      <c r="OSP94" s="199"/>
      <c r="OSQ94" s="199"/>
      <c r="OSR94" s="199"/>
      <c r="OSS94" s="199"/>
      <c r="OST94" s="199"/>
      <c r="OSU94" s="199"/>
      <c r="OSV94" s="199"/>
      <c r="OSW94" s="199"/>
      <c r="OSX94" s="199"/>
      <c r="OSY94" s="199"/>
      <c r="OSZ94" s="199"/>
      <c r="OTA94" s="199"/>
      <c r="OTB94" s="199"/>
      <c r="OTC94" s="199"/>
      <c r="OTD94" s="199"/>
      <c r="OTE94" s="199"/>
      <c r="OTF94" s="193"/>
      <c r="OTG94" s="193"/>
      <c r="OTH94" s="193"/>
      <c r="OTI94" s="193"/>
      <c r="OTJ94" s="194"/>
      <c r="OTK94" s="194"/>
      <c r="OTL94" s="196"/>
      <c r="OTM94" s="197"/>
      <c r="OTN94" s="197"/>
      <c r="OTO94" s="198"/>
      <c r="OTP94" s="198"/>
      <c r="OTQ94" s="199"/>
      <c r="OTR94" s="199"/>
      <c r="OTS94" s="199"/>
      <c r="OTT94" s="199"/>
      <c r="OTU94" s="199"/>
      <c r="OTV94" s="199"/>
      <c r="OTW94" s="199"/>
      <c r="OTX94" s="199"/>
      <c r="OTY94" s="199"/>
      <c r="OTZ94" s="199"/>
      <c r="OUA94" s="199"/>
      <c r="OUB94" s="199"/>
      <c r="OUC94" s="199"/>
      <c r="OUD94" s="199"/>
      <c r="OUE94" s="199"/>
      <c r="OUF94" s="199"/>
      <c r="OUG94" s="199"/>
      <c r="OUH94" s="199"/>
      <c r="OUI94" s="199"/>
      <c r="OUJ94" s="199"/>
      <c r="OUK94" s="199"/>
      <c r="OUL94" s="199"/>
      <c r="OUM94" s="199"/>
      <c r="OUN94" s="199"/>
      <c r="OUO94" s="199"/>
      <c r="OUP94" s="199"/>
      <c r="OUQ94" s="199"/>
      <c r="OUR94" s="199"/>
      <c r="OUS94" s="199"/>
      <c r="OUT94" s="199"/>
      <c r="OUU94" s="199"/>
      <c r="OUV94" s="199"/>
      <c r="OUW94" s="199"/>
      <c r="OUX94" s="199"/>
      <c r="OUY94" s="193"/>
      <c r="OUZ94" s="193"/>
      <c r="OVA94" s="193"/>
      <c r="OVB94" s="193"/>
      <c r="OVC94" s="194"/>
      <c r="OVD94" s="194"/>
      <c r="OVE94" s="196"/>
      <c r="OVF94" s="197"/>
      <c r="OVG94" s="197"/>
      <c r="OVH94" s="198"/>
      <c r="OVI94" s="198"/>
      <c r="OVJ94" s="199"/>
      <c r="OVK94" s="199"/>
      <c r="OVL94" s="199"/>
      <c r="OVM94" s="199"/>
      <c r="OVN94" s="199"/>
      <c r="OVO94" s="199"/>
      <c r="OVP94" s="199"/>
      <c r="OVQ94" s="199"/>
      <c r="OVR94" s="199"/>
      <c r="OVS94" s="199"/>
      <c r="OVT94" s="199"/>
      <c r="OVU94" s="199"/>
      <c r="OVV94" s="199"/>
      <c r="OVW94" s="199"/>
      <c r="OVX94" s="199"/>
      <c r="OVY94" s="199"/>
      <c r="OVZ94" s="199"/>
      <c r="OWA94" s="199"/>
      <c r="OWB94" s="199"/>
      <c r="OWC94" s="199"/>
      <c r="OWD94" s="199"/>
      <c r="OWE94" s="199"/>
      <c r="OWF94" s="199"/>
      <c r="OWG94" s="199"/>
      <c r="OWH94" s="199"/>
      <c r="OWI94" s="199"/>
      <c r="OWJ94" s="199"/>
      <c r="OWK94" s="199"/>
      <c r="OWL94" s="199"/>
      <c r="OWM94" s="199"/>
      <c r="OWN94" s="199"/>
      <c r="OWO94" s="199"/>
      <c r="OWP94" s="199"/>
      <c r="OWQ94" s="199"/>
      <c r="OWR94" s="193"/>
      <c r="OWS94" s="193"/>
      <c r="OWT94" s="193"/>
      <c r="OWU94" s="193"/>
      <c r="OWV94" s="194"/>
      <c r="OWW94" s="194"/>
      <c r="OWX94" s="196"/>
      <c r="OWY94" s="197"/>
      <c r="OWZ94" s="197"/>
      <c r="OXA94" s="198"/>
      <c r="OXB94" s="198"/>
      <c r="OXC94" s="199"/>
      <c r="OXD94" s="199"/>
      <c r="OXE94" s="199"/>
      <c r="OXF94" s="199"/>
      <c r="OXG94" s="199"/>
      <c r="OXH94" s="199"/>
      <c r="OXI94" s="199"/>
      <c r="OXJ94" s="199"/>
      <c r="OXK94" s="199"/>
      <c r="OXL94" s="199"/>
      <c r="OXM94" s="199"/>
      <c r="OXN94" s="199"/>
      <c r="OXO94" s="199"/>
      <c r="OXP94" s="199"/>
      <c r="OXQ94" s="199"/>
      <c r="OXR94" s="199"/>
      <c r="OXS94" s="199"/>
      <c r="OXT94" s="199"/>
      <c r="OXU94" s="199"/>
      <c r="OXV94" s="199"/>
      <c r="OXW94" s="199"/>
      <c r="OXX94" s="199"/>
      <c r="OXY94" s="199"/>
      <c r="OXZ94" s="199"/>
      <c r="OYA94" s="199"/>
      <c r="OYB94" s="199"/>
      <c r="OYC94" s="199"/>
      <c r="OYD94" s="199"/>
      <c r="OYE94" s="199"/>
      <c r="OYF94" s="199"/>
      <c r="OYG94" s="199"/>
      <c r="OYH94" s="199"/>
      <c r="OYI94" s="199"/>
      <c r="OYJ94" s="199"/>
      <c r="OYK94" s="193"/>
      <c r="OYL94" s="193"/>
      <c r="OYM94" s="193"/>
      <c r="OYN94" s="193"/>
      <c r="OYO94" s="194"/>
      <c r="OYP94" s="194"/>
      <c r="OYQ94" s="196"/>
      <c r="OYR94" s="197"/>
      <c r="OYS94" s="197"/>
      <c r="OYT94" s="198"/>
      <c r="OYU94" s="198"/>
      <c r="OYV94" s="199"/>
      <c r="OYW94" s="199"/>
      <c r="OYX94" s="199"/>
      <c r="OYY94" s="199"/>
      <c r="OYZ94" s="199"/>
      <c r="OZA94" s="199"/>
      <c r="OZB94" s="199"/>
      <c r="OZC94" s="199"/>
      <c r="OZD94" s="199"/>
      <c r="OZE94" s="199"/>
      <c r="OZF94" s="199"/>
      <c r="OZG94" s="199"/>
      <c r="OZH94" s="199"/>
      <c r="OZI94" s="199"/>
      <c r="OZJ94" s="199"/>
      <c r="OZK94" s="199"/>
      <c r="OZL94" s="199"/>
      <c r="OZM94" s="199"/>
      <c r="OZN94" s="199"/>
      <c r="OZO94" s="199"/>
      <c r="OZP94" s="199"/>
      <c r="OZQ94" s="199"/>
      <c r="OZR94" s="199"/>
      <c r="OZS94" s="199"/>
      <c r="OZT94" s="199"/>
      <c r="OZU94" s="199"/>
      <c r="OZV94" s="199"/>
      <c r="OZW94" s="199"/>
      <c r="OZX94" s="199"/>
      <c r="OZY94" s="199"/>
      <c r="OZZ94" s="199"/>
      <c r="PAA94" s="199"/>
      <c r="PAB94" s="199"/>
      <c r="PAC94" s="199"/>
      <c r="PAD94" s="193"/>
      <c r="PAE94" s="193"/>
      <c r="PAF94" s="193"/>
      <c r="PAG94" s="193"/>
      <c r="PAH94" s="194"/>
      <c r="PAI94" s="194"/>
      <c r="PAJ94" s="196"/>
      <c r="PAK94" s="197"/>
      <c r="PAL94" s="197"/>
      <c r="PAM94" s="198"/>
      <c r="PAN94" s="198"/>
      <c r="PAO94" s="199"/>
      <c r="PAP94" s="199"/>
      <c r="PAQ94" s="199"/>
      <c r="PAR94" s="199"/>
      <c r="PAS94" s="199"/>
      <c r="PAT94" s="199"/>
      <c r="PAU94" s="199"/>
      <c r="PAV94" s="199"/>
      <c r="PAW94" s="199"/>
      <c r="PAX94" s="199"/>
      <c r="PAY94" s="199"/>
      <c r="PAZ94" s="199"/>
      <c r="PBA94" s="199"/>
      <c r="PBB94" s="199"/>
      <c r="PBC94" s="199"/>
      <c r="PBD94" s="199"/>
      <c r="PBE94" s="199"/>
      <c r="PBF94" s="199"/>
      <c r="PBG94" s="199"/>
      <c r="PBH94" s="199"/>
      <c r="PBI94" s="199"/>
      <c r="PBJ94" s="199"/>
      <c r="PBK94" s="199"/>
      <c r="PBL94" s="199"/>
      <c r="PBM94" s="199"/>
      <c r="PBN94" s="199"/>
      <c r="PBO94" s="199"/>
      <c r="PBP94" s="199"/>
      <c r="PBQ94" s="199"/>
      <c r="PBR94" s="199"/>
      <c r="PBS94" s="199"/>
      <c r="PBT94" s="199"/>
      <c r="PBU94" s="199"/>
      <c r="PBV94" s="199"/>
      <c r="PBW94" s="193"/>
      <c r="PBX94" s="193"/>
      <c r="PBY94" s="193"/>
      <c r="PBZ94" s="193"/>
      <c r="PCA94" s="194"/>
      <c r="PCB94" s="194"/>
      <c r="PCC94" s="196"/>
      <c r="PCD94" s="197"/>
      <c r="PCE94" s="197"/>
      <c r="PCF94" s="198"/>
      <c r="PCG94" s="198"/>
      <c r="PCH94" s="199"/>
      <c r="PCI94" s="199"/>
      <c r="PCJ94" s="199"/>
      <c r="PCK94" s="199"/>
      <c r="PCL94" s="199"/>
      <c r="PCM94" s="199"/>
      <c r="PCN94" s="199"/>
      <c r="PCO94" s="199"/>
      <c r="PCP94" s="199"/>
      <c r="PCQ94" s="199"/>
      <c r="PCR94" s="199"/>
      <c r="PCS94" s="199"/>
      <c r="PCT94" s="199"/>
      <c r="PCU94" s="199"/>
      <c r="PCV94" s="199"/>
      <c r="PCW94" s="199"/>
      <c r="PCX94" s="199"/>
      <c r="PCY94" s="199"/>
      <c r="PCZ94" s="199"/>
      <c r="PDA94" s="199"/>
      <c r="PDB94" s="199"/>
      <c r="PDC94" s="199"/>
      <c r="PDD94" s="199"/>
      <c r="PDE94" s="199"/>
      <c r="PDF94" s="199"/>
      <c r="PDG94" s="199"/>
      <c r="PDH94" s="199"/>
      <c r="PDI94" s="199"/>
      <c r="PDJ94" s="199"/>
      <c r="PDK94" s="199"/>
      <c r="PDL94" s="199"/>
      <c r="PDM94" s="199"/>
      <c r="PDN94" s="199"/>
      <c r="PDO94" s="199"/>
      <c r="PDP94" s="193"/>
      <c r="PDQ94" s="193"/>
      <c r="PDR94" s="193"/>
      <c r="PDS94" s="193"/>
      <c r="PDT94" s="194"/>
      <c r="PDU94" s="194"/>
      <c r="PDV94" s="196"/>
      <c r="PDW94" s="197"/>
      <c r="PDX94" s="197"/>
      <c r="PDY94" s="198"/>
      <c r="PDZ94" s="198"/>
      <c r="PEA94" s="199"/>
      <c r="PEB94" s="199"/>
      <c r="PEC94" s="199"/>
      <c r="PED94" s="199"/>
      <c r="PEE94" s="199"/>
      <c r="PEF94" s="199"/>
      <c r="PEG94" s="199"/>
      <c r="PEH94" s="199"/>
      <c r="PEI94" s="199"/>
      <c r="PEJ94" s="199"/>
      <c r="PEK94" s="199"/>
      <c r="PEL94" s="199"/>
      <c r="PEM94" s="199"/>
      <c r="PEN94" s="199"/>
      <c r="PEO94" s="199"/>
      <c r="PEP94" s="199"/>
      <c r="PEQ94" s="199"/>
      <c r="PER94" s="199"/>
      <c r="PES94" s="199"/>
      <c r="PET94" s="199"/>
      <c r="PEU94" s="199"/>
      <c r="PEV94" s="199"/>
      <c r="PEW94" s="199"/>
      <c r="PEX94" s="199"/>
      <c r="PEY94" s="199"/>
      <c r="PEZ94" s="199"/>
      <c r="PFA94" s="199"/>
      <c r="PFB94" s="199"/>
      <c r="PFC94" s="199"/>
      <c r="PFD94" s="199"/>
      <c r="PFE94" s="199"/>
      <c r="PFF94" s="199"/>
      <c r="PFG94" s="199"/>
      <c r="PFH94" s="199"/>
      <c r="PFI94" s="193"/>
      <c r="PFJ94" s="193"/>
      <c r="PFK94" s="193"/>
      <c r="PFL94" s="193"/>
      <c r="PFM94" s="194"/>
      <c r="PFN94" s="194"/>
      <c r="PFO94" s="196"/>
      <c r="PFP94" s="197"/>
      <c r="PFQ94" s="197"/>
      <c r="PFR94" s="198"/>
      <c r="PFS94" s="198"/>
      <c r="PFT94" s="199"/>
      <c r="PFU94" s="199"/>
      <c r="PFV94" s="199"/>
      <c r="PFW94" s="199"/>
      <c r="PFX94" s="199"/>
      <c r="PFY94" s="199"/>
      <c r="PFZ94" s="199"/>
      <c r="PGA94" s="199"/>
      <c r="PGB94" s="199"/>
      <c r="PGC94" s="199"/>
      <c r="PGD94" s="199"/>
      <c r="PGE94" s="199"/>
      <c r="PGF94" s="199"/>
      <c r="PGG94" s="199"/>
      <c r="PGH94" s="199"/>
      <c r="PGI94" s="199"/>
      <c r="PGJ94" s="199"/>
      <c r="PGK94" s="199"/>
      <c r="PGL94" s="199"/>
      <c r="PGM94" s="199"/>
      <c r="PGN94" s="199"/>
      <c r="PGO94" s="199"/>
      <c r="PGP94" s="199"/>
      <c r="PGQ94" s="199"/>
      <c r="PGR94" s="199"/>
      <c r="PGS94" s="199"/>
      <c r="PGT94" s="199"/>
      <c r="PGU94" s="199"/>
      <c r="PGV94" s="199"/>
      <c r="PGW94" s="199"/>
      <c r="PGX94" s="199"/>
      <c r="PGY94" s="199"/>
      <c r="PGZ94" s="199"/>
      <c r="PHA94" s="199"/>
      <c r="PHB94" s="193"/>
      <c r="PHC94" s="193"/>
      <c r="PHD94" s="193"/>
      <c r="PHE94" s="193"/>
      <c r="PHF94" s="194"/>
      <c r="PHG94" s="194"/>
      <c r="PHH94" s="196"/>
      <c r="PHI94" s="197"/>
      <c r="PHJ94" s="197"/>
      <c r="PHK94" s="198"/>
      <c r="PHL94" s="198"/>
      <c r="PHM94" s="199"/>
      <c r="PHN94" s="199"/>
      <c r="PHO94" s="199"/>
      <c r="PHP94" s="199"/>
      <c r="PHQ94" s="199"/>
      <c r="PHR94" s="199"/>
      <c r="PHS94" s="199"/>
      <c r="PHT94" s="199"/>
      <c r="PHU94" s="199"/>
      <c r="PHV94" s="199"/>
      <c r="PHW94" s="199"/>
      <c r="PHX94" s="199"/>
      <c r="PHY94" s="199"/>
      <c r="PHZ94" s="199"/>
      <c r="PIA94" s="199"/>
      <c r="PIB94" s="199"/>
      <c r="PIC94" s="199"/>
      <c r="PID94" s="199"/>
      <c r="PIE94" s="199"/>
      <c r="PIF94" s="199"/>
      <c r="PIG94" s="199"/>
      <c r="PIH94" s="199"/>
      <c r="PII94" s="199"/>
      <c r="PIJ94" s="199"/>
      <c r="PIK94" s="199"/>
      <c r="PIL94" s="199"/>
      <c r="PIM94" s="199"/>
      <c r="PIN94" s="199"/>
      <c r="PIO94" s="199"/>
      <c r="PIP94" s="199"/>
      <c r="PIQ94" s="199"/>
      <c r="PIR94" s="199"/>
      <c r="PIS94" s="199"/>
      <c r="PIT94" s="199"/>
      <c r="PIU94" s="193"/>
      <c r="PIV94" s="193"/>
      <c r="PIW94" s="193"/>
      <c r="PIX94" s="193"/>
      <c r="PIY94" s="194"/>
      <c r="PIZ94" s="194"/>
      <c r="PJA94" s="196"/>
      <c r="PJB94" s="197"/>
      <c r="PJC94" s="197"/>
      <c r="PJD94" s="198"/>
      <c r="PJE94" s="198"/>
      <c r="PJF94" s="199"/>
      <c r="PJG94" s="199"/>
      <c r="PJH94" s="199"/>
      <c r="PJI94" s="199"/>
      <c r="PJJ94" s="199"/>
      <c r="PJK94" s="199"/>
      <c r="PJL94" s="199"/>
      <c r="PJM94" s="199"/>
      <c r="PJN94" s="199"/>
      <c r="PJO94" s="199"/>
      <c r="PJP94" s="199"/>
      <c r="PJQ94" s="199"/>
      <c r="PJR94" s="199"/>
      <c r="PJS94" s="199"/>
      <c r="PJT94" s="199"/>
      <c r="PJU94" s="199"/>
      <c r="PJV94" s="199"/>
      <c r="PJW94" s="199"/>
      <c r="PJX94" s="199"/>
      <c r="PJY94" s="199"/>
      <c r="PJZ94" s="199"/>
      <c r="PKA94" s="199"/>
      <c r="PKB94" s="199"/>
      <c r="PKC94" s="199"/>
      <c r="PKD94" s="199"/>
      <c r="PKE94" s="199"/>
      <c r="PKF94" s="199"/>
      <c r="PKG94" s="199"/>
      <c r="PKH94" s="199"/>
      <c r="PKI94" s="199"/>
      <c r="PKJ94" s="199"/>
      <c r="PKK94" s="199"/>
      <c r="PKL94" s="199"/>
      <c r="PKM94" s="199"/>
      <c r="PKN94" s="193"/>
      <c r="PKO94" s="193"/>
      <c r="PKP94" s="193"/>
      <c r="PKQ94" s="193"/>
      <c r="PKR94" s="194"/>
      <c r="PKS94" s="194"/>
      <c r="PKT94" s="196"/>
      <c r="PKU94" s="197"/>
      <c r="PKV94" s="197"/>
      <c r="PKW94" s="198"/>
      <c r="PKX94" s="198"/>
      <c r="PKY94" s="199"/>
      <c r="PKZ94" s="199"/>
      <c r="PLA94" s="199"/>
      <c r="PLB94" s="199"/>
      <c r="PLC94" s="199"/>
      <c r="PLD94" s="199"/>
      <c r="PLE94" s="199"/>
      <c r="PLF94" s="199"/>
      <c r="PLG94" s="199"/>
      <c r="PLH94" s="199"/>
      <c r="PLI94" s="199"/>
      <c r="PLJ94" s="199"/>
      <c r="PLK94" s="199"/>
      <c r="PLL94" s="199"/>
      <c r="PLM94" s="199"/>
      <c r="PLN94" s="199"/>
      <c r="PLO94" s="199"/>
      <c r="PLP94" s="199"/>
      <c r="PLQ94" s="199"/>
      <c r="PLR94" s="199"/>
      <c r="PLS94" s="199"/>
      <c r="PLT94" s="199"/>
      <c r="PLU94" s="199"/>
      <c r="PLV94" s="199"/>
      <c r="PLW94" s="199"/>
      <c r="PLX94" s="199"/>
      <c r="PLY94" s="199"/>
      <c r="PLZ94" s="199"/>
      <c r="PMA94" s="199"/>
      <c r="PMB94" s="199"/>
      <c r="PMC94" s="199"/>
      <c r="PMD94" s="199"/>
      <c r="PME94" s="199"/>
      <c r="PMF94" s="199"/>
      <c r="PMG94" s="193"/>
      <c r="PMH94" s="193"/>
      <c r="PMI94" s="193"/>
      <c r="PMJ94" s="193"/>
      <c r="PMK94" s="194"/>
      <c r="PML94" s="194"/>
      <c r="PMM94" s="196"/>
      <c r="PMN94" s="197"/>
      <c r="PMO94" s="197"/>
      <c r="PMP94" s="198"/>
      <c r="PMQ94" s="198"/>
      <c r="PMR94" s="199"/>
      <c r="PMS94" s="199"/>
      <c r="PMT94" s="199"/>
      <c r="PMU94" s="199"/>
      <c r="PMV94" s="199"/>
      <c r="PMW94" s="199"/>
      <c r="PMX94" s="199"/>
      <c r="PMY94" s="199"/>
      <c r="PMZ94" s="199"/>
      <c r="PNA94" s="199"/>
      <c r="PNB94" s="199"/>
      <c r="PNC94" s="199"/>
      <c r="PND94" s="199"/>
      <c r="PNE94" s="199"/>
      <c r="PNF94" s="199"/>
      <c r="PNG94" s="199"/>
      <c r="PNH94" s="199"/>
      <c r="PNI94" s="199"/>
      <c r="PNJ94" s="199"/>
      <c r="PNK94" s="199"/>
      <c r="PNL94" s="199"/>
      <c r="PNM94" s="199"/>
      <c r="PNN94" s="199"/>
      <c r="PNO94" s="199"/>
      <c r="PNP94" s="199"/>
      <c r="PNQ94" s="199"/>
      <c r="PNR94" s="199"/>
      <c r="PNS94" s="199"/>
      <c r="PNT94" s="199"/>
      <c r="PNU94" s="199"/>
      <c r="PNV94" s="199"/>
      <c r="PNW94" s="199"/>
      <c r="PNX94" s="199"/>
      <c r="PNY94" s="199"/>
      <c r="PNZ94" s="193"/>
      <c r="POA94" s="193"/>
      <c r="POB94" s="193"/>
      <c r="POC94" s="193"/>
      <c r="POD94" s="194"/>
      <c r="POE94" s="194"/>
      <c r="POF94" s="196"/>
      <c r="POG94" s="197"/>
      <c r="POH94" s="197"/>
      <c r="POI94" s="198"/>
      <c r="POJ94" s="198"/>
      <c r="POK94" s="199"/>
      <c r="POL94" s="199"/>
      <c r="POM94" s="199"/>
      <c r="PON94" s="199"/>
      <c r="POO94" s="199"/>
      <c r="POP94" s="199"/>
      <c r="POQ94" s="199"/>
      <c r="POR94" s="199"/>
      <c r="POS94" s="199"/>
      <c r="POT94" s="199"/>
      <c r="POU94" s="199"/>
      <c r="POV94" s="199"/>
      <c r="POW94" s="199"/>
      <c r="POX94" s="199"/>
      <c r="POY94" s="199"/>
      <c r="POZ94" s="199"/>
      <c r="PPA94" s="199"/>
      <c r="PPB94" s="199"/>
      <c r="PPC94" s="199"/>
      <c r="PPD94" s="199"/>
      <c r="PPE94" s="199"/>
      <c r="PPF94" s="199"/>
      <c r="PPG94" s="199"/>
      <c r="PPH94" s="199"/>
      <c r="PPI94" s="199"/>
      <c r="PPJ94" s="199"/>
      <c r="PPK94" s="199"/>
      <c r="PPL94" s="199"/>
      <c r="PPM94" s="199"/>
      <c r="PPN94" s="199"/>
      <c r="PPO94" s="199"/>
      <c r="PPP94" s="199"/>
      <c r="PPQ94" s="199"/>
      <c r="PPR94" s="199"/>
      <c r="PPS94" s="193"/>
      <c r="PPT94" s="193"/>
      <c r="PPU94" s="193"/>
      <c r="PPV94" s="193"/>
      <c r="PPW94" s="194"/>
      <c r="PPX94" s="194"/>
      <c r="PPY94" s="196"/>
      <c r="PPZ94" s="197"/>
      <c r="PQA94" s="197"/>
      <c r="PQB94" s="198"/>
      <c r="PQC94" s="198"/>
      <c r="PQD94" s="199"/>
      <c r="PQE94" s="199"/>
      <c r="PQF94" s="199"/>
      <c r="PQG94" s="199"/>
      <c r="PQH94" s="199"/>
      <c r="PQI94" s="199"/>
      <c r="PQJ94" s="199"/>
      <c r="PQK94" s="199"/>
      <c r="PQL94" s="199"/>
      <c r="PQM94" s="199"/>
      <c r="PQN94" s="199"/>
      <c r="PQO94" s="199"/>
      <c r="PQP94" s="199"/>
      <c r="PQQ94" s="199"/>
      <c r="PQR94" s="199"/>
      <c r="PQS94" s="199"/>
      <c r="PQT94" s="199"/>
      <c r="PQU94" s="199"/>
      <c r="PQV94" s="199"/>
      <c r="PQW94" s="199"/>
      <c r="PQX94" s="199"/>
      <c r="PQY94" s="199"/>
      <c r="PQZ94" s="199"/>
      <c r="PRA94" s="199"/>
      <c r="PRB94" s="199"/>
      <c r="PRC94" s="199"/>
      <c r="PRD94" s="199"/>
      <c r="PRE94" s="199"/>
      <c r="PRF94" s="199"/>
      <c r="PRG94" s="199"/>
      <c r="PRH94" s="199"/>
      <c r="PRI94" s="199"/>
      <c r="PRJ94" s="199"/>
      <c r="PRK94" s="199"/>
      <c r="PRL94" s="193"/>
      <c r="PRM94" s="193"/>
      <c r="PRN94" s="193"/>
      <c r="PRO94" s="193"/>
      <c r="PRP94" s="194"/>
      <c r="PRQ94" s="194"/>
      <c r="PRR94" s="196"/>
      <c r="PRS94" s="197"/>
      <c r="PRT94" s="197"/>
      <c r="PRU94" s="198"/>
      <c r="PRV94" s="198"/>
      <c r="PRW94" s="199"/>
      <c r="PRX94" s="199"/>
      <c r="PRY94" s="199"/>
      <c r="PRZ94" s="199"/>
      <c r="PSA94" s="199"/>
      <c r="PSB94" s="199"/>
      <c r="PSC94" s="199"/>
      <c r="PSD94" s="199"/>
      <c r="PSE94" s="199"/>
      <c r="PSF94" s="199"/>
      <c r="PSG94" s="199"/>
      <c r="PSH94" s="199"/>
      <c r="PSI94" s="199"/>
      <c r="PSJ94" s="199"/>
      <c r="PSK94" s="199"/>
      <c r="PSL94" s="199"/>
      <c r="PSM94" s="199"/>
      <c r="PSN94" s="199"/>
      <c r="PSO94" s="199"/>
      <c r="PSP94" s="199"/>
      <c r="PSQ94" s="199"/>
      <c r="PSR94" s="199"/>
      <c r="PSS94" s="199"/>
      <c r="PST94" s="199"/>
      <c r="PSU94" s="199"/>
      <c r="PSV94" s="199"/>
      <c r="PSW94" s="199"/>
      <c r="PSX94" s="199"/>
      <c r="PSY94" s="199"/>
      <c r="PSZ94" s="199"/>
      <c r="PTA94" s="199"/>
      <c r="PTB94" s="199"/>
      <c r="PTC94" s="199"/>
      <c r="PTD94" s="199"/>
      <c r="PTE94" s="193"/>
      <c r="PTF94" s="193"/>
      <c r="PTG94" s="193"/>
      <c r="PTH94" s="193"/>
      <c r="PTI94" s="194"/>
      <c r="PTJ94" s="194"/>
      <c r="PTK94" s="196"/>
      <c r="PTL94" s="197"/>
      <c r="PTM94" s="197"/>
      <c r="PTN94" s="198"/>
      <c r="PTO94" s="198"/>
      <c r="PTP94" s="199"/>
      <c r="PTQ94" s="199"/>
      <c r="PTR94" s="199"/>
      <c r="PTS94" s="199"/>
      <c r="PTT94" s="199"/>
      <c r="PTU94" s="199"/>
      <c r="PTV94" s="199"/>
      <c r="PTW94" s="199"/>
      <c r="PTX94" s="199"/>
      <c r="PTY94" s="199"/>
      <c r="PTZ94" s="199"/>
      <c r="PUA94" s="199"/>
      <c r="PUB94" s="199"/>
      <c r="PUC94" s="199"/>
      <c r="PUD94" s="199"/>
      <c r="PUE94" s="199"/>
      <c r="PUF94" s="199"/>
      <c r="PUG94" s="199"/>
      <c r="PUH94" s="199"/>
      <c r="PUI94" s="199"/>
      <c r="PUJ94" s="199"/>
      <c r="PUK94" s="199"/>
      <c r="PUL94" s="199"/>
      <c r="PUM94" s="199"/>
      <c r="PUN94" s="199"/>
      <c r="PUO94" s="199"/>
      <c r="PUP94" s="199"/>
      <c r="PUQ94" s="199"/>
      <c r="PUR94" s="199"/>
      <c r="PUS94" s="199"/>
      <c r="PUT94" s="199"/>
      <c r="PUU94" s="199"/>
      <c r="PUV94" s="199"/>
      <c r="PUW94" s="199"/>
      <c r="PUX94" s="193"/>
      <c r="PUY94" s="193"/>
      <c r="PUZ94" s="193"/>
      <c r="PVA94" s="193"/>
      <c r="PVB94" s="194"/>
      <c r="PVC94" s="194"/>
      <c r="PVD94" s="196"/>
      <c r="PVE94" s="197"/>
      <c r="PVF94" s="197"/>
      <c r="PVG94" s="198"/>
      <c r="PVH94" s="198"/>
      <c r="PVI94" s="199"/>
      <c r="PVJ94" s="199"/>
      <c r="PVK94" s="199"/>
      <c r="PVL94" s="199"/>
      <c r="PVM94" s="199"/>
      <c r="PVN94" s="199"/>
      <c r="PVO94" s="199"/>
      <c r="PVP94" s="199"/>
      <c r="PVQ94" s="199"/>
      <c r="PVR94" s="199"/>
      <c r="PVS94" s="199"/>
      <c r="PVT94" s="199"/>
      <c r="PVU94" s="199"/>
      <c r="PVV94" s="199"/>
      <c r="PVW94" s="199"/>
      <c r="PVX94" s="199"/>
      <c r="PVY94" s="199"/>
      <c r="PVZ94" s="199"/>
      <c r="PWA94" s="199"/>
      <c r="PWB94" s="199"/>
      <c r="PWC94" s="199"/>
      <c r="PWD94" s="199"/>
      <c r="PWE94" s="199"/>
      <c r="PWF94" s="199"/>
      <c r="PWG94" s="199"/>
      <c r="PWH94" s="199"/>
      <c r="PWI94" s="199"/>
      <c r="PWJ94" s="199"/>
      <c r="PWK94" s="199"/>
      <c r="PWL94" s="199"/>
      <c r="PWM94" s="199"/>
      <c r="PWN94" s="199"/>
      <c r="PWO94" s="199"/>
      <c r="PWP94" s="199"/>
      <c r="PWQ94" s="193"/>
      <c r="PWR94" s="193"/>
      <c r="PWS94" s="193"/>
      <c r="PWT94" s="193"/>
      <c r="PWU94" s="194"/>
      <c r="PWV94" s="194"/>
      <c r="PWW94" s="196"/>
      <c r="PWX94" s="197"/>
      <c r="PWY94" s="197"/>
      <c r="PWZ94" s="198"/>
      <c r="PXA94" s="198"/>
      <c r="PXB94" s="199"/>
      <c r="PXC94" s="199"/>
      <c r="PXD94" s="199"/>
      <c r="PXE94" s="199"/>
      <c r="PXF94" s="199"/>
      <c r="PXG94" s="199"/>
      <c r="PXH94" s="199"/>
      <c r="PXI94" s="199"/>
      <c r="PXJ94" s="199"/>
      <c r="PXK94" s="199"/>
      <c r="PXL94" s="199"/>
      <c r="PXM94" s="199"/>
      <c r="PXN94" s="199"/>
      <c r="PXO94" s="199"/>
      <c r="PXP94" s="199"/>
      <c r="PXQ94" s="199"/>
      <c r="PXR94" s="199"/>
      <c r="PXS94" s="199"/>
      <c r="PXT94" s="199"/>
      <c r="PXU94" s="199"/>
      <c r="PXV94" s="199"/>
      <c r="PXW94" s="199"/>
      <c r="PXX94" s="199"/>
      <c r="PXY94" s="199"/>
      <c r="PXZ94" s="199"/>
      <c r="PYA94" s="199"/>
      <c r="PYB94" s="199"/>
      <c r="PYC94" s="199"/>
      <c r="PYD94" s="199"/>
      <c r="PYE94" s="199"/>
      <c r="PYF94" s="199"/>
      <c r="PYG94" s="199"/>
      <c r="PYH94" s="199"/>
      <c r="PYI94" s="199"/>
      <c r="PYJ94" s="193"/>
      <c r="PYK94" s="193"/>
      <c r="PYL94" s="193"/>
      <c r="PYM94" s="193"/>
      <c r="PYN94" s="194"/>
      <c r="PYO94" s="194"/>
      <c r="PYP94" s="196"/>
      <c r="PYQ94" s="197"/>
      <c r="PYR94" s="197"/>
      <c r="PYS94" s="198"/>
      <c r="PYT94" s="198"/>
      <c r="PYU94" s="199"/>
      <c r="PYV94" s="199"/>
      <c r="PYW94" s="199"/>
      <c r="PYX94" s="199"/>
      <c r="PYY94" s="199"/>
      <c r="PYZ94" s="199"/>
      <c r="PZA94" s="199"/>
      <c r="PZB94" s="199"/>
      <c r="PZC94" s="199"/>
      <c r="PZD94" s="199"/>
      <c r="PZE94" s="199"/>
      <c r="PZF94" s="199"/>
      <c r="PZG94" s="199"/>
      <c r="PZH94" s="199"/>
      <c r="PZI94" s="199"/>
      <c r="PZJ94" s="199"/>
      <c r="PZK94" s="199"/>
      <c r="PZL94" s="199"/>
      <c r="PZM94" s="199"/>
      <c r="PZN94" s="199"/>
      <c r="PZO94" s="199"/>
      <c r="PZP94" s="199"/>
      <c r="PZQ94" s="199"/>
      <c r="PZR94" s="199"/>
      <c r="PZS94" s="199"/>
      <c r="PZT94" s="199"/>
      <c r="PZU94" s="199"/>
      <c r="PZV94" s="199"/>
      <c r="PZW94" s="199"/>
      <c r="PZX94" s="199"/>
      <c r="PZY94" s="199"/>
      <c r="PZZ94" s="199"/>
      <c r="QAA94" s="199"/>
      <c r="QAB94" s="199"/>
      <c r="QAC94" s="193"/>
      <c r="QAD94" s="193"/>
      <c r="QAE94" s="193"/>
      <c r="QAF94" s="193"/>
      <c r="QAG94" s="194"/>
      <c r="QAH94" s="194"/>
      <c r="QAI94" s="196"/>
      <c r="QAJ94" s="197"/>
      <c r="QAK94" s="197"/>
      <c r="QAL94" s="198"/>
      <c r="QAM94" s="198"/>
      <c r="QAN94" s="199"/>
      <c r="QAO94" s="199"/>
      <c r="QAP94" s="199"/>
      <c r="QAQ94" s="199"/>
      <c r="QAR94" s="199"/>
      <c r="QAS94" s="199"/>
      <c r="QAT94" s="199"/>
      <c r="QAU94" s="199"/>
      <c r="QAV94" s="199"/>
      <c r="QAW94" s="199"/>
      <c r="QAX94" s="199"/>
      <c r="QAY94" s="199"/>
      <c r="QAZ94" s="199"/>
      <c r="QBA94" s="199"/>
      <c r="QBB94" s="199"/>
      <c r="QBC94" s="199"/>
      <c r="QBD94" s="199"/>
      <c r="QBE94" s="199"/>
      <c r="QBF94" s="199"/>
      <c r="QBG94" s="199"/>
      <c r="QBH94" s="199"/>
      <c r="QBI94" s="199"/>
      <c r="QBJ94" s="199"/>
      <c r="QBK94" s="199"/>
      <c r="QBL94" s="199"/>
      <c r="QBM94" s="199"/>
      <c r="QBN94" s="199"/>
      <c r="QBO94" s="199"/>
      <c r="QBP94" s="199"/>
      <c r="QBQ94" s="199"/>
      <c r="QBR94" s="199"/>
      <c r="QBS94" s="199"/>
      <c r="QBT94" s="199"/>
      <c r="QBU94" s="199"/>
      <c r="QBV94" s="193"/>
      <c r="QBW94" s="193"/>
      <c r="QBX94" s="193"/>
      <c r="QBY94" s="193"/>
      <c r="QBZ94" s="194"/>
      <c r="QCA94" s="194"/>
      <c r="QCB94" s="196"/>
      <c r="QCC94" s="197"/>
      <c r="QCD94" s="197"/>
      <c r="QCE94" s="198"/>
      <c r="QCF94" s="198"/>
      <c r="QCG94" s="199"/>
      <c r="QCH94" s="199"/>
      <c r="QCI94" s="199"/>
      <c r="QCJ94" s="199"/>
      <c r="QCK94" s="199"/>
      <c r="QCL94" s="199"/>
      <c r="QCM94" s="199"/>
      <c r="QCN94" s="199"/>
      <c r="QCO94" s="199"/>
      <c r="QCP94" s="199"/>
      <c r="QCQ94" s="199"/>
      <c r="QCR94" s="199"/>
      <c r="QCS94" s="199"/>
      <c r="QCT94" s="199"/>
      <c r="QCU94" s="199"/>
      <c r="QCV94" s="199"/>
      <c r="QCW94" s="199"/>
      <c r="QCX94" s="199"/>
      <c r="QCY94" s="199"/>
      <c r="QCZ94" s="199"/>
      <c r="QDA94" s="199"/>
      <c r="QDB94" s="199"/>
      <c r="QDC94" s="199"/>
      <c r="QDD94" s="199"/>
      <c r="QDE94" s="199"/>
      <c r="QDF94" s="199"/>
      <c r="QDG94" s="199"/>
      <c r="QDH94" s="199"/>
      <c r="QDI94" s="199"/>
      <c r="QDJ94" s="199"/>
      <c r="QDK94" s="199"/>
      <c r="QDL94" s="199"/>
      <c r="QDM94" s="199"/>
      <c r="QDN94" s="199"/>
      <c r="QDO94" s="193"/>
      <c r="QDP94" s="193"/>
      <c r="QDQ94" s="193"/>
      <c r="QDR94" s="193"/>
      <c r="QDS94" s="194"/>
      <c r="QDT94" s="194"/>
      <c r="QDU94" s="196"/>
      <c r="QDV94" s="197"/>
      <c r="QDW94" s="197"/>
      <c r="QDX94" s="198"/>
      <c r="QDY94" s="198"/>
      <c r="QDZ94" s="199"/>
      <c r="QEA94" s="199"/>
      <c r="QEB94" s="199"/>
      <c r="QEC94" s="199"/>
      <c r="QED94" s="199"/>
      <c r="QEE94" s="199"/>
      <c r="QEF94" s="199"/>
      <c r="QEG94" s="199"/>
      <c r="QEH94" s="199"/>
      <c r="QEI94" s="199"/>
      <c r="QEJ94" s="199"/>
      <c r="QEK94" s="199"/>
      <c r="QEL94" s="199"/>
      <c r="QEM94" s="199"/>
      <c r="QEN94" s="199"/>
      <c r="QEO94" s="199"/>
      <c r="QEP94" s="199"/>
      <c r="QEQ94" s="199"/>
      <c r="QER94" s="199"/>
      <c r="QES94" s="199"/>
      <c r="QET94" s="199"/>
      <c r="QEU94" s="199"/>
      <c r="QEV94" s="199"/>
      <c r="QEW94" s="199"/>
      <c r="QEX94" s="199"/>
      <c r="QEY94" s="199"/>
      <c r="QEZ94" s="199"/>
      <c r="QFA94" s="199"/>
      <c r="QFB94" s="199"/>
      <c r="QFC94" s="199"/>
      <c r="QFD94" s="199"/>
      <c r="QFE94" s="199"/>
      <c r="QFF94" s="199"/>
      <c r="QFG94" s="199"/>
      <c r="QFH94" s="193"/>
      <c r="QFI94" s="193"/>
      <c r="QFJ94" s="193"/>
      <c r="QFK94" s="193"/>
      <c r="QFL94" s="194"/>
      <c r="QFM94" s="194"/>
      <c r="QFN94" s="196"/>
      <c r="QFO94" s="197"/>
      <c r="QFP94" s="197"/>
      <c r="QFQ94" s="198"/>
      <c r="QFR94" s="198"/>
      <c r="QFS94" s="199"/>
      <c r="QFT94" s="199"/>
      <c r="QFU94" s="199"/>
      <c r="QFV94" s="199"/>
      <c r="QFW94" s="199"/>
      <c r="QFX94" s="199"/>
      <c r="QFY94" s="199"/>
      <c r="QFZ94" s="199"/>
      <c r="QGA94" s="199"/>
      <c r="QGB94" s="199"/>
      <c r="QGC94" s="199"/>
      <c r="QGD94" s="199"/>
      <c r="QGE94" s="199"/>
      <c r="QGF94" s="199"/>
      <c r="QGG94" s="199"/>
      <c r="QGH94" s="199"/>
      <c r="QGI94" s="199"/>
      <c r="QGJ94" s="199"/>
      <c r="QGK94" s="199"/>
      <c r="QGL94" s="199"/>
      <c r="QGM94" s="199"/>
      <c r="QGN94" s="199"/>
      <c r="QGO94" s="199"/>
      <c r="QGP94" s="199"/>
      <c r="QGQ94" s="199"/>
      <c r="QGR94" s="199"/>
      <c r="QGS94" s="199"/>
      <c r="QGT94" s="199"/>
      <c r="QGU94" s="199"/>
      <c r="QGV94" s="199"/>
      <c r="QGW94" s="199"/>
      <c r="QGX94" s="199"/>
      <c r="QGY94" s="199"/>
      <c r="QGZ94" s="199"/>
      <c r="QHA94" s="193"/>
      <c r="QHB94" s="193"/>
      <c r="QHC94" s="193"/>
      <c r="QHD94" s="193"/>
      <c r="QHE94" s="194"/>
      <c r="QHF94" s="194"/>
      <c r="QHG94" s="196"/>
      <c r="QHH94" s="197"/>
      <c r="QHI94" s="197"/>
      <c r="QHJ94" s="198"/>
      <c r="QHK94" s="198"/>
      <c r="QHL94" s="199"/>
      <c r="QHM94" s="199"/>
      <c r="QHN94" s="199"/>
      <c r="QHO94" s="199"/>
      <c r="QHP94" s="199"/>
      <c r="QHQ94" s="199"/>
      <c r="QHR94" s="199"/>
      <c r="QHS94" s="199"/>
      <c r="QHT94" s="199"/>
      <c r="QHU94" s="199"/>
      <c r="QHV94" s="199"/>
      <c r="QHW94" s="199"/>
      <c r="QHX94" s="199"/>
      <c r="QHY94" s="199"/>
      <c r="QHZ94" s="199"/>
      <c r="QIA94" s="199"/>
      <c r="QIB94" s="199"/>
      <c r="QIC94" s="199"/>
      <c r="QID94" s="199"/>
      <c r="QIE94" s="199"/>
      <c r="QIF94" s="199"/>
      <c r="QIG94" s="199"/>
      <c r="QIH94" s="199"/>
      <c r="QII94" s="199"/>
      <c r="QIJ94" s="199"/>
      <c r="QIK94" s="199"/>
      <c r="QIL94" s="199"/>
      <c r="QIM94" s="199"/>
      <c r="QIN94" s="199"/>
      <c r="QIO94" s="199"/>
      <c r="QIP94" s="199"/>
      <c r="QIQ94" s="199"/>
      <c r="QIR94" s="199"/>
      <c r="QIS94" s="199"/>
      <c r="QIT94" s="193"/>
      <c r="QIU94" s="193"/>
      <c r="QIV94" s="193"/>
      <c r="QIW94" s="193"/>
      <c r="QIX94" s="194"/>
      <c r="QIY94" s="194"/>
      <c r="QIZ94" s="196"/>
      <c r="QJA94" s="197"/>
      <c r="QJB94" s="197"/>
      <c r="QJC94" s="198"/>
      <c r="QJD94" s="198"/>
      <c r="QJE94" s="199"/>
      <c r="QJF94" s="199"/>
      <c r="QJG94" s="199"/>
      <c r="QJH94" s="199"/>
      <c r="QJI94" s="199"/>
      <c r="QJJ94" s="199"/>
      <c r="QJK94" s="199"/>
      <c r="QJL94" s="199"/>
      <c r="QJM94" s="199"/>
      <c r="QJN94" s="199"/>
      <c r="QJO94" s="199"/>
      <c r="QJP94" s="199"/>
      <c r="QJQ94" s="199"/>
      <c r="QJR94" s="199"/>
      <c r="QJS94" s="199"/>
      <c r="QJT94" s="199"/>
      <c r="QJU94" s="199"/>
      <c r="QJV94" s="199"/>
      <c r="QJW94" s="199"/>
      <c r="QJX94" s="199"/>
      <c r="QJY94" s="199"/>
      <c r="QJZ94" s="199"/>
      <c r="QKA94" s="199"/>
      <c r="QKB94" s="199"/>
      <c r="QKC94" s="199"/>
      <c r="QKD94" s="199"/>
      <c r="QKE94" s="199"/>
      <c r="QKF94" s="199"/>
      <c r="QKG94" s="199"/>
      <c r="QKH94" s="199"/>
      <c r="QKI94" s="199"/>
      <c r="QKJ94" s="199"/>
      <c r="QKK94" s="199"/>
      <c r="QKL94" s="199"/>
      <c r="QKM94" s="193"/>
      <c r="QKN94" s="193"/>
      <c r="QKO94" s="193"/>
      <c r="QKP94" s="193"/>
      <c r="QKQ94" s="194"/>
      <c r="QKR94" s="194"/>
      <c r="QKS94" s="196"/>
      <c r="QKT94" s="197"/>
      <c r="QKU94" s="197"/>
      <c r="QKV94" s="198"/>
      <c r="QKW94" s="198"/>
      <c r="QKX94" s="199"/>
      <c r="QKY94" s="199"/>
      <c r="QKZ94" s="199"/>
      <c r="QLA94" s="199"/>
      <c r="QLB94" s="199"/>
      <c r="QLC94" s="199"/>
      <c r="QLD94" s="199"/>
      <c r="QLE94" s="199"/>
      <c r="QLF94" s="199"/>
      <c r="QLG94" s="199"/>
      <c r="QLH94" s="199"/>
      <c r="QLI94" s="199"/>
      <c r="QLJ94" s="199"/>
      <c r="QLK94" s="199"/>
      <c r="QLL94" s="199"/>
      <c r="QLM94" s="199"/>
      <c r="QLN94" s="199"/>
      <c r="QLO94" s="199"/>
      <c r="QLP94" s="199"/>
      <c r="QLQ94" s="199"/>
      <c r="QLR94" s="199"/>
      <c r="QLS94" s="199"/>
      <c r="QLT94" s="199"/>
      <c r="QLU94" s="199"/>
      <c r="QLV94" s="199"/>
      <c r="QLW94" s="199"/>
      <c r="QLX94" s="199"/>
      <c r="QLY94" s="199"/>
      <c r="QLZ94" s="199"/>
      <c r="QMA94" s="199"/>
      <c r="QMB94" s="199"/>
      <c r="QMC94" s="199"/>
      <c r="QMD94" s="199"/>
      <c r="QME94" s="199"/>
      <c r="QMF94" s="193"/>
      <c r="QMG94" s="193"/>
      <c r="QMH94" s="193"/>
      <c r="QMI94" s="193"/>
      <c r="QMJ94" s="194"/>
      <c r="QMK94" s="194"/>
      <c r="QML94" s="196"/>
      <c r="QMM94" s="197"/>
      <c r="QMN94" s="197"/>
      <c r="QMO94" s="198"/>
      <c r="QMP94" s="198"/>
      <c r="QMQ94" s="199"/>
      <c r="QMR94" s="199"/>
      <c r="QMS94" s="199"/>
      <c r="QMT94" s="199"/>
      <c r="QMU94" s="199"/>
      <c r="QMV94" s="199"/>
      <c r="QMW94" s="199"/>
      <c r="QMX94" s="199"/>
      <c r="QMY94" s="199"/>
      <c r="QMZ94" s="199"/>
      <c r="QNA94" s="199"/>
      <c r="QNB94" s="199"/>
      <c r="QNC94" s="199"/>
      <c r="QND94" s="199"/>
      <c r="QNE94" s="199"/>
      <c r="QNF94" s="199"/>
      <c r="QNG94" s="199"/>
      <c r="QNH94" s="199"/>
      <c r="QNI94" s="199"/>
      <c r="QNJ94" s="199"/>
      <c r="QNK94" s="199"/>
      <c r="QNL94" s="199"/>
      <c r="QNM94" s="199"/>
      <c r="QNN94" s="199"/>
      <c r="QNO94" s="199"/>
      <c r="QNP94" s="199"/>
      <c r="QNQ94" s="199"/>
      <c r="QNR94" s="199"/>
      <c r="QNS94" s="199"/>
      <c r="QNT94" s="199"/>
      <c r="QNU94" s="199"/>
      <c r="QNV94" s="199"/>
      <c r="QNW94" s="199"/>
      <c r="QNX94" s="199"/>
      <c r="QNY94" s="193"/>
      <c r="QNZ94" s="193"/>
      <c r="QOA94" s="193"/>
      <c r="QOB94" s="193"/>
      <c r="QOC94" s="194"/>
      <c r="QOD94" s="194"/>
      <c r="QOE94" s="196"/>
      <c r="QOF94" s="197"/>
      <c r="QOG94" s="197"/>
      <c r="QOH94" s="198"/>
      <c r="QOI94" s="198"/>
      <c r="QOJ94" s="199"/>
      <c r="QOK94" s="199"/>
      <c r="QOL94" s="199"/>
      <c r="QOM94" s="199"/>
      <c r="QON94" s="199"/>
      <c r="QOO94" s="199"/>
      <c r="QOP94" s="199"/>
      <c r="QOQ94" s="199"/>
      <c r="QOR94" s="199"/>
      <c r="QOS94" s="199"/>
      <c r="QOT94" s="199"/>
      <c r="QOU94" s="199"/>
      <c r="QOV94" s="199"/>
      <c r="QOW94" s="199"/>
      <c r="QOX94" s="199"/>
      <c r="QOY94" s="199"/>
      <c r="QOZ94" s="199"/>
      <c r="QPA94" s="199"/>
      <c r="QPB94" s="199"/>
      <c r="QPC94" s="199"/>
      <c r="QPD94" s="199"/>
      <c r="QPE94" s="199"/>
      <c r="QPF94" s="199"/>
      <c r="QPG94" s="199"/>
      <c r="QPH94" s="199"/>
      <c r="QPI94" s="199"/>
      <c r="QPJ94" s="199"/>
      <c r="QPK94" s="199"/>
      <c r="QPL94" s="199"/>
      <c r="QPM94" s="199"/>
      <c r="QPN94" s="199"/>
      <c r="QPO94" s="199"/>
      <c r="QPP94" s="199"/>
      <c r="QPQ94" s="199"/>
      <c r="QPR94" s="193"/>
      <c r="QPS94" s="193"/>
      <c r="QPT94" s="193"/>
      <c r="QPU94" s="193"/>
      <c r="QPV94" s="194"/>
      <c r="QPW94" s="194"/>
      <c r="QPX94" s="196"/>
      <c r="QPY94" s="197"/>
      <c r="QPZ94" s="197"/>
      <c r="QQA94" s="198"/>
      <c r="QQB94" s="198"/>
      <c r="QQC94" s="199"/>
      <c r="QQD94" s="199"/>
      <c r="QQE94" s="199"/>
      <c r="QQF94" s="199"/>
      <c r="QQG94" s="199"/>
      <c r="QQH94" s="199"/>
      <c r="QQI94" s="199"/>
      <c r="QQJ94" s="199"/>
      <c r="QQK94" s="199"/>
      <c r="QQL94" s="199"/>
      <c r="QQM94" s="199"/>
      <c r="QQN94" s="199"/>
      <c r="QQO94" s="199"/>
      <c r="QQP94" s="199"/>
      <c r="QQQ94" s="199"/>
      <c r="QQR94" s="199"/>
      <c r="QQS94" s="199"/>
      <c r="QQT94" s="199"/>
      <c r="QQU94" s="199"/>
      <c r="QQV94" s="199"/>
      <c r="QQW94" s="199"/>
      <c r="QQX94" s="199"/>
      <c r="QQY94" s="199"/>
      <c r="QQZ94" s="199"/>
      <c r="QRA94" s="199"/>
      <c r="QRB94" s="199"/>
      <c r="QRC94" s="199"/>
      <c r="QRD94" s="199"/>
      <c r="QRE94" s="199"/>
      <c r="QRF94" s="199"/>
      <c r="QRG94" s="199"/>
      <c r="QRH94" s="199"/>
      <c r="QRI94" s="199"/>
      <c r="QRJ94" s="199"/>
      <c r="QRK94" s="193"/>
      <c r="QRL94" s="193"/>
      <c r="QRM94" s="193"/>
      <c r="QRN94" s="193"/>
      <c r="QRO94" s="194"/>
      <c r="QRP94" s="194"/>
      <c r="QRQ94" s="196"/>
      <c r="QRR94" s="197"/>
      <c r="QRS94" s="197"/>
      <c r="QRT94" s="198"/>
      <c r="QRU94" s="198"/>
      <c r="QRV94" s="199"/>
      <c r="QRW94" s="199"/>
      <c r="QRX94" s="199"/>
      <c r="QRY94" s="199"/>
      <c r="QRZ94" s="199"/>
      <c r="QSA94" s="199"/>
      <c r="QSB94" s="199"/>
      <c r="QSC94" s="199"/>
      <c r="QSD94" s="199"/>
      <c r="QSE94" s="199"/>
      <c r="QSF94" s="199"/>
      <c r="QSG94" s="199"/>
      <c r="QSH94" s="199"/>
      <c r="QSI94" s="199"/>
      <c r="QSJ94" s="199"/>
      <c r="QSK94" s="199"/>
      <c r="QSL94" s="199"/>
      <c r="QSM94" s="199"/>
      <c r="QSN94" s="199"/>
      <c r="QSO94" s="199"/>
      <c r="QSP94" s="199"/>
      <c r="QSQ94" s="199"/>
      <c r="QSR94" s="199"/>
      <c r="QSS94" s="199"/>
      <c r="QST94" s="199"/>
      <c r="QSU94" s="199"/>
      <c r="QSV94" s="199"/>
      <c r="QSW94" s="199"/>
      <c r="QSX94" s="199"/>
      <c r="QSY94" s="199"/>
      <c r="QSZ94" s="199"/>
      <c r="QTA94" s="199"/>
      <c r="QTB94" s="199"/>
      <c r="QTC94" s="199"/>
      <c r="QTD94" s="193"/>
      <c r="QTE94" s="193"/>
      <c r="QTF94" s="193"/>
      <c r="QTG94" s="193"/>
      <c r="QTH94" s="194"/>
      <c r="QTI94" s="194"/>
      <c r="QTJ94" s="196"/>
      <c r="QTK94" s="197"/>
      <c r="QTL94" s="197"/>
      <c r="QTM94" s="198"/>
      <c r="QTN94" s="198"/>
      <c r="QTO94" s="199"/>
      <c r="QTP94" s="199"/>
      <c r="QTQ94" s="199"/>
      <c r="QTR94" s="199"/>
      <c r="QTS94" s="199"/>
      <c r="QTT94" s="199"/>
      <c r="QTU94" s="199"/>
      <c r="QTV94" s="199"/>
      <c r="QTW94" s="199"/>
      <c r="QTX94" s="199"/>
      <c r="QTY94" s="199"/>
      <c r="QTZ94" s="199"/>
      <c r="QUA94" s="199"/>
      <c r="QUB94" s="199"/>
      <c r="QUC94" s="199"/>
      <c r="QUD94" s="199"/>
      <c r="QUE94" s="199"/>
      <c r="QUF94" s="199"/>
      <c r="QUG94" s="199"/>
      <c r="QUH94" s="199"/>
      <c r="QUI94" s="199"/>
      <c r="QUJ94" s="199"/>
      <c r="QUK94" s="199"/>
      <c r="QUL94" s="199"/>
      <c r="QUM94" s="199"/>
      <c r="QUN94" s="199"/>
      <c r="QUO94" s="199"/>
      <c r="QUP94" s="199"/>
      <c r="QUQ94" s="199"/>
      <c r="QUR94" s="199"/>
      <c r="QUS94" s="199"/>
      <c r="QUT94" s="199"/>
      <c r="QUU94" s="199"/>
      <c r="QUV94" s="199"/>
      <c r="QUW94" s="193"/>
      <c r="QUX94" s="193"/>
      <c r="QUY94" s="193"/>
      <c r="QUZ94" s="193"/>
      <c r="QVA94" s="194"/>
      <c r="QVB94" s="194"/>
      <c r="QVC94" s="196"/>
      <c r="QVD94" s="197"/>
      <c r="QVE94" s="197"/>
      <c r="QVF94" s="198"/>
      <c r="QVG94" s="198"/>
      <c r="QVH94" s="199"/>
      <c r="QVI94" s="199"/>
      <c r="QVJ94" s="199"/>
      <c r="QVK94" s="199"/>
      <c r="QVL94" s="199"/>
      <c r="QVM94" s="199"/>
      <c r="QVN94" s="199"/>
      <c r="QVO94" s="199"/>
      <c r="QVP94" s="199"/>
      <c r="QVQ94" s="199"/>
      <c r="QVR94" s="199"/>
      <c r="QVS94" s="199"/>
      <c r="QVT94" s="199"/>
      <c r="QVU94" s="199"/>
      <c r="QVV94" s="199"/>
      <c r="QVW94" s="199"/>
      <c r="QVX94" s="199"/>
      <c r="QVY94" s="199"/>
      <c r="QVZ94" s="199"/>
      <c r="QWA94" s="199"/>
      <c r="QWB94" s="199"/>
      <c r="QWC94" s="199"/>
      <c r="QWD94" s="199"/>
      <c r="QWE94" s="199"/>
      <c r="QWF94" s="199"/>
      <c r="QWG94" s="199"/>
      <c r="QWH94" s="199"/>
      <c r="QWI94" s="199"/>
      <c r="QWJ94" s="199"/>
      <c r="QWK94" s="199"/>
      <c r="QWL94" s="199"/>
      <c r="QWM94" s="199"/>
      <c r="QWN94" s="199"/>
      <c r="QWO94" s="199"/>
      <c r="QWP94" s="193"/>
      <c r="QWQ94" s="193"/>
      <c r="QWR94" s="193"/>
      <c r="QWS94" s="193"/>
      <c r="QWT94" s="194"/>
      <c r="QWU94" s="194"/>
      <c r="QWV94" s="196"/>
      <c r="QWW94" s="197"/>
      <c r="QWX94" s="197"/>
      <c r="QWY94" s="198"/>
      <c r="QWZ94" s="198"/>
      <c r="QXA94" s="199"/>
      <c r="QXB94" s="199"/>
      <c r="QXC94" s="199"/>
      <c r="QXD94" s="199"/>
      <c r="QXE94" s="199"/>
      <c r="QXF94" s="199"/>
      <c r="QXG94" s="199"/>
      <c r="QXH94" s="199"/>
      <c r="QXI94" s="199"/>
      <c r="QXJ94" s="199"/>
      <c r="QXK94" s="199"/>
      <c r="QXL94" s="199"/>
      <c r="QXM94" s="199"/>
      <c r="QXN94" s="199"/>
      <c r="QXO94" s="199"/>
      <c r="QXP94" s="199"/>
      <c r="QXQ94" s="199"/>
      <c r="QXR94" s="199"/>
      <c r="QXS94" s="199"/>
      <c r="QXT94" s="199"/>
      <c r="QXU94" s="199"/>
      <c r="QXV94" s="199"/>
      <c r="QXW94" s="199"/>
      <c r="QXX94" s="199"/>
      <c r="QXY94" s="199"/>
      <c r="QXZ94" s="199"/>
      <c r="QYA94" s="199"/>
      <c r="QYB94" s="199"/>
      <c r="QYC94" s="199"/>
      <c r="QYD94" s="199"/>
      <c r="QYE94" s="199"/>
      <c r="QYF94" s="199"/>
      <c r="QYG94" s="199"/>
      <c r="QYH94" s="199"/>
      <c r="QYI94" s="193"/>
      <c r="QYJ94" s="193"/>
      <c r="QYK94" s="193"/>
      <c r="QYL94" s="193"/>
      <c r="QYM94" s="194"/>
      <c r="QYN94" s="194"/>
      <c r="QYO94" s="196"/>
      <c r="QYP94" s="197"/>
      <c r="QYQ94" s="197"/>
      <c r="QYR94" s="198"/>
      <c r="QYS94" s="198"/>
      <c r="QYT94" s="199"/>
      <c r="QYU94" s="199"/>
      <c r="QYV94" s="199"/>
      <c r="QYW94" s="199"/>
      <c r="QYX94" s="199"/>
      <c r="QYY94" s="199"/>
      <c r="QYZ94" s="199"/>
      <c r="QZA94" s="199"/>
      <c r="QZB94" s="199"/>
      <c r="QZC94" s="199"/>
      <c r="QZD94" s="199"/>
      <c r="QZE94" s="199"/>
      <c r="QZF94" s="199"/>
      <c r="QZG94" s="199"/>
      <c r="QZH94" s="199"/>
      <c r="QZI94" s="199"/>
      <c r="QZJ94" s="199"/>
      <c r="QZK94" s="199"/>
      <c r="QZL94" s="199"/>
      <c r="QZM94" s="199"/>
      <c r="QZN94" s="199"/>
      <c r="QZO94" s="199"/>
      <c r="QZP94" s="199"/>
      <c r="QZQ94" s="199"/>
      <c r="QZR94" s="199"/>
      <c r="QZS94" s="199"/>
      <c r="QZT94" s="199"/>
      <c r="QZU94" s="199"/>
      <c r="QZV94" s="199"/>
      <c r="QZW94" s="199"/>
      <c r="QZX94" s="199"/>
      <c r="QZY94" s="199"/>
      <c r="QZZ94" s="199"/>
      <c r="RAA94" s="199"/>
      <c r="RAB94" s="193"/>
      <c r="RAC94" s="193"/>
      <c r="RAD94" s="193"/>
      <c r="RAE94" s="193"/>
      <c r="RAF94" s="194"/>
      <c r="RAG94" s="194"/>
      <c r="RAH94" s="196"/>
      <c r="RAI94" s="197"/>
      <c r="RAJ94" s="197"/>
      <c r="RAK94" s="198"/>
      <c r="RAL94" s="198"/>
      <c r="RAM94" s="199"/>
      <c r="RAN94" s="199"/>
      <c r="RAO94" s="199"/>
      <c r="RAP94" s="199"/>
      <c r="RAQ94" s="199"/>
      <c r="RAR94" s="199"/>
      <c r="RAS94" s="199"/>
      <c r="RAT94" s="199"/>
      <c r="RAU94" s="199"/>
      <c r="RAV94" s="199"/>
      <c r="RAW94" s="199"/>
      <c r="RAX94" s="199"/>
      <c r="RAY94" s="199"/>
      <c r="RAZ94" s="199"/>
      <c r="RBA94" s="199"/>
      <c r="RBB94" s="199"/>
      <c r="RBC94" s="199"/>
      <c r="RBD94" s="199"/>
      <c r="RBE94" s="199"/>
      <c r="RBF94" s="199"/>
      <c r="RBG94" s="199"/>
      <c r="RBH94" s="199"/>
      <c r="RBI94" s="199"/>
      <c r="RBJ94" s="199"/>
      <c r="RBK94" s="199"/>
      <c r="RBL94" s="199"/>
      <c r="RBM94" s="199"/>
      <c r="RBN94" s="199"/>
      <c r="RBO94" s="199"/>
      <c r="RBP94" s="199"/>
      <c r="RBQ94" s="199"/>
      <c r="RBR94" s="199"/>
      <c r="RBS94" s="199"/>
      <c r="RBT94" s="199"/>
      <c r="RBU94" s="193"/>
      <c r="RBV94" s="193"/>
      <c r="RBW94" s="193"/>
      <c r="RBX94" s="193"/>
      <c r="RBY94" s="194"/>
      <c r="RBZ94" s="194"/>
      <c r="RCA94" s="196"/>
      <c r="RCB94" s="197"/>
      <c r="RCC94" s="197"/>
      <c r="RCD94" s="198"/>
      <c r="RCE94" s="198"/>
      <c r="RCF94" s="199"/>
      <c r="RCG94" s="199"/>
      <c r="RCH94" s="199"/>
      <c r="RCI94" s="199"/>
      <c r="RCJ94" s="199"/>
      <c r="RCK94" s="199"/>
      <c r="RCL94" s="199"/>
      <c r="RCM94" s="199"/>
      <c r="RCN94" s="199"/>
      <c r="RCO94" s="199"/>
      <c r="RCP94" s="199"/>
      <c r="RCQ94" s="199"/>
      <c r="RCR94" s="199"/>
      <c r="RCS94" s="199"/>
      <c r="RCT94" s="199"/>
      <c r="RCU94" s="199"/>
      <c r="RCV94" s="199"/>
      <c r="RCW94" s="199"/>
      <c r="RCX94" s="199"/>
      <c r="RCY94" s="199"/>
      <c r="RCZ94" s="199"/>
      <c r="RDA94" s="199"/>
      <c r="RDB94" s="199"/>
      <c r="RDC94" s="199"/>
      <c r="RDD94" s="199"/>
      <c r="RDE94" s="199"/>
      <c r="RDF94" s="199"/>
      <c r="RDG94" s="199"/>
      <c r="RDH94" s="199"/>
      <c r="RDI94" s="199"/>
      <c r="RDJ94" s="199"/>
      <c r="RDK94" s="199"/>
      <c r="RDL94" s="199"/>
      <c r="RDM94" s="199"/>
      <c r="RDN94" s="193"/>
      <c r="RDO94" s="193"/>
      <c r="RDP94" s="193"/>
      <c r="RDQ94" s="193"/>
      <c r="RDR94" s="194"/>
      <c r="RDS94" s="194"/>
      <c r="RDT94" s="196"/>
      <c r="RDU94" s="197"/>
      <c r="RDV94" s="197"/>
      <c r="RDW94" s="198"/>
      <c r="RDX94" s="198"/>
      <c r="RDY94" s="199"/>
      <c r="RDZ94" s="199"/>
      <c r="REA94" s="199"/>
      <c r="REB94" s="199"/>
      <c r="REC94" s="199"/>
      <c r="RED94" s="199"/>
      <c r="REE94" s="199"/>
      <c r="REF94" s="199"/>
      <c r="REG94" s="199"/>
      <c r="REH94" s="199"/>
      <c r="REI94" s="199"/>
      <c r="REJ94" s="199"/>
      <c r="REK94" s="199"/>
      <c r="REL94" s="199"/>
      <c r="REM94" s="199"/>
      <c r="REN94" s="199"/>
      <c r="REO94" s="199"/>
      <c r="REP94" s="199"/>
      <c r="REQ94" s="199"/>
      <c r="RER94" s="199"/>
      <c r="RES94" s="199"/>
      <c r="RET94" s="199"/>
      <c r="REU94" s="199"/>
      <c r="REV94" s="199"/>
      <c r="REW94" s="199"/>
      <c r="REX94" s="199"/>
      <c r="REY94" s="199"/>
      <c r="REZ94" s="199"/>
      <c r="RFA94" s="199"/>
      <c r="RFB94" s="199"/>
      <c r="RFC94" s="199"/>
      <c r="RFD94" s="199"/>
      <c r="RFE94" s="199"/>
      <c r="RFF94" s="199"/>
      <c r="RFG94" s="193"/>
      <c r="RFH94" s="193"/>
      <c r="RFI94" s="193"/>
      <c r="RFJ94" s="193"/>
      <c r="RFK94" s="194"/>
      <c r="RFL94" s="194"/>
      <c r="RFM94" s="196"/>
      <c r="RFN94" s="197"/>
      <c r="RFO94" s="197"/>
      <c r="RFP94" s="198"/>
      <c r="RFQ94" s="198"/>
      <c r="RFR94" s="199"/>
      <c r="RFS94" s="199"/>
      <c r="RFT94" s="199"/>
      <c r="RFU94" s="199"/>
      <c r="RFV94" s="199"/>
      <c r="RFW94" s="199"/>
      <c r="RFX94" s="199"/>
      <c r="RFY94" s="199"/>
      <c r="RFZ94" s="199"/>
      <c r="RGA94" s="199"/>
      <c r="RGB94" s="199"/>
      <c r="RGC94" s="199"/>
      <c r="RGD94" s="199"/>
      <c r="RGE94" s="199"/>
      <c r="RGF94" s="199"/>
      <c r="RGG94" s="199"/>
      <c r="RGH94" s="199"/>
      <c r="RGI94" s="199"/>
      <c r="RGJ94" s="199"/>
      <c r="RGK94" s="199"/>
      <c r="RGL94" s="199"/>
      <c r="RGM94" s="199"/>
      <c r="RGN94" s="199"/>
      <c r="RGO94" s="199"/>
      <c r="RGP94" s="199"/>
      <c r="RGQ94" s="199"/>
      <c r="RGR94" s="199"/>
      <c r="RGS94" s="199"/>
      <c r="RGT94" s="199"/>
      <c r="RGU94" s="199"/>
      <c r="RGV94" s="199"/>
      <c r="RGW94" s="199"/>
      <c r="RGX94" s="199"/>
      <c r="RGY94" s="199"/>
      <c r="RGZ94" s="193"/>
      <c r="RHA94" s="193"/>
      <c r="RHB94" s="193"/>
      <c r="RHC94" s="193"/>
      <c r="RHD94" s="194"/>
      <c r="RHE94" s="194"/>
      <c r="RHF94" s="196"/>
      <c r="RHG94" s="197"/>
      <c r="RHH94" s="197"/>
      <c r="RHI94" s="198"/>
      <c r="RHJ94" s="198"/>
      <c r="RHK94" s="199"/>
      <c r="RHL94" s="199"/>
      <c r="RHM94" s="199"/>
      <c r="RHN94" s="199"/>
      <c r="RHO94" s="199"/>
      <c r="RHP94" s="199"/>
      <c r="RHQ94" s="199"/>
      <c r="RHR94" s="199"/>
      <c r="RHS94" s="199"/>
      <c r="RHT94" s="199"/>
      <c r="RHU94" s="199"/>
      <c r="RHV94" s="199"/>
      <c r="RHW94" s="199"/>
      <c r="RHX94" s="199"/>
      <c r="RHY94" s="199"/>
      <c r="RHZ94" s="199"/>
      <c r="RIA94" s="199"/>
      <c r="RIB94" s="199"/>
      <c r="RIC94" s="199"/>
      <c r="RID94" s="199"/>
      <c r="RIE94" s="199"/>
      <c r="RIF94" s="199"/>
      <c r="RIG94" s="199"/>
      <c r="RIH94" s="199"/>
      <c r="RII94" s="199"/>
      <c r="RIJ94" s="199"/>
      <c r="RIK94" s="199"/>
      <c r="RIL94" s="199"/>
      <c r="RIM94" s="199"/>
      <c r="RIN94" s="199"/>
      <c r="RIO94" s="199"/>
      <c r="RIP94" s="199"/>
      <c r="RIQ94" s="199"/>
      <c r="RIR94" s="199"/>
      <c r="RIS94" s="193"/>
      <c r="RIT94" s="193"/>
      <c r="RIU94" s="193"/>
      <c r="RIV94" s="193"/>
      <c r="RIW94" s="194"/>
      <c r="RIX94" s="194"/>
      <c r="RIY94" s="196"/>
      <c r="RIZ94" s="197"/>
      <c r="RJA94" s="197"/>
      <c r="RJB94" s="198"/>
      <c r="RJC94" s="198"/>
      <c r="RJD94" s="199"/>
      <c r="RJE94" s="199"/>
      <c r="RJF94" s="199"/>
      <c r="RJG94" s="199"/>
      <c r="RJH94" s="199"/>
      <c r="RJI94" s="199"/>
      <c r="RJJ94" s="199"/>
      <c r="RJK94" s="199"/>
      <c r="RJL94" s="199"/>
      <c r="RJM94" s="199"/>
      <c r="RJN94" s="199"/>
      <c r="RJO94" s="199"/>
      <c r="RJP94" s="199"/>
      <c r="RJQ94" s="199"/>
      <c r="RJR94" s="199"/>
      <c r="RJS94" s="199"/>
      <c r="RJT94" s="199"/>
      <c r="RJU94" s="199"/>
      <c r="RJV94" s="199"/>
      <c r="RJW94" s="199"/>
      <c r="RJX94" s="199"/>
      <c r="RJY94" s="199"/>
      <c r="RJZ94" s="199"/>
      <c r="RKA94" s="199"/>
      <c r="RKB94" s="199"/>
      <c r="RKC94" s="199"/>
      <c r="RKD94" s="199"/>
      <c r="RKE94" s="199"/>
      <c r="RKF94" s="199"/>
      <c r="RKG94" s="199"/>
      <c r="RKH94" s="199"/>
      <c r="RKI94" s="199"/>
      <c r="RKJ94" s="199"/>
      <c r="RKK94" s="199"/>
      <c r="RKL94" s="193"/>
      <c r="RKM94" s="193"/>
      <c r="RKN94" s="193"/>
      <c r="RKO94" s="193"/>
      <c r="RKP94" s="194"/>
      <c r="RKQ94" s="194"/>
      <c r="RKR94" s="196"/>
      <c r="RKS94" s="197"/>
      <c r="RKT94" s="197"/>
      <c r="RKU94" s="198"/>
      <c r="RKV94" s="198"/>
      <c r="RKW94" s="199"/>
      <c r="RKX94" s="199"/>
      <c r="RKY94" s="199"/>
      <c r="RKZ94" s="199"/>
      <c r="RLA94" s="199"/>
      <c r="RLB94" s="199"/>
      <c r="RLC94" s="199"/>
      <c r="RLD94" s="199"/>
      <c r="RLE94" s="199"/>
      <c r="RLF94" s="199"/>
      <c r="RLG94" s="199"/>
      <c r="RLH94" s="199"/>
      <c r="RLI94" s="199"/>
      <c r="RLJ94" s="199"/>
      <c r="RLK94" s="199"/>
      <c r="RLL94" s="199"/>
      <c r="RLM94" s="199"/>
      <c r="RLN94" s="199"/>
      <c r="RLO94" s="199"/>
      <c r="RLP94" s="199"/>
      <c r="RLQ94" s="199"/>
      <c r="RLR94" s="199"/>
      <c r="RLS94" s="199"/>
      <c r="RLT94" s="199"/>
      <c r="RLU94" s="199"/>
      <c r="RLV94" s="199"/>
      <c r="RLW94" s="199"/>
      <c r="RLX94" s="199"/>
      <c r="RLY94" s="199"/>
      <c r="RLZ94" s="199"/>
      <c r="RMA94" s="199"/>
      <c r="RMB94" s="199"/>
      <c r="RMC94" s="199"/>
      <c r="RMD94" s="199"/>
      <c r="RME94" s="193"/>
      <c r="RMF94" s="193"/>
      <c r="RMG94" s="193"/>
      <c r="RMH94" s="193"/>
      <c r="RMI94" s="194"/>
      <c r="RMJ94" s="194"/>
      <c r="RMK94" s="196"/>
      <c r="RML94" s="197"/>
      <c r="RMM94" s="197"/>
      <c r="RMN94" s="198"/>
      <c r="RMO94" s="198"/>
      <c r="RMP94" s="199"/>
      <c r="RMQ94" s="199"/>
      <c r="RMR94" s="199"/>
      <c r="RMS94" s="199"/>
      <c r="RMT94" s="199"/>
      <c r="RMU94" s="199"/>
      <c r="RMV94" s="199"/>
      <c r="RMW94" s="199"/>
      <c r="RMX94" s="199"/>
      <c r="RMY94" s="199"/>
      <c r="RMZ94" s="199"/>
      <c r="RNA94" s="199"/>
      <c r="RNB94" s="199"/>
      <c r="RNC94" s="199"/>
      <c r="RND94" s="199"/>
      <c r="RNE94" s="199"/>
      <c r="RNF94" s="199"/>
      <c r="RNG94" s="199"/>
      <c r="RNH94" s="199"/>
      <c r="RNI94" s="199"/>
      <c r="RNJ94" s="199"/>
      <c r="RNK94" s="199"/>
      <c r="RNL94" s="199"/>
      <c r="RNM94" s="199"/>
      <c r="RNN94" s="199"/>
      <c r="RNO94" s="199"/>
      <c r="RNP94" s="199"/>
      <c r="RNQ94" s="199"/>
      <c r="RNR94" s="199"/>
      <c r="RNS94" s="199"/>
      <c r="RNT94" s="199"/>
      <c r="RNU94" s="199"/>
      <c r="RNV94" s="199"/>
      <c r="RNW94" s="199"/>
      <c r="RNX94" s="193"/>
      <c r="RNY94" s="193"/>
      <c r="RNZ94" s="193"/>
      <c r="ROA94" s="193"/>
      <c r="ROB94" s="194"/>
      <c r="ROC94" s="194"/>
      <c r="ROD94" s="196"/>
      <c r="ROE94" s="197"/>
      <c r="ROF94" s="197"/>
      <c r="ROG94" s="198"/>
      <c r="ROH94" s="198"/>
      <c r="ROI94" s="199"/>
      <c r="ROJ94" s="199"/>
      <c r="ROK94" s="199"/>
      <c r="ROL94" s="199"/>
      <c r="ROM94" s="199"/>
      <c r="RON94" s="199"/>
      <c r="ROO94" s="199"/>
      <c r="ROP94" s="199"/>
      <c r="ROQ94" s="199"/>
      <c r="ROR94" s="199"/>
      <c r="ROS94" s="199"/>
      <c r="ROT94" s="199"/>
      <c r="ROU94" s="199"/>
      <c r="ROV94" s="199"/>
      <c r="ROW94" s="199"/>
      <c r="ROX94" s="199"/>
      <c r="ROY94" s="199"/>
      <c r="ROZ94" s="199"/>
      <c r="RPA94" s="199"/>
      <c r="RPB94" s="199"/>
      <c r="RPC94" s="199"/>
      <c r="RPD94" s="199"/>
      <c r="RPE94" s="199"/>
      <c r="RPF94" s="199"/>
      <c r="RPG94" s="199"/>
      <c r="RPH94" s="199"/>
      <c r="RPI94" s="199"/>
      <c r="RPJ94" s="199"/>
      <c r="RPK94" s="199"/>
      <c r="RPL94" s="199"/>
      <c r="RPM94" s="199"/>
      <c r="RPN94" s="199"/>
      <c r="RPO94" s="199"/>
      <c r="RPP94" s="199"/>
      <c r="RPQ94" s="193"/>
      <c r="RPR94" s="193"/>
      <c r="RPS94" s="193"/>
      <c r="RPT94" s="193"/>
      <c r="RPU94" s="194"/>
      <c r="RPV94" s="194"/>
      <c r="RPW94" s="196"/>
      <c r="RPX94" s="197"/>
      <c r="RPY94" s="197"/>
      <c r="RPZ94" s="198"/>
      <c r="RQA94" s="198"/>
      <c r="RQB94" s="199"/>
      <c r="RQC94" s="199"/>
      <c r="RQD94" s="199"/>
      <c r="RQE94" s="199"/>
      <c r="RQF94" s="199"/>
      <c r="RQG94" s="199"/>
      <c r="RQH94" s="199"/>
      <c r="RQI94" s="199"/>
      <c r="RQJ94" s="199"/>
      <c r="RQK94" s="199"/>
      <c r="RQL94" s="199"/>
      <c r="RQM94" s="199"/>
      <c r="RQN94" s="199"/>
      <c r="RQO94" s="199"/>
      <c r="RQP94" s="199"/>
      <c r="RQQ94" s="199"/>
      <c r="RQR94" s="199"/>
      <c r="RQS94" s="199"/>
      <c r="RQT94" s="199"/>
      <c r="RQU94" s="199"/>
      <c r="RQV94" s="199"/>
      <c r="RQW94" s="199"/>
      <c r="RQX94" s="199"/>
      <c r="RQY94" s="199"/>
      <c r="RQZ94" s="199"/>
      <c r="RRA94" s="199"/>
      <c r="RRB94" s="199"/>
      <c r="RRC94" s="199"/>
      <c r="RRD94" s="199"/>
      <c r="RRE94" s="199"/>
      <c r="RRF94" s="199"/>
      <c r="RRG94" s="199"/>
      <c r="RRH94" s="199"/>
      <c r="RRI94" s="199"/>
      <c r="RRJ94" s="193"/>
      <c r="RRK94" s="193"/>
      <c r="RRL94" s="193"/>
      <c r="RRM94" s="193"/>
      <c r="RRN94" s="194"/>
      <c r="RRO94" s="194"/>
      <c r="RRP94" s="196"/>
      <c r="RRQ94" s="197"/>
      <c r="RRR94" s="197"/>
      <c r="RRS94" s="198"/>
      <c r="RRT94" s="198"/>
      <c r="RRU94" s="199"/>
      <c r="RRV94" s="199"/>
      <c r="RRW94" s="199"/>
      <c r="RRX94" s="199"/>
      <c r="RRY94" s="199"/>
      <c r="RRZ94" s="199"/>
      <c r="RSA94" s="199"/>
      <c r="RSB94" s="199"/>
      <c r="RSC94" s="199"/>
      <c r="RSD94" s="199"/>
      <c r="RSE94" s="199"/>
      <c r="RSF94" s="199"/>
      <c r="RSG94" s="199"/>
      <c r="RSH94" s="199"/>
      <c r="RSI94" s="199"/>
      <c r="RSJ94" s="199"/>
      <c r="RSK94" s="199"/>
      <c r="RSL94" s="199"/>
      <c r="RSM94" s="199"/>
      <c r="RSN94" s="199"/>
      <c r="RSO94" s="199"/>
      <c r="RSP94" s="199"/>
      <c r="RSQ94" s="199"/>
      <c r="RSR94" s="199"/>
      <c r="RSS94" s="199"/>
      <c r="RST94" s="199"/>
      <c r="RSU94" s="199"/>
      <c r="RSV94" s="199"/>
      <c r="RSW94" s="199"/>
      <c r="RSX94" s="199"/>
      <c r="RSY94" s="199"/>
      <c r="RSZ94" s="199"/>
      <c r="RTA94" s="199"/>
      <c r="RTB94" s="199"/>
      <c r="RTC94" s="193"/>
      <c r="RTD94" s="193"/>
      <c r="RTE94" s="193"/>
      <c r="RTF94" s="193"/>
      <c r="RTG94" s="194"/>
      <c r="RTH94" s="194"/>
      <c r="RTI94" s="196"/>
      <c r="RTJ94" s="197"/>
      <c r="RTK94" s="197"/>
      <c r="RTL94" s="198"/>
      <c r="RTM94" s="198"/>
      <c r="RTN94" s="199"/>
      <c r="RTO94" s="199"/>
      <c r="RTP94" s="199"/>
      <c r="RTQ94" s="199"/>
      <c r="RTR94" s="199"/>
      <c r="RTS94" s="199"/>
      <c r="RTT94" s="199"/>
      <c r="RTU94" s="199"/>
      <c r="RTV94" s="199"/>
      <c r="RTW94" s="199"/>
      <c r="RTX94" s="199"/>
      <c r="RTY94" s="199"/>
      <c r="RTZ94" s="199"/>
      <c r="RUA94" s="199"/>
      <c r="RUB94" s="199"/>
      <c r="RUC94" s="199"/>
      <c r="RUD94" s="199"/>
      <c r="RUE94" s="199"/>
      <c r="RUF94" s="199"/>
      <c r="RUG94" s="199"/>
      <c r="RUH94" s="199"/>
      <c r="RUI94" s="199"/>
      <c r="RUJ94" s="199"/>
      <c r="RUK94" s="199"/>
      <c r="RUL94" s="199"/>
      <c r="RUM94" s="199"/>
      <c r="RUN94" s="199"/>
      <c r="RUO94" s="199"/>
      <c r="RUP94" s="199"/>
      <c r="RUQ94" s="199"/>
      <c r="RUR94" s="199"/>
      <c r="RUS94" s="199"/>
      <c r="RUT94" s="199"/>
      <c r="RUU94" s="199"/>
      <c r="RUV94" s="193"/>
      <c r="RUW94" s="193"/>
      <c r="RUX94" s="193"/>
      <c r="RUY94" s="193"/>
      <c r="RUZ94" s="194"/>
      <c r="RVA94" s="194"/>
      <c r="RVB94" s="196"/>
      <c r="RVC94" s="197"/>
      <c r="RVD94" s="197"/>
      <c r="RVE94" s="198"/>
      <c r="RVF94" s="198"/>
      <c r="RVG94" s="199"/>
      <c r="RVH94" s="199"/>
      <c r="RVI94" s="199"/>
      <c r="RVJ94" s="199"/>
      <c r="RVK94" s="199"/>
      <c r="RVL94" s="199"/>
      <c r="RVM94" s="199"/>
      <c r="RVN94" s="199"/>
      <c r="RVO94" s="199"/>
      <c r="RVP94" s="199"/>
      <c r="RVQ94" s="199"/>
      <c r="RVR94" s="199"/>
      <c r="RVS94" s="199"/>
      <c r="RVT94" s="199"/>
      <c r="RVU94" s="199"/>
      <c r="RVV94" s="199"/>
      <c r="RVW94" s="199"/>
      <c r="RVX94" s="199"/>
      <c r="RVY94" s="199"/>
      <c r="RVZ94" s="199"/>
      <c r="RWA94" s="199"/>
      <c r="RWB94" s="199"/>
      <c r="RWC94" s="199"/>
      <c r="RWD94" s="199"/>
      <c r="RWE94" s="199"/>
      <c r="RWF94" s="199"/>
      <c r="RWG94" s="199"/>
      <c r="RWH94" s="199"/>
      <c r="RWI94" s="199"/>
      <c r="RWJ94" s="199"/>
      <c r="RWK94" s="199"/>
      <c r="RWL94" s="199"/>
      <c r="RWM94" s="199"/>
      <c r="RWN94" s="199"/>
      <c r="RWO94" s="193"/>
      <c r="RWP94" s="193"/>
      <c r="RWQ94" s="193"/>
      <c r="RWR94" s="193"/>
      <c r="RWS94" s="194"/>
      <c r="RWT94" s="194"/>
      <c r="RWU94" s="196"/>
      <c r="RWV94" s="197"/>
      <c r="RWW94" s="197"/>
      <c r="RWX94" s="198"/>
      <c r="RWY94" s="198"/>
      <c r="RWZ94" s="199"/>
      <c r="RXA94" s="199"/>
      <c r="RXB94" s="199"/>
      <c r="RXC94" s="199"/>
      <c r="RXD94" s="199"/>
      <c r="RXE94" s="199"/>
      <c r="RXF94" s="199"/>
      <c r="RXG94" s="199"/>
      <c r="RXH94" s="199"/>
      <c r="RXI94" s="199"/>
      <c r="RXJ94" s="199"/>
      <c r="RXK94" s="199"/>
      <c r="RXL94" s="199"/>
      <c r="RXM94" s="199"/>
      <c r="RXN94" s="199"/>
      <c r="RXO94" s="199"/>
      <c r="RXP94" s="199"/>
      <c r="RXQ94" s="199"/>
      <c r="RXR94" s="199"/>
      <c r="RXS94" s="199"/>
      <c r="RXT94" s="199"/>
      <c r="RXU94" s="199"/>
      <c r="RXV94" s="199"/>
      <c r="RXW94" s="199"/>
      <c r="RXX94" s="199"/>
      <c r="RXY94" s="199"/>
      <c r="RXZ94" s="199"/>
      <c r="RYA94" s="199"/>
      <c r="RYB94" s="199"/>
      <c r="RYC94" s="199"/>
      <c r="RYD94" s="199"/>
      <c r="RYE94" s="199"/>
      <c r="RYF94" s="199"/>
      <c r="RYG94" s="199"/>
      <c r="RYH94" s="193"/>
      <c r="RYI94" s="193"/>
      <c r="RYJ94" s="193"/>
      <c r="RYK94" s="193"/>
      <c r="RYL94" s="194"/>
      <c r="RYM94" s="194"/>
      <c r="RYN94" s="196"/>
      <c r="RYO94" s="197"/>
      <c r="RYP94" s="197"/>
      <c r="RYQ94" s="198"/>
      <c r="RYR94" s="198"/>
      <c r="RYS94" s="199"/>
      <c r="RYT94" s="199"/>
      <c r="RYU94" s="199"/>
      <c r="RYV94" s="199"/>
      <c r="RYW94" s="199"/>
      <c r="RYX94" s="199"/>
      <c r="RYY94" s="199"/>
      <c r="RYZ94" s="199"/>
      <c r="RZA94" s="199"/>
      <c r="RZB94" s="199"/>
      <c r="RZC94" s="199"/>
      <c r="RZD94" s="199"/>
      <c r="RZE94" s="199"/>
      <c r="RZF94" s="199"/>
      <c r="RZG94" s="199"/>
      <c r="RZH94" s="199"/>
      <c r="RZI94" s="199"/>
      <c r="RZJ94" s="199"/>
      <c r="RZK94" s="199"/>
      <c r="RZL94" s="199"/>
      <c r="RZM94" s="199"/>
      <c r="RZN94" s="199"/>
      <c r="RZO94" s="199"/>
      <c r="RZP94" s="199"/>
      <c r="RZQ94" s="199"/>
      <c r="RZR94" s="199"/>
      <c r="RZS94" s="199"/>
      <c r="RZT94" s="199"/>
      <c r="RZU94" s="199"/>
      <c r="RZV94" s="199"/>
      <c r="RZW94" s="199"/>
      <c r="RZX94" s="199"/>
      <c r="RZY94" s="199"/>
      <c r="RZZ94" s="199"/>
      <c r="SAA94" s="193"/>
      <c r="SAB94" s="193"/>
      <c r="SAC94" s="193"/>
      <c r="SAD94" s="193"/>
      <c r="SAE94" s="194"/>
      <c r="SAF94" s="194"/>
      <c r="SAG94" s="196"/>
      <c r="SAH94" s="197"/>
      <c r="SAI94" s="197"/>
      <c r="SAJ94" s="198"/>
      <c r="SAK94" s="198"/>
      <c r="SAL94" s="199"/>
      <c r="SAM94" s="199"/>
      <c r="SAN94" s="199"/>
      <c r="SAO94" s="199"/>
      <c r="SAP94" s="199"/>
      <c r="SAQ94" s="199"/>
      <c r="SAR94" s="199"/>
      <c r="SAS94" s="199"/>
      <c r="SAT94" s="199"/>
      <c r="SAU94" s="199"/>
      <c r="SAV94" s="199"/>
      <c r="SAW94" s="199"/>
      <c r="SAX94" s="199"/>
      <c r="SAY94" s="199"/>
      <c r="SAZ94" s="199"/>
      <c r="SBA94" s="199"/>
      <c r="SBB94" s="199"/>
      <c r="SBC94" s="199"/>
      <c r="SBD94" s="199"/>
      <c r="SBE94" s="199"/>
      <c r="SBF94" s="199"/>
      <c r="SBG94" s="199"/>
      <c r="SBH94" s="199"/>
      <c r="SBI94" s="199"/>
      <c r="SBJ94" s="199"/>
      <c r="SBK94" s="199"/>
      <c r="SBL94" s="199"/>
      <c r="SBM94" s="199"/>
      <c r="SBN94" s="199"/>
      <c r="SBO94" s="199"/>
      <c r="SBP94" s="199"/>
      <c r="SBQ94" s="199"/>
      <c r="SBR94" s="199"/>
      <c r="SBS94" s="199"/>
      <c r="SBT94" s="193"/>
      <c r="SBU94" s="193"/>
      <c r="SBV94" s="193"/>
      <c r="SBW94" s="193"/>
      <c r="SBX94" s="194"/>
      <c r="SBY94" s="194"/>
      <c r="SBZ94" s="196"/>
      <c r="SCA94" s="197"/>
      <c r="SCB94" s="197"/>
      <c r="SCC94" s="198"/>
      <c r="SCD94" s="198"/>
      <c r="SCE94" s="199"/>
      <c r="SCF94" s="199"/>
      <c r="SCG94" s="199"/>
      <c r="SCH94" s="199"/>
      <c r="SCI94" s="199"/>
      <c r="SCJ94" s="199"/>
      <c r="SCK94" s="199"/>
      <c r="SCL94" s="199"/>
      <c r="SCM94" s="199"/>
      <c r="SCN94" s="199"/>
      <c r="SCO94" s="199"/>
      <c r="SCP94" s="199"/>
      <c r="SCQ94" s="199"/>
      <c r="SCR94" s="199"/>
      <c r="SCS94" s="199"/>
      <c r="SCT94" s="199"/>
      <c r="SCU94" s="199"/>
      <c r="SCV94" s="199"/>
      <c r="SCW94" s="199"/>
      <c r="SCX94" s="199"/>
      <c r="SCY94" s="199"/>
      <c r="SCZ94" s="199"/>
      <c r="SDA94" s="199"/>
      <c r="SDB94" s="199"/>
      <c r="SDC94" s="199"/>
      <c r="SDD94" s="199"/>
      <c r="SDE94" s="199"/>
      <c r="SDF94" s="199"/>
      <c r="SDG94" s="199"/>
      <c r="SDH94" s="199"/>
      <c r="SDI94" s="199"/>
      <c r="SDJ94" s="199"/>
      <c r="SDK94" s="199"/>
      <c r="SDL94" s="199"/>
      <c r="SDM94" s="193"/>
      <c r="SDN94" s="193"/>
      <c r="SDO94" s="193"/>
      <c r="SDP94" s="193"/>
      <c r="SDQ94" s="194"/>
      <c r="SDR94" s="194"/>
      <c r="SDS94" s="196"/>
      <c r="SDT94" s="197"/>
      <c r="SDU94" s="197"/>
      <c r="SDV94" s="198"/>
      <c r="SDW94" s="198"/>
      <c r="SDX94" s="199"/>
      <c r="SDY94" s="199"/>
      <c r="SDZ94" s="199"/>
      <c r="SEA94" s="199"/>
      <c r="SEB94" s="199"/>
      <c r="SEC94" s="199"/>
      <c r="SED94" s="199"/>
      <c r="SEE94" s="199"/>
      <c r="SEF94" s="199"/>
      <c r="SEG94" s="199"/>
      <c r="SEH94" s="199"/>
      <c r="SEI94" s="199"/>
      <c r="SEJ94" s="199"/>
      <c r="SEK94" s="199"/>
      <c r="SEL94" s="199"/>
      <c r="SEM94" s="199"/>
      <c r="SEN94" s="199"/>
      <c r="SEO94" s="199"/>
      <c r="SEP94" s="199"/>
      <c r="SEQ94" s="199"/>
      <c r="SER94" s="199"/>
      <c r="SES94" s="199"/>
      <c r="SET94" s="199"/>
      <c r="SEU94" s="199"/>
      <c r="SEV94" s="199"/>
      <c r="SEW94" s="199"/>
      <c r="SEX94" s="199"/>
      <c r="SEY94" s="199"/>
      <c r="SEZ94" s="199"/>
      <c r="SFA94" s="199"/>
      <c r="SFB94" s="199"/>
      <c r="SFC94" s="199"/>
      <c r="SFD94" s="199"/>
      <c r="SFE94" s="199"/>
      <c r="SFF94" s="193"/>
      <c r="SFG94" s="193"/>
      <c r="SFH94" s="193"/>
      <c r="SFI94" s="193"/>
      <c r="SFJ94" s="194"/>
      <c r="SFK94" s="194"/>
      <c r="SFL94" s="196"/>
      <c r="SFM94" s="197"/>
      <c r="SFN94" s="197"/>
      <c r="SFO94" s="198"/>
      <c r="SFP94" s="198"/>
      <c r="SFQ94" s="199"/>
      <c r="SFR94" s="199"/>
      <c r="SFS94" s="199"/>
      <c r="SFT94" s="199"/>
      <c r="SFU94" s="199"/>
      <c r="SFV94" s="199"/>
      <c r="SFW94" s="199"/>
      <c r="SFX94" s="199"/>
      <c r="SFY94" s="199"/>
      <c r="SFZ94" s="199"/>
      <c r="SGA94" s="199"/>
      <c r="SGB94" s="199"/>
      <c r="SGC94" s="199"/>
      <c r="SGD94" s="199"/>
      <c r="SGE94" s="199"/>
      <c r="SGF94" s="199"/>
      <c r="SGG94" s="199"/>
      <c r="SGH94" s="199"/>
      <c r="SGI94" s="199"/>
      <c r="SGJ94" s="199"/>
      <c r="SGK94" s="199"/>
      <c r="SGL94" s="199"/>
      <c r="SGM94" s="199"/>
      <c r="SGN94" s="199"/>
      <c r="SGO94" s="199"/>
      <c r="SGP94" s="199"/>
      <c r="SGQ94" s="199"/>
      <c r="SGR94" s="199"/>
      <c r="SGS94" s="199"/>
      <c r="SGT94" s="199"/>
      <c r="SGU94" s="199"/>
      <c r="SGV94" s="199"/>
      <c r="SGW94" s="199"/>
      <c r="SGX94" s="199"/>
      <c r="SGY94" s="193"/>
      <c r="SGZ94" s="193"/>
      <c r="SHA94" s="193"/>
      <c r="SHB94" s="193"/>
      <c r="SHC94" s="194"/>
      <c r="SHD94" s="194"/>
      <c r="SHE94" s="196"/>
      <c r="SHF94" s="197"/>
      <c r="SHG94" s="197"/>
      <c r="SHH94" s="198"/>
      <c r="SHI94" s="198"/>
      <c r="SHJ94" s="199"/>
      <c r="SHK94" s="199"/>
      <c r="SHL94" s="199"/>
      <c r="SHM94" s="199"/>
      <c r="SHN94" s="199"/>
      <c r="SHO94" s="199"/>
      <c r="SHP94" s="199"/>
      <c r="SHQ94" s="199"/>
      <c r="SHR94" s="199"/>
      <c r="SHS94" s="199"/>
      <c r="SHT94" s="199"/>
      <c r="SHU94" s="199"/>
      <c r="SHV94" s="199"/>
      <c r="SHW94" s="199"/>
      <c r="SHX94" s="199"/>
      <c r="SHY94" s="199"/>
      <c r="SHZ94" s="199"/>
      <c r="SIA94" s="199"/>
      <c r="SIB94" s="199"/>
      <c r="SIC94" s="199"/>
      <c r="SID94" s="199"/>
      <c r="SIE94" s="199"/>
      <c r="SIF94" s="199"/>
      <c r="SIG94" s="199"/>
      <c r="SIH94" s="199"/>
      <c r="SII94" s="199"/>
      <c r="SIJ94" s="199"/>
      <c r="SIK94" s="199"/>
      <c r="SIL94" s="199"/>
      <c r="SIM94" s="199"/>
      <c r="SIN94" s="199"/>
      <c r="SIO94" s="199"/>
      <c r="SIP94" s="199"/>
      <c r="SIQ94" s="199"/>
      <c r="SIR94" s="193"/>
      <c r="SIS94" s="193"/>
      <c r="SIT94" s="193"/>
      <c r="SIU94" s="193"/>
      <c r="SIV94" s="194"/>
      <c r="SIW94" s="194"/>
      <c r="SIX94" s="196"/>
      <c r="SIY94" s="197"/>
      <c r="SIZ94" s="197"/>
      <c r="SJA94" s="198"/>
      <c r="SJB94" s="198"/>
      <c r="SJC94" s="199"/>
      <c r="SJD94" s="199"/>
      <c r="SJE94" s="199"/>
      <c r="SJF94" s="199"/>
      <c r="SJG94" s="199"/>
      <c r="SJH94" s="199"/>
      <c r="SJI94" s="199"/>
      <c r="SJJ94" s="199"/>
      <c r="SJK94" s="199"/>
      <c r="SJL94" s="199"/>
      <c r="SJM94" s="199"/>
      <c r="SJN94" s="199"/>
      <c r="SJO94" s="199"/>
      <c r="SJP94" s="199"/>
      <c r="SJQ94" s="199"/>
      <c r="SJR94" s="199"/>
      <c r="SJS94" s="199"/>
      <c r="SJT94" s="199"/>
      <c r="SJU94" s="199"/>
      <c r="SJV94" s="199"/>
      <c r="SJW94" s="199"/>
      <c r="SJX94" s="199"/>
      <c r="SJY94" s="199"/>
      <c r="SJZ94" s="199"/>
      <c r="SKA94" s="199"/>
      <c r="SKB94" s="199"/>
      <c r="SKC94" s="199"/>
      <c r="SKD94" s="199"/>
      <c r="SKE94" s="199"/>
      <c r="SKF94" s="199"/>
      <c r="SKG94" s="199"/>
      <c r="SKH94" s="199"/>
      <c r="SKI94" s="199"/>
      <c r="SKJ94" s="199"/>
      <c r="SKK94" s="193"/>
      <c r="SKL94" s="193"/>
      <c r="SKM94" s="193"/>
      <c r="SKN94" s="193"/>
      <c r="SKO94" s="194"/>
      <c r="SKP94" s="194"/>
      <c r="SKQ94" s="196"/>
      <c r="SKR94" s="197"/>
      <c r="SKS94" s="197"/>
      <c r="SKT94" s="198"/>
      <c r="SKU94" s="198"/>
      <c r="SKV94" s="199"/>
      <c r="SKW94" s="199"/>
      <c r="SKX94" s="199"/>
      <c r="SKY94" s="199"/>
      <c r="SKZ94" s="199"/>
      <c r="SLA94" s="199"/>
      <c r="SLB94" s="199"/>
      <c r="SLC94" s="199"/>
      <c r="SLD94" s="199"/>
      <c r="SLE94" s="199"/>
      <c r="SLF94" s="199"/>
      <c r="SLG94" s="199"/>
      <c r="SLH94" s="199"/>
      <c r="SLI94" s="199"/>
      <c r="SLJ94" s="199"/>
      <c r="SLK94" s="199"/>
      <c r="SLL94" s="199"/>
      <c r="SLM94" s="199"/>
      <c r="SLN94" s="199"/>
      <c r="SLO94" s="199"/>
      <c r="SLP94" s="199"/>
      <c r="SLQ94" s="199"/>
      <c r="SLR94" s="199"/>
      <c r="SLS94" s="199"/>
      <c r="SLT94" s="199"/>
      <c r="SLU94" s="199"/>
      <c r="SLV94" s="199"/>
      <c r="SLW94" s="199"/>
      <c r="SLX94" s="199"/>
      <c r="SLY94" s="199"/>
      <c r="SLZ94" s="199"/>
      <c r="SMA94" s="199"/>
      <c r="SMB94" s="199"/>
      <c r="SMC94" s="199"/>
      <c r="SMD94" s="193"/>
      <c r="SME94" s="193"/>
      <c r="SMF94" s="193"/>
      <c r="SMG94" s="193"/>
      <c r="SMH94" s="194"/>
      <c r="SMI94" s="194"/>
      <c r="SMJ94" s="196"/>
      <c r="SMK94" s="197"/>
      <c r="SML94" s="197"/>
      <c r="SMM94" s="198"/>
      <c r="SMN94" s="198"/>
      <c r="SMO94" s="199"/>
      <c r="SMP94" s="199"/>
      <c r="SMQ94" s="199"/>
      <c r="SMR94" s="199"/>
      <c r="SMS94" s="199"/>
      <c r="SMT94" s="199"/>
      <c r="SMU94" s="199"/>
      <c r="SMV94" s="199"/>
      <c r="SMW94" s="199"/>
      <c r="SMX94" s="199"/>
      <c r="SMY94" s="199"/>
      <c r="SMZ94" s="199"/>
      <c r="SNA94" s="199"/>
      <c r="SNB94" s="199"/>
      <c r="SNC94" s="199"/>
      <c r="SND94" s="199"/>
      <c r="SNE94" s="199"/>
      <c r="SNF94" s="199"/>
      <c r="SNG94" s="199"/>
      <c r="SNH94" s="199"/>
      <c r="SNI94" s="199"/>
      <c r="SNJ94" s="199"/>
      <c r="SNK94" s="199"/>
      <c r="SNL94" s="199"/>
      <c r="SNM94" s="199"/>
      <c r="SNN94" s="199"/>
      <c r="SNO94" s="199"/>
      <c r="SNP94" s="199"/>
      <c r="SNQ94" s="199"/>
      <c r="SNR94" s="199"/>
      <c r="SNS94" s="199"/>
      <c r="SNT94" s="199"/>
      <c r="SNU94" s="199"/>
      <c r="SNV94" s="199"/>
      <c r="SNW94" s="193"/>
      <c r="SNX94" s="193"/>
      <c r="SNY94" s="193"/>
      <c r="SNZ94" s="193"/>
      <c r="SOA94" s="194"/>
      <c r="SOB94" s="194"/>
      <c r="SOC94" s="196"/>
      <c r="SOD94" s="197"/>
      <c r="SOE94" s="197"/>
      <c r="SOF94" s="198"/>
      <c r="SOG94" s="198"/>
      <c r="SOH94" s="199"/>
      <c r="SOI94" s="199"/>
      <c r="SOJ94" s="199"/>
      <c r="SOK94" s="199"/>
      <c r="SOL94" s="199"/>
      <c r="SOM94" s="199"/>
      <c r="SON94" s="199"/>
      <c r="SOO94" s="199"/>
      <c r="SOP94" s="199"/>
      <c r="SOQ94" s="199"/>
      <c r="SOR94" s="199"/>
      <c r="SOS94" s="199"/>
      <c r="SOT94" s="199"/>
      <c r="SOU94" s="199"/>
      <c r="SOV94" s="199"/>
      <c r="SOW94" s="199"/>
      <c r="SOX94" s="199"/>
      <c r="SOY94" s="199"/>
      <c r="SOZ94" s="199"/>
      <c r="SPA94" s="199"/>
      <c r="SPB94" s="199"/>
      <c r="SPC94" s="199"/>
      <c r="SPD94" s="199"/>
      <c r="SPE94" s="199"/>
      <c r="SPF94" s="199"/>
      <c r="SPG94" s="199"/>
      <c r="SPH94" s="199"/>
      <c r="SPI94" s="199"/>
      <c r="SPJ94" s="199"/>
      <c r="SPK94" s="199"/>
      <c r="SPL94" s="199"/>
      <c r="SPM94" s="199"/>
      <c r="SPN94" s="199"/>
      <c r="SPO94" s="199"/>
      <c r="SPP94" s="193"/>
      <c r="SPQ94" s="193"/>
      <c r="SPR94" s="193"/>
      <c r="SPS94" s="193"/>
      <c r="SPT94" s="194"/>
      <c r="SPU94" s="194"/>
      <c r="SPV94" s="196"/>
      <c r="SPW94" s="197"/>
      <c r="SPX94" s="197"/>
      <c r="SPY94" s="198"/>
      <c r="SPZ94" s="198"/>
      <c r="SQA94" s="199"/>
      <c r="SQB94" s="199"/>
      <c r="SQC94" s="199"/>
      <c r="SQD94" s="199"/>
      <c r="SQE94" s="199"/>
      <c r="SQF94" s="199"/>
      <c r="SQG94" s="199"/>
      <c r="SQH94" s="199"/>
      <c r="SQI94" s="199"/>
      <c r="SQJ94" s="199"/>
      <c r="SQK94" s="199"/>
      <c r="SQL94" s="199"/>
      <c r="SQM94" s="199"/>
      <c r="SQN94" s="199"/>
      <c r="SQO94" s="199"/>
      <c r="SQP94" s="199"/>
      <c r="SQQ94" s="199"/>
      <c r="SQR94" s="199"/>
      <c r="SQS94" s="199"/>
      <c r="SQT94" s="199"/>
      <c r="SQU94" s="199"/>
      <c r="SQV94" s="199"/>
      <c r="SQW94" s="199"/>
      <c r="SQX94" s="199"/>
      <c r="SQY94" s="199"/>
      <c r="SQZ94" s="199"/>
      <c r="SRA94" s="199"/>
      <c r="SRB94" s="199"/>
      <c r="SRC94" s="199"/>
      <c r="SRD94" s="199"/>
      <c r="SRE94" s="199"/>
      <c r="SRF94" s="199"/>
      <c r="SRG94" s="199"/>
      <c r="SRH94" s="199"/>
      <c r="SRI94" s="193"/>
      <c r="SRJ94" s="193"/>
      <c r="SRK94" s="193"/>
      <c r="SRL94" s="193"/>
      <c r="SRM94" s="194"/>
      <c r="SRN94" s="194"/>
      <c r="SRO94" s="196"/>
      <c r="SRP94" s="197"/>
      <c r="SRQ94" s="197"/>
      <c r="SRR94" s="198"/>
      <c r="SRS94" s="198"/>
      <c r="SRT94" s="199"/>
      <c r="SRU94" s="199"/>
      <c r="SRV94" s="199"/>
      <c r="SRW94" s="199"/>
      <c r="SRX94" s="199"/>
      <c r="SRY94" s="199"/>
      <c r="SRZ94" s="199"/>
      <c r="SSA94" s="199"/>
      <c r="SSB94" s="199"/>
      <c r="SSC94" s="199"/>
      <c r="SSD94" s="199"/>
      <c r="SSE94" s="199"/>
      <c r="SSF94" s="199"/>
      <c r="SSG94" s="199"/>
      <c r="SSH94" s="199"/>
      <c r="SSI94" s="199"/>
      <c r="SSJ94" s="199"/>
      <c r="SSK94" s="199"/>
      <c r="SSL94" s="199"/>
      <c r="SSM94" s="199"/>
      <c r="SSN94" s="199"/>
      <c r="SSO94" s="199"/>
      <c r="SSP94" s="199"/>
      <c r="SSQ94" s="199"/>
      <c r="SSR94" s="199"/>
      <c r="SSS94" s="199"/>
      <c r="SST94" s="199"/>
      <c r="SSU94" s="199"/>
      <c r="SSV94" s="199"/>
      <c r="SSW94" s="199"/>
      <c r="SSX94" s="199"/>
      <c r="SSY94" s="199"/>
      <c r="SSZ94" s="199"/>
      <c r="STA94" s="199"/>
      <c r="STB94" s="193"/>
      <c r="STC94" s="193"/>
      <c r="STD94" s="193"/>
      <c r="STE94" s="193"/>
      <c r="STF94" s="194"/>
      <c r="STG94" s="194"/>
      <c r="STH94" s="196"/>
      <c r="STI94" s="197"/>
      <c r="STJ94" s="197"/>
      <c r="STK94" s="198"/>
      <c r="STL94" s="198"/>
      <c r="STM94" s="199"/>
      <c r="STN94" s="199"/>
      <c r="STO94" s="199"/>
      <c r="STP94" s="199"/>
      <c r="STQ94" s="199"/>
      <c r="STR94" s="199"/>
      <c r="STS94" s="199"/>
      <c r="STT94" s="199"/>
      <c r="STU94" s="199"/>
      <c r="STV94" s="199"/>
      <c r="STW94" s="199"/>
      <c r="STX94" s="199"/>
      <c r="STY94" s="199"/>
      <c r="STZ94" s="199"/>
      <c r="SUA94" s="199"/>
      <c r="SUB94" s="199"/>
      <c r="SUC94" s="199"/>
      <c r="SUD94" s="199"/>
      <c r="SUE94" s="199"/>
      <c r="SUF94" s="199"/>
      <c r="SUG94" s="199"/>
      <c r="SUH94" s="199"/>
      <c r="SUI94" s="199"/>
      <c r="SUJ94" s="199"/>
      <c r="SUK94" s="199"/>
      <c r="SUL94" s="199"/>
      <c r="SUM94" s="199"/>
      <c r="SUN94" s="199"/>
      <c r="SUO94" s="199"/>
      <c r="SUP94" s="199"/>
      <c r="SUQ94" s="199"/>
      <c r="SUR94" s="199"/>
      <c r="SUS94" s="199"/>
      <c r="SUT94" s="199"/>
      <c r="SUU94" s="193"/>
      <c r="SUV94" s="193"/>
      <c r="SUW94" s="193"/>
      <c r="SUX94" s="193"/>
      <c r="SUY94" s="194"/>
      <c r="SUZ94" s="194"/>
      <c r="SVA94" s="196"/>
      <c r="SVB94" s="197"/>
      <c r="SVC94" s="197"/>
      <c r="SVD94" s="198"/>
      <c r="SVE94" s="198"/>
      <c r="SVF94" s="199"/>
      <c r="SVG94" s="199"/>
      <c r="SVH94" s="199"/>
      <c r="SVI94" s="199"/>
      <c r="SVJ94" s="199"/>
      <c r="SVK94" s="199"/>
      <c r="SVL94" s="199"/>
      <c r="SVM94" s="199"/>
      <c r="SVN94" s="199"/>
      <c r="SVO94" s="199"/>
      <c r="SVP94" s="199"/>
      <c r="SVQ94" s="199"/>
      <c r="SVR94" s="199"/>
      <c r="SVS94" s="199"/>
      <c r="SVT94" s="199"/>
      <c r="SVU94" s="199"/>
      <c r="SVV94" s="199"/>
      <c r="SVW94" s="199"/>
      <c r="SVX94" s="199"/>
      <c r="SVY94" s="199"/>
      <c r="SVZ94" s="199"/>
      <c r="SWA94" s="199"/>
      <c r="SWB94" s="199"/>
      <c r="SWC94" s="199"/>
      <c r="SWD94" s="199"/>
      <c r="SWE94" s="199"/>
      <c r="SWF94" s="199"/>
      <c r="SWG94" s="199"/>
      <c r="SWH94" s="199"/>
      <c r="SWI94" s="199"/>
      <c r="SWJ94" s="199"/>
      <c r="SWK94" s="199"/>
      <c r="SWL94" s="199"/>
      <c r="SWM94" s="199"/>
      <c r="SWN94" s="193"/>
      <c r="SWO94" s="193"/>
      <c r="SWP94" s="193"/>
      <c r="SWQ94" s="193"/>
      <c r="SWR94" s="194"/>
      <c r="SWS94" s="194"/>
      <c r="SWT94" s="196"/>
      <c r="SWU94" s="197"/>
      <c r="SWV94" s="197"/>
      <c r="SWW94" s="198"/>
      <c r="SWX94" s="198"/>
      <c r="SWY94" s="199"/>
      <c r="SWZ94" s="199"/>
      <c r="SXA94" s="199"/>
      <c r="SXB94" s="199"/>
      <c r="SXC94" s="199"/>
      <c r="SXD94" s="199"/>
      <c r="SXE94" s="199"/>
      <c r="SXF94" s="199"/>
      <c r="SXG94" s="199"/>
      <c r="SXH94" s="199"/>
      <c r="SXI94" s="199"/>
      <c r="SXJ94" s="199"/>
      <c r="SXK94" s="199"/>
      <c r="SXL94" s="199"/>
      <c r="SXM94" s="199"/>
      <c r="SXN94" s="199"/>
      <c r="SXO94" s="199"/>
      <c r="SXP94" s="199"/>
      <c r="SXQ94" s="199"/>
      <c r="SXR94" s="199"/>
      <c r="SXS94" s="199"/>
      <c r="SXT94" s="199"/>
      <c r="SXU94" s="199"/>
      <c r="SXV94" s="199"/>
      <c r="SXW94" s="199"/>
      <c r="SXX94" s="199"/>
      <c r="SXY94" s="199"/>
      <c r="SXZ94" s="199"/>
      <c r="SYA94" s="199"/>
      <c r="SYB94" s="199"/>
      <c r="SYC94" s="199"/>
      <c r="SYD94" s="199"/>
      <c r="SYE94" s="199"/>
      <c r="SYF94" s="199"/>
      <c r="SYG94" s="193"/>
      <c r="SYH94" s="193"/>
      <c r="SYI94" s="193"/>
      <c r="SYJ94" s="193"/>
      <c r="SYK94" s="194"/>
      <c r="SYL94" s="194"/>
      <c r="SYM94" s="196"/>
      <c r="SYN94" s="197"/>
      <c r="SYO94" s="197"/>
      <c r="SYP94" s="198"/>
      <c r="SYQ94" s="198"/>
      <c r="SYR94" s="199"/>
      <c r="SYS94" s="199"/>
      <c r="SYT94" s="199"/>
      <c r="SYU94" s="199"/>
      <c r="SYV94" s="199"/>
      <c r="SYW94" s="199"/>
      <c r="SYX94" s="199"/>
      <c r="SYY94" s="199"/>
      <c r="SYZ94" s="199"/>
      <c r="SZA94" s="199"/>
      <c r="SZB94" s="199"/>
      <c r="SZC94" s="199"/>
      <c r="SZD94" s="199"/>
      <c r="SZE94" s="199"/>
      <c r="SZF94" s="199"/>
      <c r="SZG94" s="199"/>
      <c r="SZH94" s="199"/>
      <c r="SZI94" s="199"/>
      <c r="SZJ94" s="199"/>
      <c r="SZK94" s="199"/>
      <c r="SZL94" s="199"/>
      <c r="SZM94" s="199"/>
      <c r="SZN94" s="199"/>
      <c r="SZO94" s="199"/>
      <c r="SZP94" s="199"/>
      <c r="SZQ94" s="199"/>
      <c r="SZR94" s="199"/>
      <c r="SZS94" s="199"/>
      <c r="SZT94" s="199"/>
      <c r="SZU94" s="199"/>
      <c r="SZV94" s="199"/>
      <c r="SZW94" s="199"/>
      <c r="SZX94" s="199"/>
      <c r="SZY94" s="199"/>
      <c r="SZZ94" s="193"/>
      <c r="TAA94" s="193"/>
      <c r="TAB94" s="193"/>
      <c r="TAC94" s="193"/>
      <c r="TAD94" s="194"/>
      <c r="TAE94" s="194"/>
      <c r="TAF94" s="196"/>
      <c r="TAG94" s="197"/>
      <c r="TAH94" s="197"/>
      <c r="TAI94" s="198"/>
      <c r="TAJ94" s="198"/>
      <c r="TAK94" s="199"/>
      <c r="TAL94" s="199"/>
      <c r="TAM94" s="199"/>
      <c r="TAN94" s="199"/>
      <c r="TAO94" s="199"/>
      <c r="TAP94" s="199"/>
      <c r="TAQ94" s="199"/>
      <c r="TAR94" s="199"/>
      <c r="TAS94" s="199"/>
      <c r="TAT94" s="199"/>
      <c r="TAU94" s="199"/>
      <c r="TAV94" s="199"/>
      <c r="TAW94" s="199"/>
      <c r="TAX94" s="199"/>
      <c r="TAY94" s="199"/>
      <c r="TAZ94" s="199"/>
      <c r="TBA94" s="199"/>
      <c r="TBB94" s="199"/>
      <c r="TBC94" s="199"/>
      <c r="TBD94" s="199"/>
      <c r="TBE94" s="199"/>
      <c r="TBF94" s="199"/>
      <c r="TBG94" s="199"/>
      <c r="TBH94" s="199"/>
      <c r="TBI94" s="199"/>
      <c r="TBJ94" s="199"/>
      <c r="TBK94" s="199"/>
      <c r="TBL94" s="199"/>
      <c r="TBM94" s="199"/>
      <c r="TBN94" s="199"/>
      <c r="TBO94" s="199"/>
      <c r="TBP94" s="199"/>
      <c r="TBQ94" s="199"/>
      <c r="TBR94" s="199"/>
      <c r="TBS94" s="193"/>
      <c r="TBT94" s="193"/>
      <c r="TBU94" s="193"/>
      <c r="TBV94" s="193"/>
      <c r="TBW94" s="194"/>
      <c r="TBX94" s="194"/>
      <c r="TBY94" s="196"/>
      <c r="TBZ94" s="197"/>
      <c r="TCA94" s="197"/>
      <c r="TCB94" s="198"/>
      <c r="TCC94" s="198"/>
      <c r="TCD94" s="199"/>
      <c r="TCE94" s="199"/>
      <c r="TCF94" s="199"/>
      <c r="TCG94" s="199"/>
      <c r="TCH94" s="199"/>
      <c r="TCI94" s="199"/>
      <c r="TCJ94" s="199"/>
      <c r="TCK94" s="199"/>
      <c r="TCL94" s="199"/>
      <c r="TCM94" s="199"/>
      <c r="TCN94" s="199"/>
      <c r="TCO94" s="199"/>
      <c r="TCP94" s="199"/>
      <c r="TCQ94" s="199"/>
      <c r="TCR94" s="199"/>
      <c r="TCS94" s="199"/>
      <c r="TCT94" s="199"/>
      <c r="TCU94" s="199"/>
      <c r="TCV94" s="199"/>
      <c r="TCW94" s="199"/>
      <c r="TCX94" s="199"/>
      <c r="TCY94" s="199"/>
      <c r="TCZ94" s="199"/>
      <c r="TDA94" s="199"/>
      <c r="TDB94" s="199"/>
      <c r="TDC94" s="199"/>
      <c r="TDD94" s="199"/>
      <c r="TDE94" s="199"/>
      <c r="TDF94" s="199"/>
      <c r="TDG94" s="199"/>
      <c r="TDH94" s="199"/>
      <c r="TDI94" s="199"/>
      <c r="TDJ94" s="199"/>
      <c r="TDK94" s="199"/>
      <c r="TDL94" s="193"/>
      <c r="TDM94" s="193"/>
      <c r="TDN94" s="193"/>
      <c r="TDO94" s="193"/>
      <c r="TDP94" s="194"/>
      <c r="TDQ94" s="194"/>
      <c r="TDR94" s="196"/>
      <c r="TDS94" s="197"/>
      <c r="TDT94" s="197"/>
      <c r="TDU94" s="198"/>
      <c r="TDV94" s="198"/>
      <c r="TDW94" s="199"/>
      <c r="TDX94" s="199"/>
      <c r="TDY94" s="199"/>
      <c r="TDZ94" s="199"/>
      <c r="TEA94" s="199"/>
      <c r="TEB94" s="199"/>
      <c r="TEC94" s="199"/>
      <c r="TED94" s="199"/>
      <c r="TEE94" s="199"/>
      <c r="TEF94" s="199"/>
      <c r="TEG94" s="199"/>
      <c r="TEH94" s="199"/>
      <c r="TEI94" s="199"/>
      <c r="TEJ94" s="199"/>
      <c r="TEK94" s="199"/>
      <c r="TEL94" s="199"/>
      <c r="TEM94" s="199"/>
      <c r="TEN94" s="199"/>
      <c r="TEO94" s="199"/>
      <c r="TEP94" s="199"/>
      <c r="TEQ94" s="199"/>
      <c r="TER94" s="199"/>
      <c r="TES94" s="199"/>
      <c r="TET94" s="199"/>
      <c r="TEU94" s="199"/>
      <c r="TEV94" s="199"/>
      <c r="TEW94" s="199"/>
      <c r="TEX94" s="199"/>
      <c r="TEY94" s="199"/>
      <c r="TEZ94" s="199"/>
      <c r="TFA94" s="199"/>
      <c r="TFB94" s="199"/>
      <c r="TFC94" s="199"/>
      <c r="TFD94" s="199"/>
      <c r="TFE94" s="193"/>
      <c r="TFF94" s="193"/>
      <c r="TFG94" s="193"/>
      <c r="TFH94" s="193"/>
      <c r="TFI94" s="194"/>
      <c r="TFJ94" s="194"/>
      <c r="TFK94" s="196"/>
      <c r="TFL94" s="197"/>
      <c r="TFM94" s="197"/>
      <c r="TFN94" s="198"/>
      <c r="TFO94" s="198"/>
      <c r="TFP94" s="199"/>
      <c r="TFQ94" s="199"/>
      <c r="TFR94" s="199"/>
      <c r="TFS94" s="199"/>
      <c r="TFT94" s="199"/>
      <c r="TFU94" s="199"/>
      <c r="TFV94" s="199"/>
      <c r="TFW94" s="199"/>
      <c r="TFX94" s="199"/>
      <c r="TFY94" s="199"/>
      <c r="TFZ94" s="199"/>
      <c r="TGA94" s="199"/>
      <c r="TGB94" s="199"/>
      <c r="TGC94" s="199"/>
      <c r="TGD94" s="199"/>
      <c r="TGE94" s="199"/>
      <c r="TGF94" s="199"/>
      <c r="TGG94" s="199"/>
      <c r="TGH94" s="199"/>
      <c r="TGI94" s="199"/>
      <c r="TGJ94" s="199"/>
      <c r="TGK94" s="199"/>
      <c r="TGL94" s="199"/>
      <c r="TGM94" s="199"/>
      <c r="TGN94" s="199"/>
      <c r="TGO94" s="199"/>
      <c r="TGP94" s="199"/>
      <c r="TGQ94" s="199"/>
      <c r="TGR94" s="199"/>
      <c r="TGS94" s="199"/>
      <c r="TGT94" s="199"/>
      <c r="TGU94" s="199"/>
      <c r="TGV94" s="199"/>
      <c r="TGW94" s="199"/>
      <c r="TGX94" s="193"/>
      <c r="TGY94" s="193"/>
      <c r="TGZ94" s="193"/>
      <c r="THA94" s="193"/>
      <c r="THB94" s="194"/>
      <c r="THC94" s="194"/>
      <c r="THD94" s="196"/>
      <c r="THE94" s="197"/>
      <c r="THF94" s="197"/>
      <c r="THG94" s="198"/>
      <c r="THH94" s="198"/>
      <c r="THI94" s="199"/>
      <c r="THJ94" s="199"/>
      <c r="THK94" s="199"/>
      <c r="THL94" s="199"/>
      <c r="THM94" s="199"/>
      <c r="THN94" s="199"/>
      <c r="THO94" s="199"/>
      <c r="THP94" s="199"/>
      <c r="THQ94" s="199"/>
      <c r="THR94" s="199"/>
      <c r="THS94" s="199"/>
      <c r="THT94" s="199"/>
      <c r="THU94" s="199"/>
      <c r="THV94" s="199"/>
      <c r="THW94" s="199"/>
      <c r="THX94" s="199"/>
      <c r="THY94" s="199"/>
      <c r="THZ94" s="199"/>
      <c r="TIA94" s="199"/>
      <c r="TIB94" s="199"/>
      <c r="TIC94" s="199"/>
      <c r="TID94" s="199"/>
      <c r="TIE94" s="199"/>
      <c r="TIF94" s="199"/>
      <c r="TIG94" s="199"/>
      <c r="TIH94" s="199"/>
      <c r="TII94" s="199"/>
      <c r="TIJ94" s="199"/>
      <c r="TIK94" s="199"/>
      <c r="TIL94" s="199"/>
      <c r="TIM94" s="199"/>
      <c r="TIN94" s="199"/>
      <c r="TIO94" s="199"/>
      <c r="TIP94" s="199"/>
      <c r="TIQ94" s="193"/>
      <c r="TIR94" s="193"/>
      <c r="TIS94" s="193"/>
      <c r="TIT94" s="193"/>
      <c r="TIU94" s="194"/>
      <c r="TIV94" s="194"/>
      <c r="TIW94" s="196"/>
      <c r="TIX94" s="197"/>
      <c r="TIY94" s="197"/>
      <c r="TIZ94" s="198"/>
      <c r="TJA94" s="198"/>
      <c r="TJB94" s="199"/>
      <c r="TJC94" s="199"/>
      <c r="TJD94" s="199"/>
      <c r="TJE94" s="199"/>
      <c r="TJF94" s="199"/>
      <c r="TJG94" s="199"/>
      <c r="TJH94" s="199"/>
      <c r="TJI94" s="199"/>
      <c r="TJJ94" s="199"/>
      <c r="TJK94" s="199"/>
      <c r="TJL94" s="199"/>
      <c r="TJM94" s="199"/>
      <c r="TJN94" s="199"/>
      <c r="TJO94" s="199"/>
      <c r="TJP94" s="199"/>
      <c r="TJQ94" s="199"/>
      <c r="TJR94" s="199"/>
      <c r="TJS94" s="199"/>
      <c r="TJT94" s="199"/>
      <c r="TJU94" s="199"/>
      <c r="TJV94" s="199"/>
      <c r="TJW94" s="199"/>
      <c r="TJX94" s="199"/>
      <c r="TJY94" s="199"/>
      <c r="TJZ94" s="199"/>
      <c r="TKA94" s="199"/>
      <c r="TKB94" s="199"/>
      <c r="TKC94" s="199"/>
      <c r="TKD94" s="199"/>
      <c r="TKE94" s="199"/>
      <c r="TKF94" s="199"/>
      <c r="TKG94" s="199"/>
      <c r="TKH94" s="199"/>
      <c r="TKI94" s="199"/>
      <c r="TKJ94" s="193"/>
      <c r="TKK94" s="193"/>
      <c r="TKL94" s="193"/>
      <c r="TKM94" s="193"/>
      <c r="TKN94" s="194"/>
      <c r="TKO94" s="194"/>
      <c r="TKP94" s="196"/>
      <c r="TKQ94" s="197"/>
      <c r="TKR94" s="197"/>
      <c r="TKS94" s="198"/>
      <c r="TKT94" s="198"/>
      <c r="TKU94" s="199"/>
      <c r="TKV94" s="199"/>
      <c r="TKW94" s="199"/>
      <c r="TKX94" s="199"/>
      <c r="TKY94" s="199"/>
      <c r="TKZ94" s="199"/>
      <c r="TLA94" s="199"/>
      <c r="TLB94" s="199"/>
      <c r="TLC94" s="199"/>
      <c r="TLD94" s="199"/>
      <c r="TLE94" s="199"/>
      <c r="TLF94" s="199"/>
      <c r="TLG94" s="199"/>
      <c r="TLH94" s="199"/>
      <c r="TLI94" s="199"/>
      <c r="TLJ94" s="199"/>
      <c r="TLK94" s="199"/>
      <c r="TLL94" s="199"/>
      <c r="TLM94" s="199"/>
      <c r="TLN94" s="199"/>
      <c r="TLO94" s="199"/>
      <c r="TLP94" s="199"/>
      <c r="TLQ94" s="199"/>
      <c r="TLR94" s="199"/>
      <c r="TLS94" s="199"/>
      <c r="TLT94" s="199"/>
      <c r="TLU94" s="199"/>
      <c r="TLV94" s="199"/>
      <c r="TLW94" s="199"/>
      <c r="TLX94" s="199"/>
      <c r="TLY94" s="199"/>
      <c r="TLZ94" s="199"/>
      <c r="TMA94" s="199"/>
      <c r="TMB94" s="199"/>
      <c r="TMC94" s="193"/>
      <c r="TMD94" s="193"/>
      <c r="TME94" s="193"/>
      <c r="TMF94" s="193"/>
      <c r="TMG94" s="194"/>
      <c r="TMH94" s="194"/>
      <c r="TMI94" s="196"/>
      <c r="TMJ94" s="197"/>
      <c r="TMK94" s="197"/>
      <c r="TML94" s="198"/>
      <c r="TMM94" s="198"/>
      <c r="TMN94" s="199"/>
      <c r="TMO94" s="199"/>
      <c r="TMP94" s="199"/>
      <c r="TMQ94" s="199"/>
      <c r="TMR94" s="199"/>
      <c r="TMS94" s="199"/>
      <c r="TMT94" s="199"/>
      <c r="TMU94" s="199"/>
      <c r="TMV94" s="199"/>
      <c r="TMW94" s="199"/>
      <c r="TMX94" s="199"/>
      <c r="TMY94" s="199"/>
      <c r="TMZ94" s="199"/>
      <c r="TNA94" s="199"/>
      <c r="TNB94" s="199"/>
      <c r="TNC94" s="199"/>
      <c r="TND94" s="199"/>
      <c r="TNE94" s="199"/>
      <c r="TNF94" s="199"/>
      <c r="TNG94" s="199"/>
      <c r="TNH94" s="199"/>
      <c r="TNI94" s="199"/>
      <c r="TNJ94" s="199"/>
      <c r="TNK94" s="199"/>
      <c r="TNL94" s="199"/>
      <c r="TNM94" s="199"/>
      <c r="TNN94" s="199"/>
      <c r="TNO94" s="199"/>
      <c r="TNP94" s="199"/>
      <c r="TNQ94" s="199"/>
      <c r="TNR94" s="199"/>
      <c r="TNS94" s="199"/>
      <c r="TNT94" s="199"/>
      <c r="TNU94" s="199"/>
      <c r="TNV94" s="193"/>
      <c r="TNW94" s="193"/>
      <c r="TNX94" s="193"/>
      <c r="TNY94" s="193"/>
      <c r="TNZ94" s="194"/>
      <c r="TOA94" s="194"/>
      <c r="TOB94" s="196"/>
      <c r="TOC94" s="197"/>
      <c r="TOD94" s="197"/>
      <c r="TOE94" s="198"/>
      <c r="TOF94" s="198"/>
      <c r="TOG94" s="199"/>
      <c r="TOH94" s="199"/>
      <c r="TOI94" s="199"/>
      <c r="TOJ94" s="199"/>
      <c r="TOK94" s="199"/>
      <c r="TOL94" s="199"/>
      <c r="TOM94" s="199"/>
      <c r="TON94" s="199"/>
      <c r="TOO94" s="199"/>
      <c r="TOP94" s="199"/>
      <c r="TOQ94" s="199"/>
      <c r="TOR94" s="199"/>
      <c r="TOS94" s="199"/>
      <c r="TOT94" s="199"/>
      <c r="TOU94" s="199"/>
      <c r="TOV94" s="199"/>
      <c r="TOW94" s="199"/>
      <c r="TOX94" s="199"/>
      <c r="TOY94" s="199"/>
      <c r="TOZ94" s="199"/>
      <c r="TPA94" s="199"/>
      <c r="TPB94" s="199"/>
      <c r="TPC94" s="199"/>
      <c r="TPD94" s="199"/>
      <c r="TPE94" s="199"/>
      <c r="TPF94" s="199"/>
      <c r="TPG94" s="199"/>
      <c r="TPH94" s="199"/>
      <c r="TPI94" s="199"/>
      <c r="TPJ94" s="199"/>
      <c r="TPK94" s="199"/>
      <c r="TPL94" s="199"/>
      <c r="TPM94" s="199"/>
      <c r="TPN94" s="199"/>
      <c r="TPO94" s="193"/>
      <c r="TPP94" s="193"/>
      <c r="TPQ94" s="193"/>
      <c r="TPR94" s="193"/>
      <c r="TPS94" s="194"/>
      <c r="TPT94" s="194"/>
      <c r="TPU94" s="196"/>
      <c r="TPV94" s="197"/>
      <c r="TPW94" s="197"/>
      <c r="TPX94" s="198"/>
      <c r="TPY94" s="198"/>
      <c r="TPZ94" s="199"/>
      <c r="TQA94" s="199"/>
      <c r="TQB94" s="199"/>
      <c r="TQC94" s="199"/>
      <c r="TQD94" s="199"/>
      <c r="TQE94" s="199"/>
      <c r="TQF94" s="199"/>
      <c r="TQG94" s="199"/>
      <c r="TQH94" s="199"/>
      <c r="TQI94" s="199"/>
      <c r="TQJ94" s="199"/>
      <c r="TQK94" s="199"/>
      <c r="TQL94" s="199"/>
      <c r="TQM94" s="199"/>
      <c r="TQN94" s="199"/>
      <c r="TQO94" s="199"/>
      <c r="TQP94" s="199"/>
      <c r="TQQ94" s="199"/>
      <c r="TQR94" s="199"/>
      <c r="TQS94" s="199"/>
      <c r="TQT94" s="199"/>
      <c r="TQU94" s="199"/>
      <c r="TQV94" s="199"/>
      <c r="TQW94" s="199"/>
      <c r="TQX94" s="199"/>
      <c r="TQY94" s="199"/>
      <c r="TQZ94" s="199"/>
      <c r="TRA94" s="199"/>
      <c r="TRB94" s="199"/>
      <c r="TRC94" s="199"/>
      <c r="TRD94" s="199"/>
      <c r="TRE94" s="199"/>
      <c r="TRF94" s="199"/>
      <c r="TRG94" s="199"/>
      <c r="TRH94" s="193"/>
      <c r="TRI94" s="193"/>
      <c r="TRJ94" s="193"/>
      <c r="TRK94" s="193"/>
      <c r="TRL94" s="194"/>
      <c r="TRM94" s="194"/>
      <c r="TRN94" s="196"/>
      <c r="TRO94" s="197"/>
      <c r="TRP94" s="197"/>
      <c r="TRQ94" s="198"/>
      <c r="TRR94" s="198"/>
      <c r="TRS94" s="199"/>
      <c r="TRT94" s="199"/>
      <c r="TRU94" s="199"/>
      <c r="TRV94" s="199"/>
      <c r="TRW94" s="199"/>
      <c r="TRX94" s="199"/>
      <c r="TRY94" s="199"/>
      <c r="TRZ94" s="199"/>
      <c r="TSA94" s="199"/>
      <c r="TSB94" s="199"/>
      <c r="TSC94" s="199"/>
      <c r="TSD94" s="199"/>
      <c r="TSE94" s="199"/>
      <c r="TSF94" s="199"/>
      <c r="TSG94" s="199"/>
      <c r="TSH94" s="199"/>
      <c r="TSI94" s="199"/>
      <c r="TSJ94" s="199"/>
      <c r="TSK94" s="199"/>
      <c r="TSL94" s="199"/>
      <c r="TSM94" s="199"/>
      <c r="TSN94" s="199"/>
      <c r="TSO94" s="199"/>
      <c r="TSP94" s="199"/>
      <c r="TSQ94" s="199"/>
      <c r="TSR94" s="199"/>
      <c r="TSS94" s="199"/>
      <c r="TST94" s="199"/>
      <c r="TSU94" s="199"/>
      <c r="TSV94" s="199"/>
      <c r="TSW94" s="199"/>
      <c r="TSX94" s="199"/>
      <c r="TSY94" s="199"/>
      <c r="TSZ94" s="199"/>
      <c r="TTA94" s="193"/>
      <c r="TTB94" s="193"/>
      <c r="TTC94" s="193"/>
      <c r="TTD94" s="193"/>
      <c r="TTE94" s="194"/>
      <c r="TTF94" s="194"/>
      <c r="TTG94" s="196"/>
      <c r="TTH94" s="197"/>
      <c r="TTI94" s="197"/>
      <c r="TTJ94" s="198"/>
      <c r="TTK94" s="198"/>
      <c r="TTL94" s="199"/>
      <c r="TTM94" s="199"/>
      <c r="TTN94" s="199"/>
      <c r="TTO94" s="199"/>
      <c r="TTP94" s="199"/>
      <c r="TTQ94" s="199"/>
      <c r="TTR94" s="199"/>
      <c r="TTS94" s="199"/>
      <c r="TTT94" s="199"/>
      <c r="TTU94" s="199"/>
      <c r="TTV94" s="199"/>
      <c r="TTW94" s="199"/>
      <c r="TTX94" s="199"/>
      <c r="TTY94" s="199"/>
      <c r="TTZ94" s="199"/>
      <c r="TUA94" s="199"/>
      <c r="TUB94" s="199"/>
      <c r="TUC94" s="199"/>
      <c r="TUD94" s="199"/>
      <c r="TUE94" s="199"/>
      <c r="TUF94" s="199"/>
      <c r="TUG94" s="199"/>
      <c r="TUH94" s="199"/>
      <c r="TUI94" s="199"/>
      <c r="TUJ94" s="199"/>
      <c r="TUK94" s="199"/>
      <c r="TUL94" s="199"/>
      <c r="TUM94" s="199"/>
      <c r="TUN94" s="199"/>
      <c r="TUO94" s="199"/>
      <c r="TUP94" s="199"/>
      <c r="TUQ94" s="199"/>
      <c r="TUR94" s="199"/>
      <c r="TUS94" s="199"/>
      <c r="TUT94" s="193"/>
      <c r="TUU94" s="193"/>
      <c r="TUV94" s="193"/>
      <c r="TUW94" s="193"/>
      <c r="TUX94" s="194"/>
      <c r="TUY94" s="194"/>
      <c r="TUZ94" s="196"/>
      <c r="TVA94" s="197"/>
      <c r="TVB94" s="197"/>
      <c r="TVC94" s="198"/>
      <c r="TVD94" s="198"/>
      <c r="TVE94" s="199"/>
      <c r="TVF94" s="199"/>
      <c r="TVG94" s="199"/>
      <c r="TVH94" s="199"/>
      <c r="TVI94" s="199"/>
      <c r="TVJ94" s="199"/>
      <c r="TVK94" s="199"/>
      <c r="TVL94" s="199"/>
      <c r="TVM94" s="199"/>
      <c r="TVN94" s="199"/>
      <c r="TVO94" s="199"/>
      <c r="TVP94" s="199"/>
      <c r="TVQ94" s="199"/>
      <c r="TVR94" s="199"/>
      <c r="TVS94" s="199"/>
      <c r="TVT94" s="199"/>
      <c r="TVU94" s="199"/>
      <c r="TVV94" s="199"/>
      <c r="TVW94" s="199"/>
      <c r="TVX94" s="199"/>
      <c r="TVY94" s="199"/>
      <c r="TVZ94" s="199"/>
      <c r="TWA94" s="199"/>
      <c r="TWB94" s="199"/>
      <c r="TWC94" s="199"/>
      <c r="TWD94" s="199"/>
      <c r="TWE94" s="199"/>
      <c r="TWF94" s="199"/>
      <c r="TWG94" s="199"/>
      <c r="TWH94" s="199"/>
      <c r="TWI94" s="199"/>
      <c r="TWJ94" s="199"/>
      <c r="TWK94" s="199"/>
      <c r="TWL94" s="199"/>
      <c r="TWM94" s="193"/>
      <c r="TWN94" s="193"/>
      <c r="TWO94" s="193"/>
      <c r="TWP94" s="193"/>
      <c r="TWQ94" s="194"/>
      <c r="TWR94" s="194"/>
      <c r="TWS94" s="196"/>
      <c r="TWT94" s="197"/>
      <c r="TWU94" s="197"/>
      <c r="TWV94" s="198"/>
      <c r="TWW94" s="198"/>
      <c r="TWX94" s="199"/>
      <c r="TWY94" s="199"/>
      <c r="TWZ94" s="199"/>
      <c r="TXA94" s="199"/>
      <c r="TXB94" s="199"/>
      <c r="TXC94" s="199"/>
      <c r="TXD94" s="199"/>
      <c r="TXE94" s="199"/>
      <c r="TXF94" s="199"/>
      <c r="TXG94" s="199"/>
      <c r="TXH94" s="199"/>
      <c r="TXI94" s="199"/>
      <c r="TXJ94" s="199"/>
      <c r="TXK94" s="199"/>
      <c r="TXL94" s="199"/>
      <c r="TXM94" s="199"/>
      <c r="TXN94" s="199"/>
      <c r="TXO94" s="199"/>
      <c r="TXP94" s="199"/>
      <c r="TXQ94" s="199"/>
      <c r="TXR94" s="199"/>
      <c r="TXS94" s="199"/>
      <c r="TXT94" s="199"/>
      <c r="TXU94" s="199"/>
      <c r="TXV94" s="199"/>
      <c r="TXW94" s="199"/>
      <c r="TXX94" s="199"/>
      <c r="TXY94" s="199"/>
      <c r="TXZ94" s="199"/>
      <c r="TYA94" s="199"/>
      <c r="TYB94" s="199"/>
      <c r="TYC94" s="199"/>
      <c r="TYD94" s="199"/>
      <c r="TYE94" s="199"/>
      <c r="TYF94" s="193"/>
      <c r="TYG94" s="193"/>
      <c r="TYH94" s="193"/>
      <c r="TYI94" s="193"/>
      <c r="TYJ94" s="194"/>
      <c r="TYK94" s="194"/>
      <c r="TYL94" s="196"/>
      <c r="TYM94" s="197"/>
      <c r="TYN94" s="197"/>
      <c r="TYO94" s="198"/>
      <c r="TYP94" s="198"/>
      <c r="TYQ94" s="199"/>
      <c r="TYR94" s="199"/>
      <c r="TYS94" s="199"/>
      <c r="TYT94" s="199"/>
      <c r="TYU94" s="199"/>
      <c r="TYV94" s="199"/>
      <c r="TYW94" s="199"/>
      <c r="TYX94" s="199"/>
      <c r="TYY94" s="199"/>
      <c r="TYZ94" s="199"/>
      <c r="TZA94" s="199"/>
      <c r="TZB94" s="199"/>
      <c r="TZC94" s="199"/>
      <c r="TZD94" s="199"/>
      <c r="TZE94" s="199"/>
      <c r="TZF94" s="199"/>
      <c r="TZG94" s="199"/>
      <c r="TZH94" s="199"/>
      <c r="TZI94" s="199"/>
      <c r="TZJ94" s="199"/>
      <c r="TZK94" s="199"/>
      <c r="TZL94" s="199"/>
      <c r="TZM94" s="199"/>
      <c r="TZN94" s="199"/>
      <c r="TZO94" s="199"/>
      <c r="TZP94" s="199"/>
      <c r="TZQ94" s="199"/>
      <c r="TZR94" s="199"/>
      <c r="TZS94" s="199"/>
      <c r="TZT94" s="199"/>
      <c r="TZU94" s="199"/>
      <c r="TZV94" s="199"/>
      <c r="TZW94" s="199"/>
      <c r="TZX94" s="199"/>
      <c r="TZY94" s="193"/>
      <c r="TZZ94" s="193"/>
      <c r="UAA94" s="193"/>
      <c r="UAB94" s="193"/>
      <c r="UAC94" s="194"/>
      <c r="UAD94" s="194"/>
      <c r="UAE94" s="196"/>
      <c r="UAF94" s="197"/>
      <c r="UAG94" s="197"/>
      <c r="UAH94" s="198"/>
      <c r="UAI94" s="198"/>
      <c r="UAJ94" s="199"/>
      <c r="UAK94" s="199"/>
      <c r="UAL94" s="199"/>
      <c r="UAM94" s="199"/>
      <c r="UAN94" s="199"/>
      <c r="UAO94" s="199"/>
      <c r="UAP94" s="199"/>
      <c r="UAQ94" s="199"/>
      <c r="UAR94" s="199"/>
      <c r="UAS94" s="199"/>
      <c r="UAT94" s="199"/>
      <c r="UAU94" s="199"/>
      <c r="UAV94" s="199"/>
      <c r="UAW94" s="199"/>
      <c r="UAX94" s="199"/>
      <c r="UAY94" s="199"/>
      <c r="UAZ94" s="199"/>
      <c r="UBA94" s="199"/>
      <c r="UBB94" s="199"/>
      <c r="UBC94" s="199"/>
      <c r="UBD94" s="199"/>
      <c r="UBE94" s="199"/>
      <c r="UBF94" s="199"/>
      <c r="UBG94" s="199"/>
      <c r="UBH94" s="199"/>
      <c r="UBI94" s="199"/>
      <c r="UBJ94" s="199"/>
      <c r="UBK94" s="199"/>
      <c r="UBL94" s="199"/>
      <c r="UBM94" s="199"/>
      <c r="UBN94" s="199"/>
      <c r="UBO94" s="199"/>
      <c r="UBP94" s="199"/>
      <c r="UBQ94" s="199"/>
      <c r="UBR94" s="193"/>
      <c r="UBS94" s="193"/>
      <c r="UBT94" s="193"/>
      <c r="UBU94" s="193"/>
      <c r="UBV94" s="194"/>
      <c r="UBW94" s="194"/>
      <c r="UBX94" s="196"/>
      <c r="UBY94" s="197"/>
      <c r="UBZ94" s="197"/>
      <c r="UCA94" s="198"/>
      <c r="UCB94" s="198"/>
      <c r="UCC94" s="199"/>
      <c r="UCD94" s="199"/>
      <c r="UCE94" s="199"/>
      <c r="UCF94" s="199"/>
      <c r="UCG94" s="199"/>
      <c r="UCH94" s="199"/>
      <c r="UCI94" s="199"/>
      <c r="UCJ94" s="199"/>
      <c r="UCK94" s="199"/>
      <c r="UCL94" s="199"/>
      <c r="UCM94" s="199"/>
      <c r="UCN94" s="199"/>
      <c r="UCO94" s="199"/>
      <c r="UCP94" s="199"/>
      <c r="UCQ94" s="199"/>
      <c r="UCR94" s="199"/>
      <c r="UCS94" s="199"/>
      <c r="UCT94" s="199"/>
      <c r="UCU94" s="199"/>
      <c r="UCV94" s="199"/>
      <c r="UCW94" s="199"/>
      <c r="UCX94" s="199"/>
      <c r="UCY94" s="199"/>
      <c r="UCZ94" s="199"/>
      <c r="UDA94" s="199"/>
      <c r="UDB94" s="199"/>
      <c r="UDC94" s="199"/>
      <c r="UDD94" s="199"/>
      <c r="UDE94" s="199"/>
      <c r="UDF94" s="199"/>
      <c r="UDG94" s="199"/>
      <c r="UDH94" s="199"/>
      <c r="UDI94" s="199"/>
      <c r="UDJ94" s="199"/>
      <c r="UDK94" s="193"/>
      <c r="UDL94" s="193"/>
      <c r="UDM94" s="193"/>
      <c r="UDN94" s="193"/>
      <c r="UDO94" s="194"/>
      <c r="UDP94" s="194"/>
      <c r="UDQ94" s="196"/>
      <c r="UDR94" s="197"/>
      <c r="UDS94" s="197"/>
      <c r="UDT94" s="198"/>
      <c r="UDU94" s="198"/>
      <c r="UDV94" s="199"/>
      <c r="UDW94" s="199"/>
      <c r="UDX94" s="199"/>
      <c r="UDY94" s="199"/>
      <c r="UDZ94" s="199"/>
      <c r="UEA94" s="199"/>
      <c r="UEB94" s="199"/>
      <c r="UEC94" s="199"/>
      <c r="UED94" s="199"/>
      <c r="UEE94" s="199"/>
      <c r="UEF94" s="199"/>
      <c r="UEG94" s="199"/>
      <c r="UEH94" s="199"/>
      <c r="UEI94" s="199"/>
      <c r="UEJ94" s="199"/>
      <c r="UEK94" s="199"/>
      <c r="UEL94" s="199"/>
      <c r="UEM94" s="199"/>
      <c r="UEN94" s="199"/>
      <c r="UEO94" s="199"/>
      <c r="UEP94" s="199"/>
      <c r="UEQ94" s="199"/>
      <c r="UER94" s="199"/>
      <c r="UES94" s="199"/>
      <c r="UET94" s="199"/>
      <c r="UEU94" s="199"/>
      <c r="UEV94" s="199"/>
      <c r="UEW94" s="199"/>
      <c r="UEX94" s="199"/>
      <c r="UEY94" s="199"/>
      <c r="UEZ94" s="199"/>
      <c r="UFA94" s="199"/>
      <c r="UFB94" s="199"/>
      <c r="UFC94" s="199"/>
      <c r="UFD94" s="193"/>
      <c r="UFE94" s="193"/>
      <c r="UFF94" s="193"/>
      <c r="UFG94" s="193"/>
      <c r="UFH94" s="194"/>
      <c r="UFI94" s="194"/>
      <c r="UFJ94" s="196"/>
      <c r="UFK94" s="197"/>
      <c r="UFL94" s="197"/>
      <c r="UFM94" s="198"/>
      <c r="UFN94" s="198"/>
      <c r="UFO94" s="199"/>
      <c r="UFP94" s="199"/>
      <c r="UFQ94" s="199"/>
      <c r="UFR94" s="199"/>
      <c r="UFS94" s="199"/>
      <c r="UFT94" s="199"/>
      <c r="UFU94" s="199"/>
      <c r="UFV94" s="199"/>
      <c r="UFW94" s="199"/>
      <c r="UFX94" s="199"/>
      <c r="UFY94" s="199"/>
      <c r="UFZ94" s="199"/>
      <c r="UGA94" s="199"/>
      <c r="UGB94" s="199"/>
      <c r="UGC94" s="199"/>
      <c r="UGD94" s="199"/>
      <c r="UGE94" s="199"/>
      <c r="UGF94" s="199"/>
      <c r="UGG94" s="199"/>
      <c r="UGH94" s="199"/>
      <c r="UGI94" s="199"/>
      <c r="UGJ94" s="199"/>
      <c r="UGK94" s="199"/>
      <c r="UGL94" s="199"/>
      <c r="UGM94" s="199"/>
      <c r="UGN94" s="199"/>
      <c r="UGO94" s="199"/>
      <c r="UGP94" s="199"/>
      <c r="UGQ94" s="199"/>
      <c r="UGR94" s="199"/>
      <c r="UGS94" s="199"/>
      <c r="UGT94" s="199"/>
      <c r="UGU94" s="199"/>
      <c r="UGV94" s="199"/>
      <c r="UGW94" s="193"/>
      <c r="UGX94" s="193"/>
      <c r="UGY94" s="193"/>
      <c r="UGZ94" s="193"/>
      <c r="UHA94" s="194"/>
      <c r="UHB94" s="194"/>
      <c r="UHC94" s="196"/>
      <c r="UHD94" s="197"/>
      <c r="UHE94" s="197"/>
      <c r="UHF94" s="198"/>
      <c r="UHG94" s="198"/>
      <c r="UHH94" s="199"/>
      <c r="UHI94" s="199"/>
      <c r="UHJ94" s="199"/>
      <c r="UHK94" s="199"/>
      <c r="UHL94" s="199"/>
      <c r="UHM94" s="199"/>
      <c r="UHN94" s="199"/>
      <c r="UHO94" s="199"/>
      <c r="UHP94" s="199"/>
      <c r="UHQ94" s="199"/>
      <c r="UHR94" s="199"/>
      <c r="UHS94" s="199"/>
      <c r="UHT94" s="199"/>
      <c r="UHU94" s="199"/>
      <c r="UHV94" s="199"/>
      <c r="UHW94" s="199"/>
      <c r="UHX94" s="199"/>
      <c r="UHY94" s="199"/>
      <c r="UHZ94" s="199"/>
      <c r="UIA94" s="199"/>
      <c r="UIB94" s="199"/>
      <c r="UIC94" s="199"/>
      <c r="UID94" s="199"/>
      <c r="UIE94" s="199"/>
      <c r="UIF94" s="199"/>
      <c r="UIG94" s="199"/>
      <c r="UIH94" s="199"/>
      <c r="UII94" s="199"/>
      <c r="UIJ94" s="199"/>
      <c r="UIK94" s="199"/>
      <c r="UIL94" s="199"/>
      <c r="UIM94" s="199"/>
      <c r="UIN94" s="199"/>
      <c r="UIO94" s="199"/>
      <c r="UIP94" s="193"/>
      <c r="UIQ94" s="193"/>
      <c r="UIR94" s="193"/>
      <c r="UIS94" s="193"/>
      <c r="UIT94" s="194"/>
      <c r="UIU94" s="194"/>
      <c r="UIV94" s="196"/>
      <c r="UIW94" s="197"/>
      <c r="UIX94" s="197"/>
      <c r="UIY94" s="198"/>
      <c r="UIZ94" s="198"/>
      <c r="UJA94" s="199"/>
      <c r="UJB94" s="199"/>
      <c r="UJC94" s="199"/>
      <c r="UJD94" s="199"/>
      <c r="UJE94" s="199"/>
      <c r="UJF94" s="199"/>
      <c r="UJG94" s="199"/>
      <c r="UJH94" s="199"/>
      <c r="UJI94" s="199"/>
      <c r="UJJ94" s="199"/>
      <c r="UJK94" s="199"/>
      <c r="UJL94" s="199"/>
      <c r="UJM94" s="199"/>
      <c r="UJN94" s="199"/>
      <c r="UJO94" s="199"/>
      <c r="UJP94" s="199"/>
      <c r="UJQ94" s="199"/>
      <c r="UJR94" s="199"/>
      <c r="UJS94" s="199"/>
      <c r="UJT94" s="199"/>
      <c r="UJU94" s="199"/>
      <c r="UJV94" s="199"/>
      <c r="UJW94" s="199"/>
      <c r="UJX94" s="199"/>
      <c r="UJY94" s="199"/>
      <c r="UJZ94" s="199"/>
      <c r="UKA94" s="199"/>
      <c r="UKB94" s="199"/>
      <c r="UKC94" s="199"/>
      <c r="UKD94" s="199"/>
      <c r="UKE94" s="199"/>
      <c r="UKF94" s="199"/>
      <c r="UKG94" s="199"/>
      <c r="UKH94" s="199"/>
      <c r="UKI94" s="193"/>
      <c r="UKJ94" s="193"/>
      <c r="UKK94" s="193"/>
      <c r="UKL94" s="193"/>
      <c r="UKM94" s="194"/>
      <c r="UKN94" s="194"/>
      <c r="UKO94" s="196"/>
      <c r="UKP94" s="197"/>
      <c r="UKQ94" s="197"/>
      <c r="UKR94" s="198"/>
      <c r="UKS94" s="198"/>
      <c r="UKT94" s="199"/>
      <c r="UKU94" s="199"/>
      <c r="UKV94" s="199"/>
      <c r="UKW94" s="199"/>
      <c r="UKX94" s="199"/>
      <c r="UKY94" s="199"/>
      <c r="UKZ94" s="199"/>
      <c r="ULA94" s="199"/>
      <c r="ULB94" s="199"/>
      <c r="ULC94" s="199"/>
      <c r="ULD94" s="199"/>
      <c r="ULE94" s="199"/>
      <c r="ULF94" s="199"/>
      <c r="ULG94" s="199"/>
      <c r="ULH94" s="199"/>
      <c r="ULI94" s="199"/>
      <c r="ULJ94" s="199"/>
      <c r="ULK94" s="199"/>
      <c r="ULL94" s="199"/>
      <c r="ULM94" s="199"/>
      <c r="ULN94" s="199"/>
      <c r="ULO94" s="199"/>
      <c r="ULP94" s="199"/>
      <c r="ULQ94" s="199"/>
      <c r="ULR94" s="199"/>
      <c r="ULS94" s="199"/>
      <c r="ULT94" s="199"/>
      <c r="ULU94" s="199"/>
      <c r="ULV94" s="199"/>
      <c r="ULW94" s="199"/>
      <c r="ULX94" s="199"/>
      <c r="ULY94" s="199"/>
      <c r="ULZ94" s="199"/>
      <c r="UMA94" s="199"/>
      <c r="UMB94" s="193"/>
      <c r="UMC94" s="193"/>
      <c r="UMD94" s="193"/>
      <c r="UME94" s="193"/>
      <c r="UMF94" s="194"/>
      <c r="UMG94" s="194"/>
      <c r="UMH94" s="196"/>
      <c r="UMI94" s="197"/>
      <c r="UMJ94" s="197"/>
      <c r="UMK94" s="198"/>
      <c r="UML94" s="198"/>
      <c r="UMM94" s="199"/>
      <c r="UMN94" s="199"/>
      <c r="UMO94" s="199"/>
      <c r="UMP94" s="199"/>
      <c r="UMQ94" s="199"/>
      <c r="UMR94" s="199"/>
      <c r="UMS94" s="199"/>
      <c r="UMT94" s="199"/>
      <c r="UMU94" s="199"/>
      <c r="UMV94" s="199"/>
      <c r="UMW94" s="199"/>
      <c r="UMX94" s="199"/>
      <c r="UMY94" s="199"/>
      <c r="UMZ94" s="199"/>
      <c r="UNA94" s="199"/>
      <c r="UNB94" s="199"/>
      <c r="UNC94" s="199"/>
      <c r="UND94" s="199"/>
      <c r="UNE94" s="199"/>
      <c r="UNF94" s="199"/>
      <c r="UNG94" s="199"/>
      <c r="UNH94" s="199"/>
      <c r="UNI94" s="199"/>
      <c r="UNJ94" s="199"/>
      <c r="UNK94" s="199"/>
      <c r="UNL94" s="199"/>
      <c r="UNM94" s="199"/>
      <c r="UNN94" s="199"/>
      <c r="UNO94" s="199"/>
      <c r="UNP94" s="199"/>
      <c r="UNQ94" s="199"/>
      <c r="UNR94" s="199"/>
      <c r="UNS94" s="199"/>
      <c r="UNT94" s="199"/>
      <c r="UNU94" s="193"/>
      <c r="UNV94" s="193"/>
      <c r="UNW94" s="193"/>
      <c r="UNX94" s="193"/>
      <c r="UNY94" s="194"/>
      <c r="UNZ94" s="194"/>
      <c r="UOA94" s="196"/>
      <c r="UOB94" s="197"/>
      <c r="UOC94" s="197"/>
      <c r="UOD94" s="198"/>
      <c r="UOE94" s="198"/>
      <c r="UOF94" s="199"/>
      <c r="UOG94" s="199"/>
      <c r="UOH94" s="199"/>
      <c r="UOI94" s="199"/>
      <c r="UOJ94" s="199"/>
      <c r="UOK94" s="199"/>
      <c r="UOL94" s="199"/>
      <c r="UOM94" s="199"/>
      <c r="UON94" s="199"/>
      <c r="UOO94" s="199"/>
      <c r="UOP94" s="199"/>
      <c r="UOQ94" s="199"/>
      <c r="UOR94" s="199"/>
      <c r="UOS94" s="199"/>
      <c r="UOT94" s="199"/>
      <c r="UOU94" s="199"/>
      <c r="UOV94" s="199"/>
      <c r="UOW94" s="199"/>
      <c r="UOX94" s="199"/>
      <c r="UOY94" s="199"/>
      <c r="UOZ94" s="199"/>
      <c r="UPA94" s="199"/>
      <c r="UPB94" s="199"/>
      <c r="UPC94" s="199"/>
      <c r="UPD94" s="199"/>
      <c r="UPE94" s="199"/>
      <c r="UPF94" s="199"/>
      <c r="UPG94" s="199"/>
      <c r="UPH94" s="199"/>
      <c r="UPI94" s="199"/>
      <c r="UPJ94" s="199"/>
      <c r="UPK94" s="199"/>
      <c r="UPL94" s="199"/>
      <c r="UPM94" s="199"/>
      <c r="UPN94" s="193"/>
      <c r="UPO94" s="193"/>
      <c r="UPP94" s="193"/>
      <c r="UPQ94" s="193"/>
      <c r="UPR94" s="194"/>
      <c r="UPS94" s="194"/>
      <c r="UPT94" s="196"/>
      <c r="UPU94" s="197"/>
      <c r="UPV94" s="197"/>
      <c r="UPW94" s="198"/>
      <c r="UPX94" s="198"/>
      <c r="UPY94" s="199"/>
      <c r="UPZ94" s="199"/>
      <c r="UQA94" s="199"/>
      <c r="UQB94" s="199"/>
      <c r="UQC94" s="199"/>
      <c r="UQD94" s="199"/>
      <c r="UQE94" s="199"/>
      <c r="UQF94" s="199"/>
      <c r="UQG94" s="199"/>
      <c r="UQH94" s="199"/>
      <c r="UQI94" s="199"/>
      <c r="UQJ94" s="199"/>
      <c r="UQK94" s="199"/>
      <c r="UQL94" s="199"/>
      <c r="UQM94" s="199"/>
      <c r="UQN94" s="199"/>
      <c r="UQO94" s="199"/>
      <c r="UQP94" s="199"/>
      <c r="UQQ94" s="199"/>
      <c r="UQR94" s="199"/>
      <c r="UQS94" s="199"/>
      <c r="UQT94" s="199"/>
      <c r="UQU94" s="199"/>
      <c r="UQV94" s="199"/>
      <c r="UQW94" s="199"/>
      <c r="UQX94" s="199"/>
      <c r="UQY94" s="199"/>
      <c r="UQZ94" s="199"/>
      <c r="URA94" s="199"/>
      <c r="URB94" s="199"/>
      <c r="URC94" s="199"/>
      <c r="URD94" s="199"/>
      <c r="URE94" s="199"/>
      <c r="URF94" s="199"/>
      <c r="URG94" s="193"/>
      <c r="URH94" s="193"/>
      <c r="URI94" s="193"/>
      <c r="URJ94" s="193"/>
      <c r="URK94" s="194"/>
      <c r="URL94" s="194"/>
      <c r="URM94" s="196"/>
      <c r="URN94" s="197"/>
      <c r="URO94" s="197"/>
      <c r="URP94" s="198"/>
      <c r="URQ94" s="198"/>
      <c r="URR94" s="199"/>
      <c r="URS94" s="199"/>
      <c r="URT94" s="199"/>
      <c r="URU94" s="199"/>
      <c r="URV94" s="199"/>
      <c r="URW94" s="199"/>
      <c r="URX94" s="199"/>
      <c r="URY94" s="199"/>
      <c r="URZ94" s="199"/>
      <c r="USA94" s="199"/>
      <c r="USB94" s="199"/>
      <c r="USC94" s="199"/>
      <c r="USD94" s="199"/>
      <c r="USE94" s="199"/>
      <c r="USF94" s="199"/>
      <c r="USG94" s="199"/>
      <c r="USH94" s="199"/>
      <c r="USI94" s="199"/>
      <c r="USJ94" s="199"/>
      <c r="USK94" s="199"/>
      <c r="USL94" s="199"/>
      <c r="USM94" s="199"/>
      <c r="USN94" s="199"/>
      <c r="USO94" s="199"/>
      <c r="USP94" s="199"/>
      <c r="USQ94" s="199"/>
      <c r="USR94" s="199"/>
      <c r="USS94" s="199"/>
      <c r="UST94" s="199"/>
      <c r="USU94" s="199"/>
      <c r="USV94" s="199"/>
      <c r="USW94" s="199"/>
      <c r="USX94" s="199"/>
      <c r="USY94" s="199"/>
      <c r="USZ94" s="193"/>
      <c r="UTA94" s="193"/>
      <c r="UTB94" s="193"/>
      <c r="UTC94" s="193"/>
      <c r="UTD94" s="194"/>
      <c r="UTE94" s="194"/>
      <c r="UTF94" s="196"/>
      <c r="UTG94" s="197"/>
      <c r="UTH94" s="197"/>
      <c r="UTI94" s="198"/>
      <c r="UTJ94" s="198"/>
      <c r="UTK94" s="199"/>
      <c r="UTL94" s="199"/>
      <c r="UTM94" s="199"/>
      <c r="UTN94" s="199"/>
      <c r="UTO94" s="199"/>
      <c r="UTP94" s="199"/>
      <c r="UTQ94" s="199"/>
      <c r="UTR94" s="199"/>
      <c r="UTS94" s="199"/>
      <c r="UTT94" s="199"/>
      <c r="UTU94" s="199"/>
      <c r="UTV94" s="199"/>
      <c r="UTW94" s="199"/>
      <c r="UTX94" s="199"/>
      <c r="UTY94" s="199"/>
      <c r="UTZ94" s="199"/>
      <c r="UUA94" s="199"/>
      <c r="UUB94" s="199"/>
      <c r="UUC94" s="199"/>
      <c r="UUD94" s="199"/>
      <c r="UUE94" s="199"/>
      <c r="UUF94" s="199"/>
      <c r="UUG94" s="199"/>
      <c r="UUH94" s="199"/>
      <c r="UUI94" s="199"/>
      <c r="UUJ94" s="199"/>
      <c r="UUK94" s="199"/>
      <c r="UUL94" s="199"/>
      <c r="UUM94" s="199"/>
      <c r="UUN94" s="199"/>
      <c r="UUO94" s="199"/>
      <c r="UUP94" s="199"/>
      <c r="UUQ94" s="199"/>
      <c r="UUR94" s="199"/>
      <c r="UUS94" s="193"/>
      <c r="UUT94" s="193"/>
      <c r="UUU94" s="193"/>
      <c r="UUV94" s="193"/>
      <c r="UUW94" s="194"/>
      <c r="UUX94" s="194"/>
      <c r="UUY94" s="196"/>
      <c r="UUZ94" s="197"/>
      <c r="UVA94" s="197"/>
      <c r="UVB94" s="198"/>
      <c r="UVC94" s="198"/>
      <c r="UVD94" s="199"/>
      <c r="UVE94" s="199"/>
      <c r="UVF94" s="199"/>
      <c r="UVG94" s="199"/>
      <c r="UVH94" s="199"/>
      <c r="UVI94" s="199"/>
      <c r="UVJ94" s="199"/>
      <c r="UVK94" s="199"/>
      <c r="UVL94" s="199"/>
      <c r="UVM94" s="199"/>
      <c r="UVN94" s="199"/>
      <c r="UVO94" s="199"/>
      <c r="UVP94" s="199"/>
      <c r="UVQ94" s="199"/>
      <c r="UVR94" s="199"/>
      <c r="UVS94" s="199"/>
      <c r="UVT94" s="199"/>
      <c r="UVU94" s="199"/>
      <c r="UVV94" s="199"/>
      <c r="UVW94" s="199"/>
      <c r="UVX94" s="199"/>
      <c r="UVY94" s="199"/>
      <c r="UVZ94" s="199"/>
      <c r="UWA94" s="199"/>
      <c r="UWB94" s="199"/>
      <c r="UWC94" s="199"/>
      <c r="UWD94" s="199"/>
      <c r="UWE94" s="199"/>
      <c r="UWF94" s="199"/>
      <c r="UWG94" s="199"/>
      <c r="UWH94" s="199"/>
      <c r="UWI94" s="199"/>
      <c r="UWJ94" s="199"/>
      <c r="UWK94" s="199"/>
      <c r="UWL94" s="193"/>
      <c r="UWM94" s="193"/>
      <c r="UWN94" s="193"/>
      <c r="UWO94" s="193"/>
      <c r="UWP94" s="194"/>
      <c r="UWQ94" s="194"/>
      <c r="UWR94" s="196"/>
      <c r="UWS94" s="197"/>
      <c r="UWT94" s="197"/>
      <c r="UWU94" s="198"/>
      <c r="UWV94" s="198"/>
      <c r="UWW94" s="199"/>
      <c r="UWX94" s="199"/>
      <c r="UWY94" s="199"/>
      <c r="UWZ94" s="199"/>
      <c r="UXA94" s="199"/>
      <c r="UXB94" s="199"/>
      <c r="UXC94" s="199"/>
      <c r="UXD94" s="199"/>
      <c r="UXE94" s="199"/>
      <c r="UXF94" s="199"/>
      <c r="UXG94" s="199"/>
      <c r="UXH94" s="199"/>
      <c r="UXI94" s="199"/>
      <c r="UXJ94" s="199"/>
      <c r="UXK94" s="199"/>
      <c r="UXL94" s="199"/>
      <c r="UXM94" s="199"/>
      <c r="UXN94" s="199"/>
      <c r="UXO94" s="199"/>
      <c r="UXP94" s="199"/>
      <c r="UXQ94" s="199"/>
      <c r="UXR94" s="199"/>
      <c r="UXS94" s="199"/>
      <c r="UXT94" s="199"/>
      <c r="UXU94" s="199"/>
      <c r="UXV94" s="199"/>
      <c r="UXW94" s="199"/>
      <c r="UXX94" s="199"/>
      <c r="UXY94" s="199"/>
      <c r="UXZ94" s="199"/>
      <c r="UYA94" s="199"/>
      <c r="UYB94" s="199"/>
      <c r="UYC94" s="199"/>
      <c r="UYD94" s="199"/>
      <c r="UYE94" s="193"/>
      <c r="UYF94" s="193"/>
      <c r="UYG94" s="193"/>
      <c r="UYH94" s="193"/>
      <c r="UYI94" s="194"/>
      <c r="UYJ94" s="194"/>
      <c r="UYK94" s="196"/>
      <c r="UYL94" s="197"/>
      <c r="UYM94" s="197"/>
      <c r="UYN94" s="198"/>
      <c r="UYO94" s="198"/>
      <c r="UYP94" s="199"/>
      <c r="UYQ94" s="199"/>
      <c r="UYR94" s="199"/>
      <c r="UYS94" s="199"/>
      <c r="UYT94" s="199"/>
      <c r="UYU94" s="199"/>
      <c r="UYV94" s="199"/>
      <c r="UYW94" s="199"/>
      <c r="UYX94" s="199"/>
      <c r="UYY94" s="199"/>
      <c r="UYZ94" s="199"/>
      <c r="UZA94" s="199"/>
      <c r="UZB94" s="199"/>
      <c r="UZC94" s="199"/>
      <c r="UZD94" s="199"/>
      <c r="UZE94" s="199"/>
      <c r="UZF94" s="199"/>
      <c r="UZG94" s="199"/>
      <c r="UZH94" s="199"/>
      <c r="UZI94" s="199"/>
      <c r="UZJ94" s="199"/>
      <c r="UZK94" s="199"/>
      <c r="UZL94" s="199"/>
      <c r="UZM94" s="199"/>
      <c r="UZN94" s="199"/>
      <c r="UZO94" s="199"/>
      <c r="UZP94" s="199"/>
      <c r="UZQ94" s="199"/>
      <c r="UZR94" s="199"/>
      <c r="UZS94" s="199"/>
      <c r="UZT94" s="199"/>
      <c r="UZU94" s="199"/>
      <c r="UZV94" s="199"/>
      <c r="UZW94" s="199"/>
      <c r="UZX94" s="193"/>
      <c r="UZY94" s="193"/>
      <c r="UZZ94" s="193"/>
      <c r="VAA94" s="193"/>
      <c r="VAB94" s="194"/>
      <c r="VAC94" s="194"/>
      <c r="VAD94" s="196"/>
      <c r="VAE94" s="197"/>
      <c r="VAF94" s="197"/>
      <c r="VAG94" s="198"/>
      <c r="VAH94" s="198"/>
      <c r="VAI94" s="199"/>
      <c r="VAJ94" s="199"/>
      <c r="VAK94" s="199"/>
      <c r="VAL94" s="199"/>
      <c r="VAM94" s="199"/>
      <c r="VAN94" s="199"/>
      <c r="VAO94" s="199"/>
      <c r="VAP94" s="199"/>
      <c r="VAQ94" s="199"/>
      <c r="VAR94" s="199"/>
      <c r="VAS94" s="199"/>
      <c r="VAT94" s="199"/>
      <c r="VAU94" s="199"/>
      <c r="VAV94" s="199"/>
      <c r="VAW94" s="199"/>
      <c r="VAX94" s="199"/>
      <c r="VAY94" s="199"/>
      <c r="VAZ94" s="199"/>
      <c r="VBA94" s="199"/>
      <c r="VBB94" s="199"/>
      <c r="VBC94" s="199"/>
      <c r="VBD94" s="199"/>
      <c r="VBE94" s="199"/>
      <c r="VBF94" s="199"/>
      <c r="VBG94" s="199"/>
      <c r="VBH94" s="199"/>
      <c r="VBI94" s="199"/>
      <c r="VBJ94" s="199"/>
      <c r="VBK94" s="199"/>
      <c r="VBL94" s="199"/>
      <c r="VBM94" s="199"/>
      <c r="VBN94" s="199"/>
      <c r="VBO94" s="199"/>
      <c r="VBP94" s="199"/>
      <c r="VBQ94" s="193"/>
      <c r="VBR94" s="193"/>
      <c r="VBS94" s="193"/>
      <c r="VBT94" s="193"/>
      <c r="VBU94" s="194"/>
      <c r="VBV94" s="194"/>
      <c r="VBW94" s="196"/>
      <c r="VBX94" s="197"/>
      <c r="VBY94" s="197"/>
      <c r="VBZ94" s="198"/>
      <c r="VCA94" s="198"/>
      <c r="VCB94" s="199"/>
      <c r="VCC94" s="199"/>
      <c r="VCD94" s="199"/>
      <c r="VCE94" s="199"/>
      <c r="VCF94" s="199"/>
      <c r="VCG94" s="199"/>
      <c r="VCH94" s="199"/>
      <c r="VCI94" s="199"/>
      <c r="VCJ94" s="199"/>
      <c r="VCK94" s="199"/>
      <c r="VCL94" s="199"/>
      <c r="VCM94" s="199"/>
      <c r="VCN94" s="199"/>
      <c r="VCO94" s="199"/>
      <c r="VCP94" s="199"/>
      <c r="VCQ94" s="199"/>
      <c r="VCR94" s="199"/>
      <c r="VCS94" s="199"/>
      <c r="VCT94" s="199"/>
      <c r="VCU94" s="199"/>
      <c r="VCV94" s="199"/>
      <c r="VCW94" s="199"/>
      <c r="VCX94" s="199"/>
      <c r="VCY94" s="199"/>
      <c r="VCZ94" s="199"/>
      <c r="VDA94" s="199"/>
      <c r="VDB94" s="199"/>
      <c r="VDC94" s="199"/>
      <c r="VDD94" s="199"/>
      <c r="VDE94" s="199"/>
      <c r="VDF94" s="199"/>
      <c r="VDG94" s="199"/>
      <c r="VDH94" s="199"/>
      <c r="VDI94" s="199"/>
      <c r="VDJ94" s="193"/>
      <c r="VDK94" s="193"/>
      <c r="VDL94" s="193"/>
      <c r="VDM94" s="193"/>
      <c r="VDN94" s="194"/>
      <c r="VDO94" s="194"/>
      <c r="VDP94" s="196"/>
      <c r="VDQ94" s="197"/>
      <c r="VDR94" s="197"/>
      <c r="VDS94" s="198"/>
      <c r="VDT94" s="198"/>
      <c r="VDU94" s="199"/>
      <c r="VDV94" s="199"/>
      <c r="VDW94" s="199"/>
      <c r="VDX94" s="199"/>
      <c r="VDY94" s="199"/>
      <c r="VDZ94" s="199"/>
      <c r="VEA94" s="199"/>
      <c r="VEB94" s="199"/>
      <c r="VEC94" s="199"/>
      <c r="VED94" s="199"/>
      <c r="VEE94" s="199"/>
      <c r="VEF94" s="199"/>
      <c r="VEG94" s="199"/>
      <c r="VEH94" s="199"/>
      <c r="VEI94" s="199"/>
      <c r="VEJ94" s="199"/>
      <c r="VEK94" s="199"/>
      <c r="VEL94" s="199"/>
      <c r="VEM94" s="199"/>
      <c r="VEN94" s="199"/>
      <c r="VEO94" s="199"/>
      <c r="VEP94" s="199"/>
      <c r="VEQ94" s="199"/>
      <c r="VER94" s="199"/>
      <c r="VES94" s="199"/>
      <c r="VET94" s="199"/>
      <c r="VEU94" s="199"/>
      <c r="VEV94" s="199"/>
      <c r="VEW94" s="199"/>
      <c r="VEX94" s="199"/>
      <c r="VEY94" s="199"/>
      <c r="VEZ94" s="199"/>
      <c r="VFA94" s="199"/>
      <c r="VFB94" s="199"/>
      <c r="VFC94" s="193"/>
      <c r="VFD94" s="193"/>
      <c r="VFE94" s="193"/>
      <c r="VFF94" s="193"/>
      <c r="VFG94" s="194"/>
      <c r="VFH94" s="194"/>
      <c r="VFI94" s="196"/>
      <c r="VFJ94" s="197"/>
      <c r="VFK94" s="197"/>
      <c r="VFL94" s="198"/>
      <c r="VFM94" s="198"/>
      <c r="VFN94" s="199"/>
      <c r="VFO94" s="199"/>
      <c r="VFP94" s="199"/>
      <c r="VFQ94" s="199"/>
      <c r="VFR94" s="199"/>
      <c r="VFS94" s="199"/>
      <c r="VFT94" s="199"/>
      <c r="VFU94" s="199"/>
      <c r="VFV94" s="199"/>
      <c r="VFW94" s="199"/>
      <c r="VFX94" s="199"/>
      <c r="VFY94" s="199"/>
      <c r="VFZ94" s="199"/>
      <c r="VGA94" s="199"/>
      <c r="VGB94" s="199"/>
      <c r="VGC94" s="199"/>
      <c r="VGD94" s="199"/>
      <c r="VGE94" s="199"/>
      <c r="VGF94" s="199"/>
      <c r="VGG94" s="199"/>
      <c r="VGH94" s="199"/>
      <c r="VGI94" s="199"/>
      <c r="VGJ94" s="199"/>
      <c r="VGK94" s="199"/>
      <c r="VGL94" s="199"/>
      <c r="VGM94" s="199"/>
      <c r="VGN94" s="199"/>
      <c r="VGO94" s="199"/>
      <c r="VGP94" s="199"/>
      <c r="VGQ94" s="199"/>
      <c r="VGR94" s="199"/>
      <c r="VGS94" s="199"/>
      <c r="VGT94" s="199"/>
      <c r="VGU94" s="199"/>
      <c r="VGV94" s="193"/>
      <c r="VGW94" s="193"/>
      <c r="VGX94" s="193"/>
      <c r="VGY94" s="193"/>
      <c r="VGZ94" s="194"/>
      <c r="VHA94" s="194"/>
      <c r="VHB94" s="196"/>
      <c r="VHC94" s="197"/>
      <c r="VHD94" s="197"/>
      <c r="VHE94" s="198"/>
      <c r="VHF94" s="198"/>
      <c r="VHG94" s="199"/>
      <c r="VHH94" s="199"/>
      <c r="VHI94" s="199"/>
      <c r="VHJ94" s="199"/>
      <c r="VHK94" s="199"/>
      <c r="VHL94" s="199"/>
      <c r="VHM94" s="199"/>
      <c r="VHN94" s="199"/>
      <c r="VHO94" s="199"/>
      <c r="VHP94" s="199"/>
      <c r="VHQ94" s="199"/>
      <c r="VHR94" s="199"/>
      <c r="VHS94" s="199"/>
      <c r="VHT94" s="199"/>
      <c r="VHU94" s="199"/>
      <c r="VHV94" s="199"/>
      <c r="VHW94" s="199"/>
      <c r="VHX94" s="199"/>
      <c r="VHY94" s="199"/>
      <c r="VHZ94" s="199"/>
      <c r="VIA94" s="199"/>
      <c r="VIB94" s="199"/>
      <c r="VIC94" s="199"/>
      <c r="VID94" s="199"/>
      <c r="VIE94" s="199"/>
      <c r="VIF94" s="199"/>
      <c r="VIG94" s="199"/>
      <c r="VIH94" s="199"/>
      <c r="VII94" s="199"/>
      <c r="VIJ94" s="199"/>
      <c r="VIK94" s="199"/>
      <c r="VIL94" s="199"/>
      <c r="VIM94" s="199"/>
      <c r="VIN94" s="199"/>
      <c r="VIO94" s="193"/>
      <c r="VIP94" s="193"/>
      <c r="VIQ94" s="193"/>
      <c r="VIR94" s="193"/>
      <c r="VIS94" s="194"/>
      <c r="VIT94" s="194"/>
      <c r="VIU94" s="196"/>
      <c r="VIV94" s="197"/>
      <c r="VIW94" s="197"/>
      <c r="VIX94" s="198"/>
      <c r="VIY94" s="198"/>
      <c r="VIZ94" s="199"/>
      <c r="VJA94" s="199"/>
      <c r="VJB94" s="199"/>
      <c r="VJC94" s="199"/>
      <c r="VJD94" s="199"/>
      <c r="VJE94" s="199"/>
      <c r="VJF94" s="199"/>
      <c r="VJG94" s="199"/>
      <c r="VJH94" s="199"/>
      <c r="VJI94" s="199"/>
      <c r="VJJ94" s="199"/>
      <c r="VJK94" s="199"/>
      <c r="VJL94" s="199"/>
      <c r="VJM94" s="199"/>
      <c r="VJN94" s="199"/>
      <c r="VJO94" s="199"/>
      <c r="VJP94" s="199"/>
      <c r="VJQ94" s="199"/>
      <c r="VJR94" s="199"/>
      <c r="VJS94" s="199"/>
      <c r="VJT94" s="199"/>
      <c r="VJU94" s="199"/>
      <c r="VJV94" s="199"/>
      <c r="VJW94" s="199"/>
      <c r="VJX94" s="199"/>
      <c r="VJY94" s="199"/>
      <c r="VJZ94" s="199"/>
      <c r="VKA94" s="199"/>
      <c r="VKB94" s="199"/>
      <c r="VKC94" s="199"/>
      <c r="VKD94" s="199"/>
      <c r="VKE94" s="199"/>
      <c r="VKF94" s="199"/>
      <c r="VKG94" s="199"/>
      <c r="VKH94" s="193"/>
      <c r="VKI94" s="193"/>
      <c r="VKJ94" s="193"/>
      <c r="VKK94" s="193"/>
      <c r="VKL94" s="194"/>
      <c r="VKM94" s="194"/>
      <c r="VKN94" s="196"/>
      <c r="VKO94" s="197"/>
      <c r="VKP94" s="197"/>
      <c r="VKQ94" s="198"/>
      <c r="VKR94" s="198"/>
      <c r="VKS94" s="199"/>
      <c r="VKT94" s="199"/>
      <c r="VKU94" s="199"/>
      <c r="VKV94" s="199"/>
      <c r="VKW94" s="199"/>
      <c r="VKX94" s="199"/>
      <c r="VKY94" s="199"/>
      <c r="VKZ94" s="199"/>
      <c r="VLA94" s="199"/>
      <c r="VLB94" s="199"/>
      <c r="VLC94" s="199"/>
      <c r="VLD94" s="199"/>
      <c r="VLE94" s="199"/>
      <c r="VLF94" s="199"/>
      <c r="VLG94" s="199"/>
      <c r="VLH94" s="199"/>
      <c r="VLI94" s="199"/>
      <c r="VLJ94" s="199"/>
      <c r="VLK94" s="199"/>
      <c r="VLL94" s="199"/>
      <c r="VLM94" s="199"/>
      <c r="VLN94" s="199"/>
      <c r="VLO94" s="199"/>
      <c r="VLP94" s="199"/>
      <c r="VLQ94" s="199"/>
      <c r="VLR94" s="199"/>
      <c r="VLS94" s="199"/>
      <c r="VLT94" s="199"/>
      <c r="VLU94" s="199"/>
      <c r="VLV94" s="199"/>
      <c r="VLW94" s="199"/>
      <c r="VLX94" s="199"/>
      <c r="VLY94" s="199"/>
      <c r="VLZ94" s="199"/>
      <c r="VMA94" s="193"/>
      <c r="VMB94" s="193"/>
      <c r="VMC94" s="193"/>
      <c r="VMD94" s="193"/>
      <c r="VME94" s="194"/>
      <c r="VMF94" s="194"/>
      <c r="VMG94" s="196"/>
      <c r="VMH94" s="197"/>
      <c r="VMI94" s="197"/>
      <c r="VMJ94" s="198"/>
      <c r="VMK94" s="198"/>
      <c r="VML94" s="199"/>
      <c r="VMM94" s="199"/>
      <c r="VMN94" s="199"/>
      <c r="VMO94" s="199"/>
      <c r="VMP94" s="199"/>
      <c r="VMQ94" s="199"/>
      <c r="VMR94" s="199"/>
      <c r="VMS94" s="199"/>
      <c r="VMT94" s="199"/>
      <c r="VMU94" s="199"/>
      <c r="VMV94" s="199"/>
      <c r="VMW94" s="199"/>
      <c r="VMX94" s="199"/>
      <c r="VMY94" s="199"/>
      <c r="VMZ94" s="199"/>
      <c r="VNA94" s="199"/>
      <c r="VNB94" s="199"/>
      <c r="VNC94" s="199"/>
      <c r="VND94" s="199"/>
      <c r="VNE94" s="199"/>
      <c r="VNF94" s="199"/>
      <c r="VNG94" s="199"/>
      <c r="VNH94" s="199"/>
      <c r="VNI94" s="199"/>
      <c r="VNJ94" s="199"/>
      <c r="VNK94" s="199"/>
      <c r="VNL94" s="199"/>
      <c r="VNM94" s="199"/>
      <c r="VNN94" s="199"/>
      <c r="VNO94" s="199"/>
      <c r="VNP94" s="199"/>
      <c r="VNQ94" s="199"/>
      <c r="VNR94" s="199"/>
      <c r="VNS94" s="199"/>
      <c r="VNT94" s="193"/>
      <c r="VNU94" s="193"/>
      <c r="VNV94" s="193"/>
      <c r="VNW94" s="193"/>
      <c r="VNX94" s="194"/>
      <c r="VNY94" s="194"/>
      <c r="VNZ94" s="196"/>
      <c r="VOA94" s="197"/>
      <c r="VOB94" s="197"/>
      <c r="VOC94" s="198"/>
      <c r="VOD94" s="198"/>
      <c r="VOE94" s="199"/>
      <c r="VOF94" s="199"/>
      <c r="VOG94" s="199"/>
      <c r="VOH94" s="199"/>
      <c r="VOI94" s="199"/>
      <c r="VOJ94" s="199"/>
      <c r="VOK94" s="199"/>
      <c r="VOL94" s="199"/>
      <c r="VOM94" s="199"/>
      <c r="VON94" s="199"/>
      <c r="VOO94" s="199"/>
      <c r="VOP94" s="199"/>
      <c r="VOQ94" s="199"/>
      <c r="VOR94" s="199"/>
      <c r="VOS94" s="199"/>
      <c r="VOT94" s="199"/>
      <c r="VOU94" s="199"/>
      <c r="VOV94" s="199"/>
      <c r="VOW94" s="199"/>
      <c r="VOX94" s="199"/>
      <c r="VOY94" s="199"/>
      <c r="VOZ94" s="199"/>
      <c r="VPA94" s="199"/>
      <c r="VPB94" s="199"/>
      <c r="VPC94" s="199"/>
      <c r="VPD94" s="199"/>
      <c r="VPE94" s="199"/>
      <c r="VPF94" s="199"/>
      <c r="VPG94" s="199"/>
      <c r="VPH94" s="199"/>
      <c r="VPI94" s="199"/>
      <c r="VPJ94" s="199"/>
      <c r="VPK94" s="199"/>
      <c r="VPL94" s="199"/>
      <c r="VPM94" s="193"/>
      <c r="VPN94" s="193"/>
      <c r="VPO94" s="193"/>
      <c r="VPP94" s="193"/>
      <c r="VPQ94" s="194"/>
      <c r="VPR94" s="194"/>
      <c r="VPS94" s="196"/>
      <c r="VPT94" s="197"/>
      <c r="VPU94" s="197"/>
      <c r="VPV94" s="198"/>
      <c r="VPW94" s="198"/>
      <c r="VPX94" s="199"/>
      <c r="VPY94" s="199"/>
      <c r="VPZ94" s="199"/>
      <c r="VQA94" s="199"/>
      <c r="VQB94" s="199"/>
      <c r="VQC94" s="199"/>
      <c r="VQD94" s="199"/>
      <c r="VQE94" s="199"/>
      <c r="VQF94" s="199"/>
      <c r="VQG94" s="199"/>
      <c r="VQH94" s="199"/>
      <c r="VQI94" s="199"/>
      <c r="VQJ94" s="199"/>
      <c r="VQK94" s="199"/>
      <c r="VQL94" s="199"/>
      <c r="VQM94" s="199"/>
      <c r="VQN94" s="199"/>
      <c r="VQO94" s="199"/>
      <c r="VQP94" s="199"/>
      <c r="VQQ94" s="199"/>
      <c r="VQR94" s="199"/>
      <c r="VQS94" s="199"/>
      <c r="VQT94" s="199"/>
      <c r="VQU94" s="199"/>
      <c r="VQV94" s="199"/>
      <c r="VQW94" s="199"/>
      <c r="VQX94" s="199"/>
      <c r="VQY94" s="199"/>
      <c r="VQZ94" s="199"/>
      <c r="VRA94" s="199"/>
      <c r="VRB94" s="199"/>
      <c r="VRC94" s="199"/>
      <c r="VRD94" s="199"/>
      <c r="VRE94" s="199"/>
      <c r="VRF94" s="193"/>
      <c r="VRG94" s="193"/>
      <c r="VRH94" s="193"/>
      <c r="VRI94" s="193"/>
      <c r="VRJ94" s="194"/>
      <c r="VRK94" s="194"/>
      <c r="VRL94" s="196"/>
      <c r="VRM94" s="197"/>
      <c r="VRN94" s="197"/>
      <c r="VRO94" s="198"/>
      <c r="VRP94" s="198"/>
      <c r="VRQ94" s="199"/>
      <c r="VRR94" s="199"/>
      <c r="VRS94" s="199"/>
      <c r="VRT94" s="199"/>
      <c r="VRU94" s="199"/>
      <c r="VRV94" s="199"/>
      <c r="VRW94" s="199"/>
      <c r="VRX94" s="199"/>
      <c r="VRY94" s="199"/>
      <c r="VRZ94" s="199"/>
      <c r="VSA94" s="199"/>
      <c r="VSB94" s="199"/>
      <c r="VSC94" s="199"/>
      <c r="VSD94" s="199"/>
      <c r="VSE94" s="199"/>
      <c r="VSF94" s="199"/>
      <c r="VSG94" s="199"/>
      <c r="VSH94" s="199"/>
      <c r="VSI94" s="199"/>
      <c r="VSJ94" s="199"/>
      <c r="VSK94" s="199"/>
      <c r="VSL94" s="199"/>
      <c r="VSM94" s="199"/>
      <c r="VSN94" s="199"/>
      <c r="VSO94" s="199"/>
      <c r="VSP94" s="199"/>
      <c r="VSQ94" s="199"/>
      <c r="VSR94" s="199"/>
      <c r="VSS94" s="199"/>
      <c r="VST94" s="199"/>
      <c r="VSU94" s="199"/>
      <c r="VSV94" s="199"/>
      <c r="VSW94" s="199"/>
      <c r="VSX94" s="199"/>
      <c r="VSY94" s="193"/>
      <c r="VSZ94" s="193"/>
      <c r="VTA94" s="193"/>
      <c r="VTB94" s="193"/>
      <c r="VTC94" s="194"/>
      <c r="VTD94" s="194"/>
      <c r="VTE94" s="196"/>
      <c r="VTF94" s="197"/>
      <c r="VTG94" s="197"/>
      <c r="VTH94" s="198"/>
      <c r="VTI94" s="198"/>
      <c r="VTJ94" s="199"/>
      <c r="VTK94" s="199"/>
      <c r="VTL94" s="199"/>
      <c r="VTM94" s="199"/>
      <c r="VTN94" s="199"/>
      <c r="VTO94" s="199"/>
      <c r="VTP94" s="199"/>
      <c r="VTQ94" s="199"/>
      <c r="VTR94" s="199"/>
      <c r="VTS94" s="199"/>
      <c r="VTT94" s="199"/>
      <c r="VTU94" s="199"/>
      <c r="VTV94" s="199"/>
      <c r="VTW94" s="199"/>
      <c r="VTX94" s="199"/>
      <c r="VTY94" s="199"/>
      <c r="VTZ94" s="199"/>
      <c r="VUA94" s="199"/>
      <c r="VUB94" s="199"/>
      <c r="VUC94" s="199"/>
      <c r="VUD94" s="199"/>
      <c r="VUE94" s="199"/>
      <c r="VUF94" s="199"/>
      <c r="VUG94" s="199"/>
      <c r="VUH94" s="199"/>
      <c r="VUI94" s="199"/>
      <c r="VUJ94" s="199"/>
      <c r="VUK94" s="199"/>
      <c r="VUL94" s="199"/>
      <c r="VUM94" s="199"/>
      <c r="VUN94" s="199"/>
      <c r="VUO94" s="199"/>
      <c r="VUP94" s="199"/>
      <c r="VUQ94" s="199"/>
      <c r="VUR94" s="193"/>
      <c r="VUS94" s="193"/>
      <c r="VUT94" s="193"/>
      <c r="VUU94" s="193"/>
      <c r="VUV94" s="194"/>
      <c r="VUW94" s="194"/>
      <c r="VUX94" s="196"/>
      <c r="VUY94" s="197"/>
      <c r="VUZ94" s="197"/>
      <c r="VVA94" s="198"/>
      <c r="VVB94" s="198"/>
      <c r="VVC94" s="199"/>
      <c r="VVD94" s="199"/>
      <c r="VVE94" s="199"/>
      <c r="VVF94" s="199"/>
      <c r="VVG94" s="199"/>
      <c r="VVH94" s="199"/>
      <c r="VVI94" s="199"/>
      <c r="VVJ94" s="199"/>
      <c r="VVK94" s="199"/>
      <c r="VVL94" s="199"/>
      <c r="VVM94" s="199"/>
      <c r="VVN94" s="199"/>
      <c r="VVO94" s="199"/>
      <c r="VVP94" s="199"/>
      <c r="VVQ94" s="199"/>
      <c r="VVR94" s="199"/>
      <c r="VVS94" s="199"/>
      <c r="VVT94" s="199"/>
      <c r="VVU94" s="199"/>
      <c r="VVV94" s="199"/>
      <c r="VVW94" s="199"/>
      <c r="VVX94" s="199"/>
      <c r="VVY94" s="199"/>
      <c r="VVZ94" s="199"/>
      <c r="VWA94" s="199"/>
      <c r="VWB94" s="199"/>
      <c r="VWC94" s="199"/>
      <c r="VWD94" s="199"/>
      <c r="VWE94" s="199"/>
      <c r="VWF94" s="199"/>
      <c r="VWG94" s="199"/>
      <c r="VWH94" s="199"/>
      <c r="VWI94" s="199"/>
      <c r="VWJ94" s="199"/>
      <c r="VWK94" s="193"/>
      <c r="VWL94" s="193"/>
      <c r="VWM94" s="193"/>
      <c r="VWN94" s="193"/>
      <c r="VWO94" s="194"/>
      <c r="VWP94" s="194"/>
      <c r="VWQ94" s="196"/>
      <c r="VWR94" s="197"/>
      <c r="VWS94" s="197"/>
      <c r="VWT94" s="198"/>
      <c r="VWU94" s="198"/>
      <c r="VWV94" s="199"/>
      <c r="VWW94" s="199"/>
      <c r="VWX94" s="199"/>
      <c r="VWY94" s="199"/>
      <c r="VWZ94" s="199"/>
      <c r="VXA94" s="199"/>
      <c r="VXB94" s="199"/>
      <c r="VXC94" s="199"/>
      <c r="VXD94" s="199"/>
      <c r="VXE94" s="199"/>
      <c r="VXF94" s="199"/>
      <c r="VXG94" s="199"/>
      <c r="VXH94" s="199"/>
      <c r="VXI94" s="199"/>
      <c r="VXJ94" s="199"/>
      <c r="VXK94" s="199"/>
      <c r="VXL94" s="199"/>
      <c r="VXM94" s="199"/>
      <c r="VXN94" s="199"/>
      <c r="VXO94" s="199"/>
      <c r="VXP94" s="199"/>
      <c r="VXQ94" s="199"/>
      <c r="VXR94" s="199"/>
      <c r="VXS94" s="199"/>
      <c r="VXT94" s="199"/>
      <c r="VXU94" s="199"/>
      <c r="VXV94" s="199"/>
      <c r="VXW94" s="199"/>
      <c r="VXX94" s="199"/>
      <c r="VXY94" s="199"/>
      <c r="VXZ94" s="199"/>
      <c r="VYA94" s="199"/>
      <c r="VYB94" s="199"/>
      <c r="VYC94" s="199"/>
      <c r="VYD94" s="193"/>
      <c r="VYE94" s="193"/>
      <c r="VYF94" s="193"/>
      <c r="VYG94" s="193"/>
      <c r="VYH94" s="194"/>
      <c r="VYI94" s="194"/>
      <c r="VYJ94" s="196"/>
      <c r="VYK94" s="197"/>
      <c r="VYL94" s="197"/>
      <c r="VYM94" s="198"/>
      <c r="VYN94" s="198"/>
      <c r="VYO94" s="199"/>
      <c r="VYP94" s="199"/>
      <c r="VYQ94" s="199"/>
      <c r="VYR94" s="199"/>
      <c r="VYS94" s="199"/>
      <c r="VYT94" s="199"/>
      <c r="VYU94" s="199"/>
      <c r="VYV94" s="199"/>
      <c r="VYW94" s="199"/>
      <c r="VYX94" s="199"/>
      <c r="VYY94" s="199"/>
      <c r="VYZ94" s="199"/>
      <c r="VZA94" s="199"/>
      <c r="VZB94" s="199"/>
      <c r="VZC94" s="199"/>
      <c r="VZD94" s="199"/>
      <c r="VZE94" s="199"/>
      <c r="VZF94" s="199"/>
      <c r="VZG94" s="199"/>
      <c r="VZH94" s="199"/>
      <c r="VZI94" s="199"/>
      <c r="VZJ94" s="199"/>
      <c r="VZK94" s="199"/>
      <c r="VZL94" s="199"/>
      <c r="VZM94" s="199"/>
      <c r="VZN94" s="199"/>
      <c r="VZO94" s="199"/>
      <c r="VZP94" s="199"/>
      <c r="VZQ94" s="199"/>
      <c r="VZR94" s="199"/>
      <c r="VZS94" s="199"/>
      <c r="VZT94" s="199"/>
      <c r="VZU94" s="199"/>
      <c r="VZV94" s="199"/>
      <c r="VZW94" s="193"/>
      <c r="VZX94" s="193"/>
      <c r="VZY94" s="193"/>
      <c r="VZZ94" s="193"/>
      <c r="WAA94" s="194"/>
      <c r="WAB94" s="194"/>
      <c r="WAC94" s="196"/>
      <c r="WAD94" s="197"/>
      <c r="WAE94" s="197"/>
      <c r="WAF94" s="198"/>
      <c r="WAG94" s="198"/>
      <c r="WAH94" s="199"/>
      <c r="WAI94" s="199"/>
      <c r="WAJ94" s="199"/>
      <c r="WAK94" s="199"/>
      <c r="WAL94" s="199"/>
      <c r="WAM94" s="199"/>
      <c r="WAN94" s="199"/>
      <c r="WAO94" s="199"/>
      <c r="WAP94" s="199"/>
      <c r="WAQ94" s="199"/>
      <c r="WAR94" s="199"/>
      <c r="WAS94" s="199"/>
      <c r="WAT94" s="199"/>
      <c r="WAU94" s="199"/>
      <c r="WAV94" s="199"/>
      <c r="WAW94" s="199"/>
      <c r="WAX94" s="199"/>
      <c r="WAY94" s="199"/>
      <c r="WAZ94" s="199"/>
      <c r="WBA94" s="199"/>
      <c r="WBB94" s="199"/>
      <c r="WBC94" s="199"/>
      <c r="WBD94" s="199"/>
      <c r="WBE94" s="199"/>
      <c r="WBF94" s="199"/>
      <c r="WBG94" s="199"/>
      <c r="WBH94" s="199"/>
      <c r="WBI94" s="199"/>
      <c r="WBJ94" s="199"/>
      <c r="WBK94" s="199"/>
      <c r="WBL94" s="199"/>
      <c r="WBM94" s="199"/>
      <c r="WBN94" s="199"/>
      <c r="WBO94" s="199"/>
      <c r="WBP94" s="193"/>
      <c r="WBQ94" s="193"/>
      <c r="WBR94" s="193"/>
      <c r="WBS94" s="193"/>
      <c r="WBT94" s="194"/>
      <c r="WBU94" s="194"/>
      <c r="WBV94" s="196"/>
      <c r="WBW94" s="197"/>
      <c r="WBX94" s="197"/>
      <c r="WBY94" s="198"/>
      <c r="WBZ94" s="198"/>
      <c r="WCA94" s="199"/>
      <c r="WCB94" s="199"/>
      <c r="WCC94" s="199"/>
      <c r="WCD94" s="199"/>
      <c r="WCE94" s="199"/>
      <c r="WCF94" s="199"/>
      <c r="WCG94" s="199"/>
      <c r="WCH94" s="199"/>
      <c r="WCI94" s="199"/>
      <c r="WCJ94" s="199"/>
      <c r="WCK94" s="199"/>
      <c r="WCL94" s="199"/>
      <c r="WCM94" s="199"/>
      <c r="WCN94" s="199"/>
      <c r="WCO94" s="199"/>
      <c r="WCP94" s="199"/>
      <c r="WCQ94" s="199"/>
      <c r="WCR94" s="199"/>
      <c r="WCS94" s="199"/>
      <c r="WCT94" s="199"/>
      <c r="WCU94" s="199"/>
      <c r="WCV94" s="199"/>
      <c r="WCW94" s="199"/>
      <c r="WCX94" s="199"/>
      <c r="WCY94" s="199"/>
      <c r="WCZ94" s="199"/>
      <c r="WDA94" s="199"/>
      <c r="WDB94" s="199"/>
      <c r="WDC94" s="199"/>
      <c r="WDD94" s="199"/>
      <c r="WDE94" s="199"/>
      <c r="WDF94" s="199"/>
      <c r="WDG94" s="199"/>
      <c r="WDH94" s="199"/>
      <c r="WDI94" s="193"/>
      <c r="WDJ94" s="193"/>
      <c r="WDK94" s="193"/>
      <c r="WDL94" s="193"/>
      <c r="WDM94" s="194"/>
      <c r="WDN94" s="194"/>
      <c r="WDO94" s="196"/>
      <c r="WDP94" s="197"/>
      <c r="WDQ94" s="197"/>
      <c r="WDR94" s="198"/>
      <c r="WDS94" s="198"/>
      <c r="WDT94" s="199"/>
      <c r="WDU94" s="199"/>
      <c r="WDV94" s="199"/>
      <c r="WDW94" s="199"/>
      <c r="WDX94" s="199"/>
      <c r="WDY94" s="199"/>
      <c r="WDZ94" s="199"/>
      <c r="WEA94" s="199"/>
      <c r="WEB94" s="199"/>
      <c r="WEC94" s="199"/>
      <c r="WED94" s="199"/>
      <c r="WEE94" s="199"/>
      <c r="WEF94" s="199"/>
      <c r="WEG94" s="199"/>
      <c r="WEH94" s="199"/>
      <c r="WEI94" s="199"/>
      <c r="WEJ94" s="199"/>
      <c r="WEK94" s="199"/>
      <c r="WEL94" s="199"/>
      <c r="WEM94" s="199"/>
      <c r="WEN94" s="199"/>
      <c r="WEO94" s="199"/>
      <c r="WEP94" s="199"/>
      <c r="WEQ94" s="199"/>
      <c r="WER94" s="199"/>
      <c r="WES94" s="199"/>
      <c r="WET94" s="199"/>
      <c r="WEU94" s="199"/>
      <c r="WEV94" s="199"/>
      <c r="WEW94" s="199"/>
      <c r="WEX94" s="199"/>
      <c r="WEY94" s="199"/>
      <c r="WEZ94" s="199"/>
      <c r="WFA94" s="199"/>
      <c r="WFB94" s="193"/>
      <c r="WFC94" s="193"/>
      <c r="WFD94" s="193"/>
      <c r="WFE94" s="193"/>
      <c r="WFF94" s="194"/>
      <c r="WFG94" s="194"/>
      <c r="WFH94" s="196"/>
      <c r="WFI94" s="197"/>
      <c r="WFJ94" s="197"/>
      <c r="WFK94" s="198"/>
      <c r="WFL94" s="198"/>
      <c r="WFM94" s="199"/>
      <c r="WFN94" s="199"/>
      <c r="WFO94" s="199"/>
      <c r="WFP94" s="199"/>
      <c r="WFQ94" s="199"/>
      <c r="WFR94" s="199"/>
      <c r="WFS94" s="199"/>
      <c r="WFT94" s="199"/>
      <c r="WFU94" s="199"/>
      <c r="WFV94" s="199"/>
      <c r="WFW94" s="199"/>
      <c r="WFX94" s="199"/>
      <c r="WFY94" s="199"/>
      <c r="WFZ94" s="199"/>
      <c r="WGA94" s="199"/>
      <c r="WGB94" s="199"/>
      <c r="WGC94" s="199"/>
      <c r="WGD94" s="199"/>
      <c r="WGE94" s="199"/>
      <c r="WGF94" s="199"/>
      <c r="WGG94" s="199"/>
      <c r="WGH94" s="199"/>
      <c r="WGI94" s="199"/>
      <c r="WGJ94" s="199"/>
      <c r="WGK94" s="199"/>
      <c r="WGL94" s="199"/>
      <c r="WGM94" s="199"/>
      <c r="WGN94" s="199"/>
      <c r="WGO94" s="199"/>
      <c r="WGP94" s="199"/>
      <c r="WGQ94" s="199"/>
      <c r="WGR94" s="199"/>
      <c r="WGS94" s="199"/>
      <c r="WGT94" s="199"/>
      <c r="WGU94" s="193"/>
      <c r="WGV94" s="193"/>
      <c r="WGW94" s="193"/>
      <c r="WGX94" s="193"/>
      <c r="WGY94" s="194"/>
      <c r="WGZ94" s="194"/>
      <c r="WHA94" s="196"/>
      <c r="WHB94" s="197"/>
      <c r="WHC94" s="197"/>
      <c r="WHD94" s="198"/>
      <c r="WHE94" s="198"/>
      <c r="WHF94" s="199"/>
      <c r="WHG94" s="199"/>
      <c r="WHH94" s="199"/>
      <c r="WHI94" s="199"/>
      <c r="WHJ94" s="199"/>
      <c r="WHK94" s="199"/>
      <c r="WHL94" s="199"/>
      <c r="WHM94" s="199"/>
      <c r="WHN94" s="199"/>
      <c r="WHO94" s="199"/>
      <c r="WHP94" s="199"/>
      <c r="WHQ94" s="199"/>
      <c r="WHR94" s="199"/>
      <c r="WHS94" s="199"/>
      <c r="WHT94" s="199"/>
      <c r="WHU94" s="199"/>
      <c r="WHV94" s="199"/>
      <c r="WHW94" s="199"/>
      <c r="WHX94" s="199"/>
      <c r="WHY94" s="199"/>
      <c r="WHZ94" s="199"/>
      <c r="WIA94" s="199"/>
      <c r="WIB94" s="199"/>
      <c r="WIC94" s="199"/>
      <c r="WID94" s="199"/>
      <c r="WIE94" s="199"/>
      <c r="WIF94" s="199"/>
      <c r="WIG94" s="199"/>
      <c r="WIH94" s="199"/>
      <c r="WII94" s="199"/>
      <c r="WIJ94" s="199"/>
      <c r="WIK94" s="199"/>
      <c r="WIL94" s="199"/>
      <c r="WIM94" s="199"/>
      <c r="WIN94" s="193"/>
      <c r="WIO94" s="193"/>
      <c r="WIP94" s="193"/>
      <c r="WIQ94" s="193"/>
      <c r="WIR94" s="194"/>
      <c r="WIS94" s="194"/>
      <c r="WIT94" s="196"/>
      <c r="WIU94" s="197"/>
      <c r="WIV94" s="197"/>
      <c r="WIW94" s="198"/>
      <c r="WIX94" s="198"/>
      <c r="WIY94" s="199"/>
      <c r="WIZ94" s="199"/>
      <c r="WJA94" s="199"/>
      <c r="WJB94" s="199"/>
      <c r="WJC94" s="199"/>
      <c r="WJD94" s="199"/>
      <c r="WJE94" s="199"/>
      <c r="WJF94" s="199"/>
      <c r="WJG94" s="199"/>
      <c r="WJH94" s="199"/>
      <c r="WJI94" s="199"/>
      <c r="WJJ94" s="199"/>
      <c r="WJK94" s="199"/>
      <c r="WJL94" s="199"/>
      <c r="WJM94" s="199"/>
      <c r="WJN94" s="199"/>
      <c r="WJO94" s="199"/>
      <c r="WJP94" s="199"/>
      <c r="WJQ94" s="199"/>
      <c r="WJR94" s="199"/>
      <c r="WJS94" s="199"/>
      <c r="WJT94" s="199"/>
      <c r="WJU94" s="199"/>
      <c r="WJV94" s="199"/>
      <c r="WJW94" s="199"/>
      <c r="WJX94" s="199"/>
      <c r="WJY94" s="199"/>
      <c r="WJZ94" s="199"/>
      <c r="WKA94" s="199"/>
      <c r="WKB94" s="199"/>
      <c r="WKC94" s="199"/>
      <c r="WKD94" s="199"/>
      <c r="WKE94" s="199"/>
      <c r="WKF94" s="199"/>
      <c r="WKG94" s="193"/>
      <c r="WKH94" s="193"/>
      <c r="WKI94" s="193"/>
      <c r="WKJ94" s="193"/>
      <c r="WKK94" s="194"/>
      <c r="WKL94" s="194"/>
      <c r="WKM94" s="196"/>
      <c r="WKN94" s="197"/>
      <c r="WKO94" s="197"/>
      <c r="WKP94" s="198"/>
      <c r="WKQ94" s="198"/>
      <c r="WKR94" s="199"/>
      <c r="WKS94" s="199"/>
      <c r="WKT94" s="199"/>
      <c r="WKU94" s="199"/>
      <c r="WKV94" s="199"/>
      <c r="WKW94" s="199"/>
      <c r="WKX94" s="199"/>
      <c r="WKY94" s="199"/>
      <c r="WKZ94" s="199"/>
      <c r="WLA94" s="199"/>
      <c r="WLB94" s="199"/>
      <c r="WLC94" s="199"/>
      <c r="WLD94" s="199"/>
      <c r="WLE94" s="199"/>
      <c r="WLF94" s="199"/>
      <c r="WLG94" s="199"/>
      <c r="WLH94" s="199"/>
      <c r="WLI94" s="199"/>
      <c r="WLJ94" s="199"/>
      <c r="WLK94" s="199"/>
      <c r="WLL94" s="199"/>
      <c r="WLM94" s="199"/>
      <c r="WLN94" s="199"/>
      <c r="WLO94" s="199"/>
      <c r="WLP94" s="199"/>
      <c r="WLQ94" s="199"/>
      <c r="WLR94" s="199"/>
      <c r="WLS94" s="199"/>
      <c r="WLT94" s="199"/>
      <c r="WLU94" s="199"/>
      <c r="WLV94" s="199"/>
      <c r="WLW94" s="199"/>
      <c r="WLX94" s="199"/>
      <c r="WLY94" s="199"/>
      <c r="WLZ94" s="193"/>
      <c r="WMA94" s="193"/>
      <c r="WMB94" s="193"/>
      <c r="WMC94" s="193"/>
      <c r="WMD94" s="194"/>
      <c r="WME94" s="194"/>
      <c r="WMF94" s="196"/>
      <c r="WMG94" s="197"/>
      <c r="WMH94" s="197"/>
      <c r="WMI94" s="198"/>
      <c r="WMJ94" s="198"/>
      <c r="WMK94" s="199"/>
      <c r="WML94" s="199"/>
      <c r="WMM94" s="199"/>
      <c r="WMN94" s="199"/>
      <c r="WMO94" s="199"/>
      <c r="WMP94" s="199"/>
      <c r="WMQ94" s="199"/>
      <c r="WMR94" s="199"/>
      <c r="WMS94" s="199"/>
      <c r="WMT94" s="199"/>
      <c r="WMU94" s="199"/>
      <c r="WMV94" s="199"/>
      <c r="WMW94" s="199"/>
      <c r="WMX94" s="199"/>
      <c r="WMY94" s="199"/>
      <c r="WMZ94" s="199"/>
      <c r="WNA94" s="199"/>
      <c r="WNB94" s="199"/>
      <c r="WNC94" s="199"/>
      <c r="WND94" s="199"/>
      <c r="WNE94" s="199"/>
      <c r="WNF94" s="199"/>
      <c r="WNG94" s="199"/>
      <c r="WNH94" s="199"/>
      <c r="WNI94" s="199"/>
      <c r="WNJ94" s="199"/>
      <c r="WNK94" s="199"/>
      <c r="WNL94" s="199"/>
      <c r="WNM94" s="199"/>
      <c r="WNN94" s="199"/>
      <c r="WNO94" s="199"/>
      <c r="WNP94" s="199"/>
      <c r="WNQ94" s="199"/>
      <c r="WNR94" s="199"/>
      <c r="WNS94" s="193"/>
      <c r="WNT94" s="193"/>
      <c r="WNU94" s="193"/>
      <c r="WNV94" s="193"/>
      <c r="WNW94" s="194"/>
      <c r="WNX94" s="194"/>
      <c r="WNY94" s="196"/>
      <c r="WNZ94" s="197"/>
      <c r="WOA94" s="197"/>
      <c r="WOB94" s="198"/>
      <c r="WOC94" s="198"/>
      <c r="WOD94" s="199"/>
      <c r="WOE94" s="199"/>
      <c r="WOF94" s="199"/>
      <c r="WOG94" s="199"/>
      <c r="WOH94" s="199"/>
      <c r="WOI94" s="199"/>
      <c r="WOJ94" s="199"/>
      <c r="WOK94" s="199"/>
      <c r="WOL94" s="199"/>
      <c r="WOM94" s="199"/>
      <c r="WON94" s="199"/>
      <c r="WOO94" s="199"/>
      <c r="WOP94" s="199"/>
      <c r="WOQ94" s="199"/>
      <c r="WOR94" s="199"/>
      <c r="WOS94" s="199"/>
      <c r="WOT94" s="199"/>
      <c r="WOU94" s="199"/>
      <c r="WOV94" s="199"/>
      <c r="WOW94" s="199"/>
      <c r="WOX94" s="199"/>
      <c r="WOY94" s="199"/>
      <c r="WOZ94" s="199"/>
      <c r="WPA94" s="199"/>
      <c r="WPB94" s="199"/>
      <c r="WPC94" s="199"/>
      <c r="WPD94" s="199"/>
      <c r="WPE94" s="199"/>
      <c r="WPF94" s="199"/>
      <c r="WPG94" s="199"/>
      <c r="WPH94" s="199"/>
      <c r="WPI94" s="199"/>
      <c r="WPJ94" s="199"/>
      <c r="WPK94" s="199"/>
      <c r="WPL94" s="193"/>
      <c r="WPM94" s="193"/>
      <c r="WPN94" s="193"/>
      <c r="WPO94" s="193"/>
      <c r="WPP94" s="194"/>
      <c r="WPQ94" s="194"/>
      <c r="WPR94" s="196"/>
      <c r="WPS94" s="197"/>
      <c r="WPT94" s="197"/>
      <c r="WPU94" s="198"/>
      <c r="WPV94" s="198"/>
      <c r="WPW94" s="199"/>
      <c r="WPX94" s="199"/>
      <c r="WPY94" s="199"/>
      <c r="WPZ94" s="199"/>
      <c r="WQA94" s="199"/>
      <c r="WQB94" s="199"/>
      <c r="WQC94" s="199"/>
      <c r="WQD94" s="199"/>
      <c r="WQE94" s="199"/>
      <c r="WQF94" s="199"/>
      <c r="WQG94" s="199"/>
      <c r="WQH94" s="199"/>
      <c r="WQI94" s="199"/>
      <c r="WQJ94" s="199"/>
      <c r="WQK94" s="199"/>
      <c r="WQL94" s="199"/>
      <c r="WQM94" s="199"/>
      <c r="WQN94" s="199"/>
      <c r="WQO94" s="199"/>
      <c r="WQP94" s="199"/>
      <c r="WQQ94" s="199"/>
      <c r="WQR94" s="199"/>
      <c r="WQS94" s="199"/>
      <c r="WQT94" s="199"/>
      <c r="WQU94" s="199"/>
      <c r="WQV94" s="199"/>
      <c r="WQW94" s="199"/>
      <c r="WQX94" s="199"/>
      <c r="WQY94" s="199"/>
      <c r="WQZ94" s="199"/>
      <c r="WRA94" s="199"/>
      <c r="WRB94" s="199"/>
      <c r="WRC94" s="199"/>
      <c r="WRD94" s="199"/>
      <c r="WRE94" s="193"/>
      <c r="WRF94" s="193"/>
      <c r="WRG94" s="193"/>
      <c r="WRH94" s="193"/>
      <c r="WRI94" s="194"/>
      <c r="WRJ94" s="194"/>
      <c r="WRK94" s="196"/>
      <c r="WRL94" s="197"/>
      <c r="WRM94" s="197"/>
      <c r="WRN94" s="198"/>
      <c r="WRO94" s="198"/>
      <c r="WRP94" s="199"/>
      <c r="WRQ94" s="199"/>
      <c r="WRR94" s="199"/>
      <c r="WRS94" s="199"/>
      <c r="WRT94" s="199"/>
      <c r="WRU94" s="199"/>
      <c r="WRV94" s="199"/>
      <c r="WRW94" s="199"/>
      <c r="WRX94" s="199"/>
      <c r="WRY94" s="199"/>
      <c r="WRZ94" s="199"/>
      <c r="WSA94" s="199"/>
      <c r="WSB94" s="199"/>
      <c r="WSC94" s="199"/>
      <c r="WSD94" s="199"/>
      <c r="WSE94" s="199"/>
      <c r="WSF94" s="199"/>
      <c r="WSG94" s="199"/>
      <c r="WSH94" s="199"/>
      <c r="WSI94" s="199"/>
      <c r="WSJ94" s="199"/>
      <c r="WSK94" s="199"/>
      <c r="WSL94" s="199"/>
      <c r="WSM94" s="199"/>
      <c r="WSN94" s="199"/>
      <c r="WSO94" s="199"/>
      <c r="WSP94" s="199"/>
      <c r="WSQ94" s="199"/>
      <c r="WSR94" s="199"/>
      <c r="WSS94" s="199"/>
      <c r="WST94" s="199"/>
      <c r="WSU94" s="199"/>
      <c r="WSV94" s="199"/>
      <c r="WSW94" s="199"/>
      <c r="WSX94" s="193"/>
      <c r="WSY94" s="193"/>
      <c r="WSZ94" s="193"/>
      <c r="WTA94" s="193"/>
      <c r="WTB94" s="194"/>
      <c r="WTC94" s="194"/>
      <c r="WTD94" s="196"/>
      <c r="WTE94" s="197"/>
      <c r="WTF94" s="197"/>
      <c r="WTG94" s="198"/>
      <c r="WTH94" s="198"/>
      <c r="WTI94" s="199"/>
      <c r="WTJ94" s="199"/>
      <c r="WTK94" s="199"/>
      <c r="WTL94" s="199"/>
      <c r="WTM94" s="199"/>
      <c r="WTN94" s="199"/>
      <c r="WTO94" s="199"/>
      <c r="WTP94" s="199"/>
      <c r="WTQ94" s="199"/>
      <c r="WTR94" s="199"/>
      <c r="WTS94" s="199"/>
      <c r="WTT94" s="199"/>
      <c r="WTU94" s="199"/>
      <c r="WTV94" s="199"/>
      <c r="WTW94" s="199"/>
      <c r="WTX94" s="199"/>
      <c r="WTY94" s="199"/>
      <c r="WTZ94" s="199"/>
      <c r="WUA94" s="199"/>
      <c r="WUB94" s="199"/>
      <c r="WUC94" s="199"/>
      <c r="WUD94" s="199"/>
      <c r="WUE94" s="199"/>
      <c r="WUF94" s="199"/>
      <c r="WUG94" s="199"/>
      <c r="WUH94" s="199"/>
      <c r="WUI94" s="199"/>
      <c r="WUJ94" s="199"/>
      <c r="WUK94" s="199"/>
      <c r="WUL94" s="199"/>
      <c r="WUM94" s="199"/>
      <c r="WUN94" s="199"/>
      <c r="WUO94" s="199"/>
      <c r="WUP94" s="199"/>
      <c r="WUQ94" s="193"/>
      <c r="WUR94" s="193"/>
      <c r="WUS94" s="193"/>
      <c r="WUT94" s="193"/>
      <c r="WUU94" s="194"/>
      <c r="WUV94" s="194"/>
      <c r="WUW94" s="196"/>
      <c r="WUX94" s="197"/>
      <c r="WUY94" s="197"/>
      <c r="WUZ94" s="198"/>
      <c r="WVA94" s="198"/>
      <c r="WVB94" s="199"/>
      <c r="WVC94" s="199"/>
      <c r="WVD94" s="199"/>
      <c r="WVE94" s="199"/>
      <c r="WVF94" s="199"/>
      <c r="WVG94" s="199"/>
      <c r="WVH94" s="199"/>
      <c r="WVI94" s="199"/>
      <c r="WVJ94" s="199"/>
      <c r="WVK94" s="199"/>
      <c r="WVL94" s="199"/>
      <c r="WVM94" s="199"/>
      <c r="WVN94" s="199"/>
      <c r="WVO94" s="199"/>
      <c r="WVP94" s="199"/>
      <c r="WVQ94" s="199"/>
      <c r="WVR94" s="199"/>
      <c r="WVS94" s="199"/>
      <c r="WVT94" s="199"/>
      <c r="WVU94" s="199"/>
      <c r="WVV94" s="199"/>
      <c r="WVW94" s="199"/>
      <c r="WVX94" s="199"/>
      <c r="WVY94" s="199"/>
      <c r="WVZ94" s="199"/>
      <c r="WWA94" s="199"/>
      <c r="WWB94" s="199"/>
      <c r="WWC94" s="199"/>
      <c r="WWD94" s="199"/>
      <c r="WWE94" s="199"/>
      <c r="WWF94" s="199"/>
      <c r="WWG94" s="199"/>
      <c r="WWH94" s="199"/>
      <c r="WWI94" s="199"/>
      <c r="WWJ94" s="193"/>
      <c r="WWK94" s="193"/>
      <c r="WWL94" s="193"/>
      <c r="WWM94" s="193"/>
      <c r="WWN94" s="194"/>
      <c r="WWO94" s="194"/>
      <c r="WWP94" s="196"/>
      <c r="WWQ94" s="197"/>
      <c r="WWR94" s="197"/>
      <c r="WWS94" s="198"/>
      <c r="WWT94" s="198"/>
      <c r="WWU94" s="199"/>
      <c r="WWV94" s="199"/>
      <c r="WWW94" s="199"/>
      <c r="WWX94" s="199"/>
      <c r="WWY94" s="199"/>
      <c r="WWZ94" s="199"/>
      <c r="WXA94" s="199"/>
      <c r="WXB94" s="199"/>
      <c r="WXC94" s="199"/>
      <c r="WXD94" s="199"/>
      <c r="WXE94" s="199"/>
      <c r="WXF94" s="199"/>
      <c r="WXG94" s="199"/>
      <c r="WXH94" s="199"/>
      <c r="WXI94" s="199"/>
      <c r="WXJ94" s="199"/>
      <c r="WXK94" s="199"/>
      <c r="WXL94" s="199"/>
      <c r="WXM94" s="199"/>
      <c r="WXN94" s="199"/>
      <c r="WXO94" s="199"/>
      <c r="WXP94" s="199"/>
      <c r="WXQ94" s="199"/>
      <c r="WXR94" s="199"/>
      <c r="WXS94" s="199"/>
      <c r="WXT94" s="199"/>
      <c r="WXU94" s="199"/>
      <c r="WXV94" s="199"/>
      <c r="WXW94" s="199"/>
      <c r="WXX94" s="199"/>
      <c r="WXY94" s="199"/>
      <c r="WXZ94" s="199"/>
      <c r="WYA94" s="199"/>
      <c r="WYB94" s="199"/>
      <c r="WYC94" s="193"/>
      <c r="WYD94" s="193"/>
      <c r="WYE94" s="193"/>
      <c r="WYF94" s="193"/>
      <c r="WYG94" s="194"/>
      <c r="WYH94" s="194"/>
      <c r="WYI94" s="196"/>
      <c r="WYJ94" s="197"/>
      <c r="WYK94" s="197"/>
      <c r="WYL94" s="198"/>
      <c r="WYM94" s="198"/>
      <c r="WYN94" s="199"/>
      <c r="WYO94" s="199"/>
      <c r="WYP94" s="199"/>
      <c r="WYQ94" s="199"/>
      <c r="WYR94" s="199"/>
      <c r="WYS94" s="199"/>
      <c r="WYT94" s="199"/>
      <c r="WYU94" s="199"/>
      <c r="WYV94" s="199"/>
      <c r="WYW94" s="199"/>
      <c r="WYX94" s="199"/>
      <c r="WYY94" s="199"/>
      <c r="WYZ94" s="199"/>
      <c r="WZA94" s="199"/>
      <c r="WZB94" s="199"/>
      <c r="WZC94" s="199"/>
      <c r="WZD94" s="199"/>
      <c r="WZE94" s="199"/>
      <c r="WZF94" s="199"/>
      <c r="WZG94" s="199"/>
      <c r="WZH94" s="199"/>
      <c r="WZI94" s="199"/>
      <c r="WZJ94" s="199"/>
      <c r="WZK94" s="199"/>
      <c r="WZL94" s="199"/>
      <c r="WZM94" s="199"/>
      <c r="WZN94" s="199"/>
      <c r="WZO94" s="199"/>
      <c r="WZP94" s="199"/>
      <c r="WZQ94" s="199"/>
      <c r="WZR94" s="199"/>
      <c r="WZS94" s="199"/>
      <c r="WZT94" s="199"/>
      <c r="WZU94" s="199"/>
      <c r="WZV94" s="193"/>
      <c r="WZW94" s="193"/>
      <c r="WZX94" s="193"/>
      <c r="WZY94" s="193"/>
      <c r="WZZ94" s="194"/>
      <c r="XAA94" s="194"/>
      <c r="XAB94" s="196"/>
      <c r="XAC94" s="197"/>
      <c r="XAD94" s="197"/>
      <c r="XAE94" s="198"/>
      <c r="XAF94" s="198"/>
      <c r="XAG94" s="199"/>
      <c r="XAH94" s="199"/>
      <c r="XAI94" s="199"/>
      <c r="XAJ94" s="199"/>
      <c r="XAK94" s="199"/>
      <c r="XAL94" s="199"/>
      <c r="XAM94" s="199"/>
      <c r="XAN94" s="199"/>
      <c r="XAO94" s="199"/>
      <c r="XAP94" s="199"/>
      <c r="XAQ94" s="199"/>
      <c r="XAR94" s="199"/>
      <c r="XAS94" s="199"/>
      <c r="XAT94" s="199"/>
      <c r="XAU94" s="199"/>
      <c r="XAV94" s="199"/>
      <c r="XAW94" s="199"/>
      <c r="XAX94" s="199"/>
      <c r="XAY94" s="199"/>
      <c r="XAZ94" s="199"/>
      <c r="XBA94" s="199"/>
      <c r="XBB94" s="199"/>
      <c r="XBC94" s="199"/>
      <c r="XBD94" s="199"/>
      <c r="XBE94" s="199"/>
      <c r="XBF94" s="199"/>
      <c r="XBG94" s="199"/>
      <c r="XBH94" s="199"/>
      <c r="XBI94" s="199"/>
      <c r="XBJ94" s="199"/>
      <c r="XBK94" s="199"/>
      <c r="XBL94" s="199"/>
      <c r="XBM94" s="199"/>
      <c r="XBN94" s="199"/>
      <c r="XBO94" s="193"/>
      <c r="XBP94" s="193"/>
      <c r="XBQ94" s="193"/>
      <c r="XBR94" s="193"/>
      <c r="XBS94" s="194"/>
      <c r="XBT94" s="194"/>
      <c r="XBU94" s="196"/>
      <c r="XBV94" s="197"/>
      <c r="XBW94" s="197"/>
      <c r="XBX94" s="198"/>
      <c r="XBY94" s="198"/>
      <c r="XBZ94" s="199"/>
      <c r="XCA94" s="199"/>
      <c r="XCB94" s="199"/>
      <c r="XCC94" s="199"/>
      <c r="XCD94" s="199"/>
      <c r="XCE94" s="199"/>
      <c r="XCF94" s="199"/>
      <c r="XCG94" s="199"/>
      <c r="XCH94" s="199"/>
      <c r="XCI94" s="199"/>
      <c r="XCJ94" s="199"/>
      <c r="XCK94" s="199"/>
      <c r="XCL94" s="199"/>
      <c r="XCM94" s="199"/>
      <c r="XCN94" s="199"/>
      <c r="XCO94" s="199"/>
      <c r="XCP94" s="199"/>
      <c r="XCQ94" s="199"/>
      <c r="XCR94" s="199"/>
      <c r="XCS94" s="199"/>
      <c r="XCT94" s="199"/>
      <c r="XCU94" s="199"/>
      <c r="XCV94" s="199"/>
      <c r="XCW94" s="199"/>
      <c r="XCX94" s="199"/>
      <c r="XCY94" s="199"/>
      <c r="XCZ94" s="199"/>
      <c r="XDA94" s="199"/>
      <c r="XDB94" s="199"/>
      <c r="XDC94" s="199"/>
      <c r="XDD94" s="199"/>
      <c r="XDE94" s="199"/>
      <c r="XDF94" s="199"/>
      <c r="XDG94" s="199"/>
      <c r="XDH94" s="193"/>
      <c r="XDI94" s="193"/>
      <c r="XDJ94" s="193"/>
      <c r="XDK94" s="193"/>
      <c r="XDL94" s="194"/>
      <c r="XDM94" s="194"/>
      <c r="XDN94" s="196"/>
      <c r="XDO94" s="197"/>
      <c r="XDP94" s="197"/>
      <c r="XDQ94" s="198"/>
      <c r="XDR94" s="198"/>
      <c r="XDS94" s="199"/>
      <c r="XDT94" s="199"/>
      <c r="XDU94" s="199"/>
      <c r="XDV94" s="199"/>
      <c r="XDW94" s="199"/>
      <c r="XDX94" s="199"/>
      <c r="XDY94" s="199"/>
      <c r="XDZ94" s="199"/>
      <c r="XEA94" s="199"/>
      <c r="XEB94" s="199"/>
      <c r="XEC94" s="199"/>
      <c r="XED94" s="199"/>
      <c r="XEE94" s="199"/>
      <c r="XEF94" s="199"/>
      <c r="XEG94" s="199"/>
      <c r="XEH94" s="199"/>
      <c r="XEI94" s="199"/>
      <c r="XEJ94" s="199"/>
      <c r="XEK94" s="199"/>
      <c r="XEL94" s="199"/>
      <c r="XEM94" s="199"/>
      <c r="XEN94" s="199"/>
      <c r="XEO94" s="199"/>
      <c r="XEP94" s="199"/>
      <c r="XEQ94" s="199"/>
      <c r="XER94" s="199"/>
      <c r="XES94" s="199"/>
      <c r="XET94" s="199"/>
      <c r="XEU94" s="199"/>
      <c r="XEV94" s="199"/>
      <c r="XEW94" s="199"/>
      <c r="XEX94" s="199"/>
      <c r="XEY94" s="199"/>
      <c r="XEZ94" s="199"/>
      <c r="XFA94" s="193"/>
      <c r="XFB94" s="193"/>
      <c r="XFC94" s="193"/>
      <c r="XFD94" s="193"/>
    </row>
    <row r="95" spans="1:16384" ht="12.75" customHeight="1" x14ac:dyDescent="0.3">
      <c r="A95" s="363"/>
      <c r="B95" s="364"/>
      <c r="C95" s="363"/>
      <c r="D95" s="364"/>
      <c r="E95" s="395"/>
      <c r="F95" s="396"/>
      <c r="G95" s="164"/>
      <c r="H95" s="450"/>
      <c r="I95" s="451"/>
      <c r="J95" s="452"/>
      <c r="K95" s="453"/>
      <c r="L95" s="463" t="s">
        <v>963</v>
      </c>
      <c r="M95" s="464"/>
      <c r="N95" s="464"/>
      <c r="O95" s="464"/>
      <c r="P95" s="464"/>
      <c r="Q95" s="464"/>
      <c r="R95" s="464"/>
      <c r="S95" s="464"/>
      <c r="T95" s="464"/>
      <c r="U95" s="464"/>
      <c r="V95" s="464"/>
      <c r="W95" s="464"/>
      <c r="X95" s="464"/>
      <c r="Y95" s="464"/>
      <c r="Z95" s="464"/>
      <c r="AA95" s="464"/>
      <c r="AB95" s="464"/>
      <c r="AC95" s="464"/>
      <c r="AD95" s="464"/>
      <c r="AE95" s="464"/>
      <c r="AF95" s="464"/>
      <c r="AG95" s="464"/>
      <c r="AH95" s="464"/>
      <c r="AI95" s="464"/>
      <c r="AJ95" s="464"/>
      <c r="AK95" s="464"/>
      <c r="AL95" s="464"/>
      <c r="AM95" s="464"/>
      <c r="AN95" s="464"/>
      <c r="AO95" s="464"/>
      <c r="AP95" s="464"/>
      <c r="AQ95" s="464"/>
      <c r="AR95" s="464"/>
      <c r="AS95" s="465"/>
      <c r="AY95" s="5"/>
      <c r="AZ95" s="159" t="s">
        <v>72</v>
      </c>
    </row>
    <row r="96" spans="1:16384" ht="12.75" customHeight="1" x14ac:dyDescent="0.3">
      <c r="A96" s="363"/>
      <c r="B96" s="364"/>
      <c r="C96" s="363"/>
      <c r="D96" s="364"/>
      <c r="E96" s="395"/>
      <c r="F96" s="396"/>
      <c r="G96" s="151"/>
      <c r="H96" s="152"/>
      <c r="I96" s="153"/>
      <c r="J96" s="156"/>
      <c r="K96" s="157"/>
      <c r="L96" s="415"/>
      <c r="M96" s="416"/>
      <c r="N96" s="416"/>
      <c r="O96" s="416"/>
      <c r="P96" s="416"/>
      <c r="Q96" s="416"/>
      <c r="R96" s="416"/>
      <c r="S96" s="416"/>
      <c r="T96" s="416"/>
      <c r="U96" s="416"/>
      <c r="V96" s="416"/>
      <c r="W96" s="416"/>
      <c r="X96" s="416"/>
      <c r="Y96" s="416"/>
      <c r="Z96" s="416"/>
      <c r="AA96" s="416"/>
      <c r="AB96" s="416"/>
      <c r="AC96" s="416"/>
      <c r="AD96" s="416"/>
      <c r="AE96" s="416"/>
      <c r="AF96" s="416"/>
      <c r="AG96" s="416"/>
      <c r="AH96" s="416"/>
      <c r="AI96" s="416"/>
      <c r="AJ96" s="416"/>
      <c r="AK96" s="416"/>
      <c r="AL96" s="416"/>
      <c r="AM96" s="416"/>
      <c r="AN96" s="416"/>
      <c r="AO96" s="416"/>
      <c r="AP96" s="416"/>
      <c r="AQ96" s="416"/>
      <c r="AR96" s="416"/>
      <c r="AS96" s="417"/>
      <c r="AX96" s="70" t="s">
        <v>591</v>
      </c>
      <c r="AY96" s="4" t="s">
        <v>467</v>
      </c>
    </row>
    <row r="97" spans="1:54" ht="12.75" customHeight="1" x14ac:dyDescent="0.3">
      <c r="A97" s="363"/>
      <c r="B97" s="364"/>
      <c r="C97" s="363"/>
      <c r="D97" s="364"/>
      <c r="E97" s="395"/>
      <c r="F97" s="396"/>
      <c r="G97" s="151"/>
      <c r="H97" s="152"/>
      <c r="I97" s="153"/>
      <c r="J97" s="156"/>
      <c r="K97" s="157"/>
      <c r="L97" s="415"/>
      <c r="M97" s="416"/>
      <c r="N97" s="416"/>
      <c r="O97" s="416"/>
      <c r="P97" s="416"/>
      <c r="Q97" s="416"/>
      <c r="R97" s="416"/>
      <c r="S97" s="416"/>
      <c r="T97" s="416"/>
      <c r="U97" s="416"/>
      <c r="V97" s="416"/>
      <c r="W97" s="416"/>
      <c r="X97" s="416"/>
      <c r="Y97" s="416"/>
      <c r="Z97" s="416"/>
      <c r="AA97" s="416"/>
      <c r="AB97" s="416"/>
      <c r="AC97" s="416"/>
      <c r="AD97" s="416"/>
      <c r="AE97" s="416"/>
      <c r="AF97" s="416"/>
      <c r="AG97" s="416"/>
      <c r="AH97" s="416"/>
      <c r="AI97" s="416"/>
      <c r="AJ97" s="416"/>
      <c r="AK97" s="416"/>
      <c r="AL97" s="416"/>
      <c r="AM97" s="416"/>
      <c r="AN97" s="416"/>
      <c r="AO97" s="416"/>
      <c r="AP97" s="416"/>
      <c r="AQ97" s="416"/>
      <c r="AR97" s="416"/>
      <c r="AS97" s="417"/>
      <c r="AT97" s="67" t="s">
        <v>9</v>
      </c>
      <c r="AV97" s="67" t="s">
        <v>592</v>
      </c>
      <c r="AY97" s="84" t="s">
        <v>593</v>
      </c>
      <c r="BA97" s="67" t="s">
        <v>27</v>
      </c>
    </row>
    <row r="98" spans="1:54" ht="12.75" customHeight="1" x14ac:dyDescent="0.3">
      <c r="A98" s="363"/>
      <c r="B98" s="364"/>
      <c r="C98" s="363"/>
      <c r="D98" s="364"/>
      <c r="E98" s="395"/>
      <c r="F98" s="396"/>
      <c r="G98" s="151"/>
      <c r="H98" s="152"/>
      <c r="I98" s="153"/>
      <c r="J98" s="156"/>
      <c r="K98" s="157"/>
      <c r="L98" s="466" t="s">
        <v>964</v>
      </c>
      <c r="M98" s="467"/>
      <c r="N98" s="467"/>
      <c r="O98" s="467"/>
      <c r="P98" s="467"/>
      <c r="Q98" s="467"/>
      <c r="R98" s="467"/>
      <c r="S98" s="467"/>
      <c r="T98" s="467"/>
      <c r="U98" s="467"/>
      <c r="V98" s="467"/>
      <c r="W98" s="467"/>
      <c r="X98" s="467"/>
      <c r="Y98" s="467"/>
      <c r="Z98" s="467"/>
      <c r="AA98" s="467"/>
      <c r="AB98" s="467"/>
      <c r="AC98" s="467"/>
      <c r="AD98" s="467"/>
      <c r="AE98" s="467"/>
      <c r="AF98" s="467"/>
      <c r="AG98" s="467"/>
      <c r="AH98" s="467"/>
      <c r="AI98" s="467"/>
      <c r="AJ98" s="467"/>
      <c r="AK98" s="467"/>
      <c r="AL98" s="467"/>
      <c r="AM98" s="467"/>
      <c r="AN98" s="467"/>
      <c r="AO98" s="467"/>
      <c r="AP98" s="467"/>
      <c r="AQ98" s="467"/>
      <c r="AR98" s="467"/>
      <c r="AS98" s="468"/>
      <c r="AT98" s="98" t="s">
        <v>234</v>
      </c>
      <c r="AU98" s="98" t="s">
        <v>235</v>
      </c>
      <c r="AV98" s="99" t="s">
        <v>3</v>
      </c>
      <c r="AW98" s="99" t="s">
        <v>236</v>
      </c>
      <c r="AX98" s="70"/>
      <c r="AY98" s="5"/>
      <c r="AZ98" s="159" t="s">
        <v>72</v>
      </c>
      <c r="BA98" s="100" t="s">
        <v>231</v>
      </c>
      <c r="BB98" s="101" t="s">
        <v>237</v>
      </c>
    </row>
    <row r="99" spans="1:54" ht="12.75" customHeight="1" x14ac:dyDescent="0.3">
      <c r="A99" s="363"/>
      <c r="B99" s="364"/>
      <c r="C99" s="363"/>
      <c r="D99" s="364"/>
      <c r="E99" s="395"/>
      <c r="F99" s="396"/>
      <c r="G99" s="456"/>
      <c r="H99" s="457"/>
      <c r="I99" s="458"/>
      <c r="J99" s="156"/>
      <c r="K99" s="157"/>
      <c r="L99" s="415"/>
      <c r="M99" s="416"/>
      <c r="N99" s="416"/>
      <c r="O99" s="416"/>
      <c r="P99" s="416"/>
      <c r="Q99" s="416"/>
      <c r="R99" s="416"/>
      <c r="S99" s="416"/>
      <c r="T99" s="416"/>
      <c r="U99" s="416"/>
      <c r="V99" s="416"/>
      <c r="W99" s="416"/>
      <c r="X99" s="416"/>
      <c r="Y99" s="416"/>
      <c r="Z99" s="416"/>
      <c r="AA99" s="416"/>
      <c r="AB99" s="416"/>
      <c r="AC99" s="416"/>
      <c r="AD99" s="416"/>
      <c r="AE99" s="416"/>
      <c r="AF99" s="416"/>
      <c r="AG99" s="416"/>
      <c r="AH99" s="416"/>
      <c r="AI99" s="416"/>
      <c r="AJ99" s="416"/>
      <c r="AK99" s="416"/>
      <c r="AL99" s="416"/>
      <c r="AM99" s="416"/>
      <c r="AN99" s="416"/>
      <c r="AO99" s="416"/>
      <c r="AP99" s="416"/>
      <c r="AQ99" s="416"/>
      <c r="AR99" s="416"/>
      <c r="AS99" s="417"/>
      <c r="AT99" s="98" t="s">
        <v>7</v>
      </c>
      <c r="AU99" s="98" t="s">
        <v>238</v>
      </c>
      <c r="AV99" s="99" t="s">
        <v>239</v>
      </c>
      <c r="AW99" s="99" t="s">
        <v>240</v>
      </c>
      <c r="AX99" s="70" t="s">
        <v>241</v>
      </c>
      <c r="AY99" s="4" t="s">
        <v>214</v>
      </c>
      <c r="BA99" s="100" t="s">
        <v>242</v>
      </c>
      <c r="BB99" s="101" t="s">
        <v>243</v>
      </c>
    </row>
    <row r="100" spans="1:54" ht="12.75" customHeight="1" x14ac:dyDescent="0.3">
      <c r="A100" s="363"/>
      <c r="B100" s="364"/>
      <c r="C100" s="363"/>
      <c r="D100" s="364"/>
      <c r="E100" s="395"/>
      <c r="F100" s="396"/>
      <c r="G100" s="456"/>
      <c r="H100" s="457"/>
      <c r="I100" s="458"/>
      <c r="J100" s="156"/>
      <c r="K100" s="157"/>
      <c r="L100" s="415"/>
      <c r="M100" s="416"/>
      <c r="N100" s="416"/>
      <c r="O100" s="416"/>
      <c r="P100" s="416"/>
      <c r="Q100" s="416"/>
      <c r="R100" s="416"/>
      <c r="S100" s="416"/>
      <c r="T100" s="416"/>
      <c r="U100" s="416"/>
      <c r="V100" s="416"/>
      <c r="W100" s="416"/>
      <c r="X100" s="416"/>
      <c r="Y100" s="416"/>
      <c r="Z100" s="416"/>
      <c r="AA100" s="416"/>
      <c r="AB100" s="416"/>
      <c r="AC100" s="416"/>
      <c r="AD100" s="416"/>
      <c r="AE100" s="416"/>
      <c r="AF100" s="416"/>
      <c r="AG100" s="416"/>
      <c r="AH100" s="416"/>
      <c r="AI100" s="416"/>
      <c r="AJ100" s="416"/>
      <c r="AK100" s="416"/>
      <c r="AL100" s="416"/>
      <c r="AM100" s="416"/>
      <c r="AN100" s="416"/>
      <c r="AO100" s="416"/>
      <c r="AP100" s="416"/>
      <c r="AQ100" s="416"/>
      <c r="AR100" s="416"/>
      <c r="AS100" s="417"/>
      <c r="AT100" s="98" t="s">
        <v>6</v>
      </c>
      <c r="AU100" s="98" t="s">
        <v>245</v>
      </c>
      <c r="AV100" s="99" t="s">
        <v>246</v>
      </c>
      <c r="AW100" s="99" t="s">
        <v>594</v>
      </c>
      <c r="AX100" s="70"/>
      <c r="AY100" s="84" t="s">
        <v>214</v>
      </c>
    </row>
    <row r="101" spans="1:54" ht="12.75" customHeight="1" x14ac:dyDescent="0.3">
      <c r="A101" s="363"/>
      <c r="B101" s="364"/>
      <c r="C101" s="363"/>
      <c r="D101" s="364"/>
      <c r="E101" s="395"/>
      <c r="F101" s="396"/>
      <c r="G101" s="456"/>
      <c r="H101" s="457"/>
      <c r="I101" s="458"/>
      <c r="J101" s="154"/>
      <c r="K101" s="155"/>
      <c r="L101" s="415"/>
      <c r="M101" s="416"/>
      <c r="N101" s="416"/>
      <c r="O101" s="416"/>
      <c r="P101" s="416"/>
      <c r="Q101" s="416"/>
      <c r="R101" s="416"/>
      <c r="S101" s="416"/>
      <c r="T101" s="416"/>
      <c r="U101" s="416"/>
      <c r="V101" s="416"/>
      <c r="W101" s="416"/>
      <c r="X101" s="416"/>
      <c r="Y101" s="416"/>
      <c r="Z101" s="416"/>
      <c r="AA101" s="416"/>
      <c r="AB101" s="416"/>
      <c r="AC101" s="416"/>
      <c r="AD101" s="416"/>
      <c r="AE101" s="416"/>
      <c r="AF101" s="416"/>
      <c r="AG101" s="416"/>
      <c r="AH101" s="416"/>
      <c r="AI101" s="416"/>
      <c r="AJ101" s="416"/>
      <c r="AK101" s="416"/>
      <c r="AL101" s="416"/>
      <c r="AM101" s="416"/>
      <c r="AN101" s="416"/>
      <c r="AO101" s="416"/>
      <c r="AP101" s="416"/>
      <c r="AQ101" s="416"/>
      <c r="AR101" s="416"/>
      <c r="AS101" s="417"/>
      <c r="AT101" s="98" t="s">
        <v>595</v>
      </c>
      <c r="AU101" s="98" t="s">
        <v>247</v>
      </c>
      <c r="AV101" s="99" t="s">
        <v>596</v>
      </c>
      <c r="AW101" s="99" t="s">
        <v>597</v>
      </c>
      <c r="AX101" s="70"/>
      <c r="AY101" s="5"/>
      <c r="AZ101" s="159" t="s">
        <v>72</v>
      </c>
    </row>
    <row r="102" spans="1:54" ht="12.75" customHeight="1" x14ac:dyDescent="0.3">
      <c r="A102" s="363"/>
      <c r="B102" s="364"/>
      <c r="C102" s="363"/>
      <c r="D102" s="364"/>
      <c r="E102" s="395"/>
      <c r="F102" s="396"/>
      <c r="G102" s="164"/>
      <c r="H102" s="418"/>
      <c r="I102" s="418"/>
      <c r="J102" s="419"/>
      <c r="K102" s="419"/>
      <c r="L102" s="415"/>
      <c r="M102" s="416"/>
      <c r="N102" s="416"/>
      <c r="O102" s="416"/>
      <c r="P102" s="416"/>
      <c r="Q102" s="416"/>
      <c r="R102" s="416"/>
      <c r="S102" s="416"/>
      <c r="T102" s="416"/>
      <c r="U102" s="416"/>
      <c r="V102" s="416"/>
      <c r="W102" s="416"/>
      <c r="X102" s="416"/>
      <c r="Y102" s="416"/>
      <c r="Z102" s="416"/>
      <c r="AA102" s="416"/>
      <c r="AB102" s="416"/>
      <c r="AC102" s="416"/>
      <c r="AD102" s="416"/>
      <c r="AE102" s="416"/>
      <c r="AF102" s="416"/>
      <c r="AG102" s="416"/>
      <c r="AH102" s="416"/>
      <c r="AI102" s="416"/>
      <c r="AJ102" s="416"/>
      <c r="AK102" s="416"/>
      <c r="AL102" s="416"/>
      <c r="AM102" s="416"/>
      <c r="AN102" s="416"/>
      <c r="AO102" s="416"/>
      <c r="AP102" s="416"/>
      <c r="AQ102" s="416"/>
      <c r="AR102" s="416"/>
      <c r="AS102" s="417"/>
      <c r="AT102" s="98" t="s">
        <v>248</v>
      </c>
      <c r="AU102" s="98" t="s">
        <v>249</v>
      </c>
      <c r="AV102" s="99" t="s">
        <v>250</v>
      </c>
      <c r="AW102" s="99" t="s">
        <v>251</v>
      </c>
      <c r="AX102" s="70" t="s">
        <v>252</v>
      </c>
      <c r="AY102" s="3" t="s">
        <v>222</v>
      </c>
    </row>
    <row r="103" spans="1:54" ht="12.75" customHeight="1" x14ac:dyDescent="0.3">
      <c r="A103" s="363"/>
      <c r="B103" s="364"/>
      <c r="C103" s="363"/>
      <c r="D103" s="364"/>
      <c r="E103" s="395"/>
      <c r="F103" s="396"/>
      <c r="G103" s="151"/>
      <c r="H103" s="152"/>
      <c r="I103" s="153"/>
      <c r="J103" s="156"/>
      <c r="K103" s="157"/>
      <c r="L103" s="415"/>
      <c r="M103" s="416"/>
      <c r="N103" s="416"/>
      <c r="O103" s="416"/>
      <c r="P103" s="416"/>
      <c r="Q103" s="416"/>
      <c r="R103" s="416"/>
      <c r="S103" s="416"/>
      <c r="T103" s="416"/>
      <c r="U103" s="416"/>
      <c r="V103" s="416"/>
      <c r="W103" s="416"/>
      <c r="X103" s="416"/>
      <c r="Y103" s="416"/>
      <c r="Z103" s="416"/>
      <c r="AA103" s="416"/>
      <c r="AB103" s="416"/>
      <c r="AC103" s="416"/>
      <c r="AD103" s="416"/>
      <c r="AE103" s="416"/>
      <c r="AF103" s="416"/>
      <c r="AG103" s="416"/>
      <c r="AH103" s="416"/>
      <c r="AI103" s="416"/>
      <c r="AJ103" s="416"/>
      <c r="AK103" s="416"/>
      <c r="AL103" s="416"/>
      <c r="AM103" s="416"/>
      <c r="AN103" s="416"/>
      <c r="AO103" s="416"/>
      <c r="AP103" s="416"/>
      <c r="AQ103" s="416"/>
      <c r="AR103" s="416"/>
      <c r="AS103" s="417"/>
      <c r="AT103" s="98" t="s">
        <v>2</v>
      </c>
      <c r="AU103" s="98" t="s">
        <v>12</v>
      </c>
      <c r="AV103" s="99" t="s">
        <v>253</v>
      </c>
      <c r="AW103" s="99" t="s">
        <v>254</v>
      </c>
      <c r="AX103" s="70"/>
      <c r="AY103" s="73" t="s">
        <v>255</v>
      </c>
    </row>
    <row r="104" spans="1:54" ht="12.75" customHeight="1" x14ac:dyDescent="0.3">
      <c r="A104" s="363"/>
      <c r="B104" s="364"/>
      <c r="C104" s="363"/>
      <c r="D104" s="364"/>
      <c r="E104" s="395"/>
      <c r="F104" s="396"/>
      <c r="G104" s="164"/>
      <c r="H104" s="418"/>
      <c r="I104" s="418"/>
      <c r="J104" s="419"/>
      <c r="K104" s="419"/>
      <c r="L104" s="415"/>
      <c r="M104" s="416"/>
      <c r="N104" s="416"/>
      <c r="O104" s="416"/>
      <c r="P104" s="416"/>
      <c r="Q104" s="416"/>
      <c r="R104" s="416"/>
      <c r="S104" s="416"/>
      <c r="T104" s="416"/>
      <c r="U104" s="416"/>
      <c r="V104" s="416"/>
      <c r="W104" s="416"/>
      <c r="X104" s="416"/>
      <c r="Y104" s="416"/>
      <c r="Z104" s="416"/>
      <c r="AA104" s="416"/>
      <c r="AB104" s="416"/>
      <c r="AC104" s="416"/>
      <c r="AD104" s="416"/>
      <c r="AE104" s="416"/>
      <c r="AF104" s="416"/>
      <c r="AG104" s="416"/>
      <c r="AH104" s="416"/>
      <c r="AI104" s="416"/>
      <c r="AJ104" s="416"/>
      <c r="AK104" s="416"/>
      <c r="AL104" s="416"/>
      <c r="AM104" s="416"/>
      <c r="AN104" s="416"/>
      <c r="AO104" s="416"/>
      <c r="AP104" s="416"/>
      <c r="AQ104" s="416"/>
      <c r="AR104" s="416"/>
      <c r="AS104" s="417"/>
      <c r="AT104" s="98" t="s">
        <v>442</v>
      </c>
      <c r="AU104" s="98" t="s">
        <v>256</v>
      </c>
      <c r="AV104" s="99" t="s">
        <v>443</v>
      </c>
      <c r="AW104" s="99" t="s">
        <v>444</v>
      </c>
      <c r="AX104" s="70"/>
      <c r="AY104" s="77" t="s">
        <v>257</v>
      </c>
    </row>
    <row r="105" spans="1:54" ht="12.75" customHeight="1" x14ac:dyDescent="0.3">
      <c r="A105" s="363"/>
      <c r="B105" s="364"/>
      <c r="C105" s="363"/>
      <c r="D105" s="364"/>
      <c r="E105" s="395"/>
      <c r="F105" s="396"/>
      <c r="G105" s="164"/>
      <c r="H105" s="418"/>
      <c r="I105" s="418"/>
      <c r="J105" s="419"/>
      <c r="K105" s="419"/>
      <c r="L105" s="415"/>
      <c r="M105" s="416"/>
      <c r="N105" s="416"/>
      <c r="O105" s="416"/>
      <c r="P105" s="416"/>
      <c r="Q105" s="416"/>
      <c r="R105" s="416"/>
      <c r="S105" s="416"/>
      <c r="T105" s="416"/>
      <c r="U105" s="416"/>
      <c r="V105" s="416"/>
      <c r="W105" s="416"/>
      <c r="X105" s="416"/>
      <c r="Y105" s="416"/>
      <c r="Z105" s="416"/>
      <c r="AA105" s="416"/>
      <c r="AB105" s="416"/>
      <c r="AC105" s="416"/>
      <c r="AD105" s="416"/>
      <c r="AE105" s="416"/>
      <c r="AF105" s="416"/>
      <c r="AG105" s="416"/>
      <c r="AH105" s="416"/>
      <c r="AI105" s="416"/>
      <c r="AJ105" s="416"/>
      <c r="AK105" s="416"/>
      <c r="AL105" s="416"/>
      <c r="AM105" s="416"/>
      <c r="AN105" s="416"/>
      <c r="AO105" s="416"/>
      <c r="AP105" s="416"/>
      <c r="AQ105" s="416"/>
      <c r="AR105" s="416"/>
      <c r="AS105" s="417"/>
      <c r="AT105" s="98" t="s">
        <v>259</v>
      </c>
      <c r="AU105" s="98" t="s">
        <v>260</v>
      </c>
      <c r="AV105" s="99" t="s">
        <v>261</v>
      </c>
      <c r="AW105" s="99" t="s">
        <v>262</v>
      </c>
      <c r="AX105" s="70"/>
      <c r="AY105" s="77" t="s">
        <v>263</v>
      </c>
    </row>
    <row r="106" spans="1:54" ht="12.75" customHeight="1" x14ac:dyDescent="0.3">
      <c r="A106" s="363"/>
      <c r="B106" s="364"/>
      <c r="C106" s="363"/>
      <c r="D106" s="364"/>
      <c r="E106" s="395"/>
      <c r="F106" s="396"/>
      <c r="G106" s="164"/>
      <c r="H106" s="418"/>
      <c r="I106" s="418"/>
      <c r="J106" s="419"/>
      <c r="K106" s="419"/>
      <c r="L106" s="415"/>
      <c r="M106" s="416"/>
      <c r="N106" s="416"/>
      <c r="O106" s="416"/>
      <c r="P106" s="416"/>
      <c r="Q106" s="416"/>
      <c r="R106" s="416"/>
      <c r="S106" s="416"/>
      <c r="T106" s="416"/>
      <c r="U106" s="416"/>
      <c r="V106" s="416"/>
      <c r="W106" s="416"/>
      <c r="X106" s="416"/>
      <c r="Y106" s="416"/>
      <c r="Z106" s="416"/>
      <c r="AA106" s="416"/>
      <c r="AB106" s="416"/>
      <c r="AC106" s="416"/>
      <c r="AD106" s="416"/>
      <c r="AE106" s="416"/>
      <c r="AF106" s="416"/>
      <c r="AG106" s="416"/>
      <c r="AH106" s="416"/>
      <c r="AI106" s="416"/>
      <c r="AJ106" s="416"/>
      <c r="AK106" s="416"/>
      <c r="AL106" s="416"/>
      <c r="AM106" s="416"/>
      <c r="AN106" s="416"/>
      <c r="AO106" s="416"/>
      <c r="AP106" s="416"/>
      <c r="AQ106" s="416"/>
      <c r="AR106" s="416"/>
      <c r="AS106" s="417"/>
      <c r="AT106" s="98" t="s">
        <v>264</v>
      </c>
      <c r="AU106" s="98" t="s">
        <v>265</v>
      </c>
      <c r="AV106" s="99" t="s">
        <v>233</v>
      </c>
      <c r="AW106" s="99" t="s">
        <v>266</v>
      </c>
      <c r="AX106" s="70"/>
      <c r="AY106" s="80" t="s">
        <v>267</v>
      </c>
    </row>
    <row r="107" spans="1:54" ht="12.75" customHeight="1" x14ac:dyDescent="0.3">
      <c r="A107" s="363"/>
      <c r="B107" s="364"/>
      <c r="C107" s="363"/>
      <c r="D107" s="364"/>
      <c r="E107" s="346"/>
      <c r="F107" s="346"/>
      <c r="G107" s="191"/>
      <c r="H107" s="347"/>
      <c r="I107" s="347"/>
      <c r="J107" s="348"/>
      <c r="K107" s="348"/>
      <c r="L107" s="354" t="s">
        <v>814</v>
      </c>
      <c r="M107" s="354"/>
      <c r="N107" s="354"/>
      <c r="O107" s="354"/>
      <c r="P107" s="354"/>
      <c r="Q107" s="354"/>
      <c r="R107" s="354"/>
      <c r="S107" s="354"/>
      <c r="T107" s="354"/>
      <c r="U107" s="354"/>
      <c r="V107" s="354"/>
      <c r="W107" s="354"/>
      <c r="X107" s="354"/>
      <c r="Y107" s="354"/>
      <c r="Z107" s="354"/>
      <c r="AA107" s="354"/>
      <c r="AB107" s="354"/>
      <c r="AC107" s="354"/>
      <c r="AD107" s="354"/>
      <c r="AE107" s="354"/>
      <c r="AF107" s="354"/>
      <c r="AG107" s="354"/>
      <c r="AH107" s="354"/>
      <c r="AI107" s="354"/>
      <c r="AJ107" s="354"/>
      <c r="AK107" s="354"/>
      <c r="AL107" s="354"/>
      <c r="AM107" s="354"/>
      <c r="AN107" s="354"/>
      <c r="AO107" s="354"/>
      <c r="AP107" s="354"/>
      <c r="AQ107" s="354"/>
      <c r="AR107" s="354"/>
      <c r="AS107" s="354"/>
      <c r="AT107" s="98" t="s">
        <v>268</v>
      </c>
      <c r="AU107" s="98" t="s">
        <v>269</v>
      </c>
      <c r="AV107" s="99" t="s">
        <v>270</v>
      </c>
      <c r="AW107" s="99" t="s">
        <v>271</v>
      </c>
      <c r="AX107" s="70"/>
      <c r="AY107" s="5" t="s">
        <v>222</v>
      </c>
      <c r="AZ107" s="159" t="s">
        <v>72</v>
      </c>
    </row>
    <row r="108" spans="1:54" ht="12.75" customHeight="1" x14ac:dyDescent="0.3">
      <c r="A108" s="363"/>
      <c r="B108" s="364"/>
      <c r="C108" s="363"/>
      <c r="D108" s="364"/>
      <c r="E108" s="346" t="str">
        <f t="shared" ref="E108" si="1">IF(C108="","",(C108-A108)*24)</f>
        <v/>
      </c>
      <c r="F108" s="346"/>
      <c r="G108" s="191"/>
      <c r="H108" s="347"/>
      <c r="I108" s="347"/>
      <c r="J108" s="348"/>
      <c r="K108" s="348"/>
      <c r="L108" s="354" t="s">
        <v>815</v>
      </c>
      <c r="M108" s="354"/>
      <c r="N108" s="354"/>
      <c r="O108" s="354"/>
      <c r="P108" s="354"/>
      <c r="Q108" s="354"/>
      <c r="R108" s="354"/>
      <c r="S108" s="354"/>
      <c r="T108" s="354"/>
      <c r="U108" s="354"/>
      <c r="V108" s="354"/>
      <c r="W108" s="354"/>
      <c r="X108" s="354"/>
      <c r="Y108" s="354"/>
      <c r="Z108" s="354"/>
      <c r="AA108" s="354"/>
      <c r="AB108" s="354"/>
      <c r="AC108" s="354"/>
      <c r="AD108" s="354"/>
      <c r="AE108" s="354"/>
      <c r="AF108" s="354"/>
      <c r="AG108" s="354"/>
      <c r="AH108" s="354"/>
      <c r="AI108" s="354"/>
      <c r="AJ108" s="354"/>
      <c r="AK108" s="354"/>
      <c r="AL108" s="354"/>
      <c r="AM108" s="354"/>
      <c r="AN108" s="354"/>
      <c r="AO108" s="354"/>
      <c r="AP108" s="354"/>
      <c r="AQ108" s="354"/>
      <c r="AR108" s="354"/>
      <c r="AS108" s="354"/>
      <c r="AT108" s="98" t="s">
        <v>53</v>
      </c>
      <c r="AU108" s="98" t="s">
        <v>272</v>
      </c>
      <c r="AV108" s="99" t="s">
        <v>273</v>
      </c>
      <c r="AW108" s="99" t="s">
        <v>274</v>
      </c>
      <c r="AX108" s="70" t="s">
        <v>275</v>
      </c>
      <c r="AY108" s="3" t="s">
        <v>257</v>
      </c>
    </row>
    <row r="109" spans="1:54" ht="12.75" customHeight="1" x14ac:dyDescent="0.3">
      <c r="A109" s="363"/>
      <c r="B109" s="364"/>
      <c r="C109" s="363"/>
      <c r="D109" s="364"/>
      <c r="E109" s="346" t="str">
        <f>IF(C109="","",(C109-A109)*24)</f>
        <v/>
      </c>
      <c r="F109" s="346"/>
      <c r="G109" s="200"/>
      <c r="H109" s="351"/>
      <c r="I109" s="351"/>
      <c r="J109" s="352"/>
      <c r="K109" s="352"/>
      <c r="L109" s="354" t="s">
        <v>965</v>
      </c>
      <c r="M109" s="349"/>
      <c r="N109" s="349"/>
      <c r="O109" s="349"/>
      <c r="P109" s="349"/>
      <c r="Q109" s="349"/>
      <c r="R109" s="349"/>
      <c r="S109" s="349"/>
      <c r="T109" s="349"/>
      <c r="U109" s="349"/>
      <c r="V109" s="349"/>
      <c r="W109" s="349"/>
      <c r="X109" s="349"/>
      <c r="Y109" s="349"/>
      <c r="Z109" s="349"/>
      <c r="AA109" s="349"/>
      <c r="AB109" s="349"/>
      <c r="AC109" s="349"/>
      <c r="AD109" s="349"/>
      <c r="AE109" s="349"/>
      <c r="AF109" s="349"/>
      <c r="AG109" s="349"/>
      <c r="AH109" s="349"/>
      <c r="AI109" s="349"/>
      <c r="AJ109" s="349"/>
      <c r="AK109" s="349"/>
      <c r="AL109" s="349"/>
      <c r="AM109" s="349"/>
      <c r="AN109" s="349"/>
      <c r="AO109" s="349"/>
      <c r="AP109" s="349"/>
      <c r="AQ109" s="349"/>
      <c r="AR109" s="349"/>
      <c r="AS109" s="349"/>
      <c r="AT109" s="98" t="s">
        <v>276</v>
      </c>
      <c r="AU109" s="98" t="s">
        <v>277</v>
      </c>
      <c r="AV109" s="99" t="s">
        <v>4</v>
      </c>
      <c r="AW109" s="99" t="s">
        <v>278</v>
      </c>
      <c r="AX109" s="70"/>
      <c r="AY109" s="73" t="s">
        <v>255</v>
      </c>
    </row>
    <row r="110" spans="1:54" ht="12.75" customHeight="1" x14ac:dyDescent="0.3">
      <c r="A110" s="355"/>
      <c r="B110" s="355"/>
      <c r="C110" s="355"/>
      <c r="D110" s="355"/>
      <c r="E110" s="356" t="str">
        <f>IF(C110="","",(C110-A110)*24)</f>
        <v/>
      </c>
      <c r="F110" s="356"/>
      <c r="G110" s="201"/>
      <c r="H110" s="357"/>
      <c r="I110" s="357"/>
      <c r="J110" s="358"/>
      <c r="K110" s="358"/>
      <c r="L110" s="353"/>
      <c r="M110" s="353"/>
      <c r="N110" s="353"/>
      <c r="O110" s="353"/>
      <c r="P110" s="353"/>
      <c r="Q110" s="353"/>
      <c r="R110" s="353"/>
      <c r="S110" s="353"/>
      <c r="T110" s="353"/>
      <c r="U110" s="353"/>
      <c r="V110" s="353"/>
      <c r="W110" s="353"/>
      <c r="X110" s="353"/>
      <c r="Y110" s="353"/>
      <c r="Z110" s="353"/>
      <c r="AA110" s="353"/>
      <c r="AB110" s="353"/>
      <c r="AC110" s="353"/>
      <c r="AD110" s="353"/>
      <c r="AE110" s="353"/>
      <c r="AF110" s="353"/>
      <c r="AG110" s="353"/>
      <c r="AH110" s="353"/>
      <c r="AI110" s="353"/>
      <c r="AJ110" s="353"/>
      <c r="AK110" s="353"/>
      <c r="AL110" s="353"/>
      <c r="AM110" s="353"/>
      <c r="AN110" s="353"/>
      <c r="AO110" s="353"/>
      <c r="AP110" s="353"/>
      <c r="AQ110" s="353"/>
      <c r="AR110" s="353"/>
      <c r="AS110" s="353"/>
      <c r="AT110" s="98" t="s">
        <v>598</v>
      </c>
      <c r="AU110" s="98" t="s">
        <v>599</v>
      </c>
      <c r="AV110" s="99" t="s">
        <v>600</v>
      </c>
      <c r="AW110" s="99" t="s">
        <v>601</v>
      </c>
      <c r="AX110" s="70"/>
      <c r="AY110" s="77" t="s">
        <v>257</v>
      </c>
    </row>
    <row r="111" spans="1:54" ht="12.75" customHeight="1" x14ac:dyDescent="0.3">
      <c r="A111" s="359"/>
      <c r="B111" s="359"/>
      <c r="C111" s="359"/>
      <c r="D111" s="359"/>
      <c r="E111" s="350" t="str">
        <f>IF(C111="","",(C111-A111)*24)</f>
        <v/>
      </c>
      <c r="F111" s="350"/>
      <c r="G111" s="200"/>
      <c r="H111" s="351"/>
      <c r="I111" s="351"/>
      <c r="J111" s="352"/>
      <c r="K111" s="352"/>
      <c r="L111" s="353"/>
      <c r="M111" s="353"/>
      <c r="N111" s="353"/>
      <c r="O111" s="353"/>
      <c r="P111" s="353"/>
      <c r="Q111" s="353"/>
      <c r="R111" s="353"/>
      <c r="S111" s="353"/>
      <c r="T111" s="353"/>
      <c r="U111" s="353"/>
      <c r="V111" s="353"/>
      <c r="W111" s="353"/>
      <c r="X111" s="353"/>
      <c r="Y111" s="353"/>
      <c r="Z111" s="353"/>
      <c r="AA111" s="353"/>
      <c r="AB111" s="353"/>
      <c r="AC111" s="353"/>
      <c r="AD111" s="353"/>
      <c r="AE111" s="353"/>
      <c r="AF111" s="353"/>
      <c r="AG111" s="353"/>
      <c r="AH111" s="353"/>
      <c r="AI111" s="353"/>
      <c r="AJ111" s="353"/>
      <c r="AK111" s="353"/>
      <c r="AL111" s="353"/>
      <c r="AM111" s="353"/>
      <c r="AN111" s="353"/>
      <c r="AO111" s="353"/>
      <c r="AP111" s="353"/>
      <c r="AQ111" s="353"/>
      <c r="AR111" s="353"/>
      <c r="AS111" s="353"/>
      <c r="AT111" s="98" t="s">
        <v>279</v>
      </c>
      <c r="AU111" s="98" t="s">
        <v>280</v>
      </c>
      <c r="AV111" s="99" t="s">
        <v>602</v>
      </c>
      <c r="AW111" s="99" t="s">
        <v>603</v>
      </c>
      <c r="AY111" s="77" t="s">
        <v>263</v>
      </c>
    </row>
    <row r="112" spans="1:54" ht="12.75" customHeight="1" x14ac:dyDescent="0.3">
      <c r="A112" s="140" t="s">
        <v>604</v>
      </c>
      <c r="B112" s="140"/>
      <c r="C112" s="140"/>
      <c r="D112" s="140"/>
      <c r="E112" s="202">
        <f>SUM(E82:F111)</f>
        <v>11.5</v>
      </c>
      <c r="F112" s="202"/>
      <c r="G112" s="202"/>
      <c r="H112" s="344" t="str">
        <f>IF(E112&lt;&gt;24, "CHECK TOTAL HOURS","")</f>
        <v>CHECK TOTAL HOURS</v>
      </c>
      <c r="I112" s="344"/>
      <c r="J112" s="344"/>
      <c r="K112" s="344"/>
      <c r="L112" s="344"/>
      <c r="M112" s="344"/>
      <c r="N112" s="344"/>
      <c r="O112" s="344"/>
      <c r="P112" s="344"/>
      <c r="Q112" s="344"/>
      <c r="R112" s="344"/>
      <c r="S112" s="344"/>
      <c r="T112" s="344"/>
      <c r="U112" s="344"/>
      <c r="V112" s="344"/>
      <c r="W112" s="344"/>
      <c r="X112" s="344"/>
      <c r="Y112" s="344"/>
      <c r="Z112" s="344"/>
      <c r="AA112" s="344"/>
      <c r="AB112" s="344"/>
      <c r="AC112" s="344"/>
      <c r="AD112" s="344"/>
      <c r="AE112" s="344"/>
      <c r="AF112" s="344"/>
      <c r="AG112" s="344"/>
      <c r="AH112" s="344"/>
      <c r="AI112" s="344"/>
      <c r="AJ112" s="344"/>
      <c r="AK112" s="344"/>
      <c r="AL112" s="344"/>
      <c r="AM112" s="344"/>
      <c r="AN112" s="344"/>
      <c r="AO112" s="344"/>
      <c r="AP112" s="344"/>
      <c r="AQ112" s="344"/>
      <c r="AR112" s="344"/>
      <c r="AS112" s="344"/>
      <c r="AT112" s="98" t="s">
        <v>281</v>
      </c>
      <c r="AU112" s="98" t="s">
        <v>282</v>
      </c>
      <c r="AV112" s="99" t="s">
        <v>283</v>
      </c>
      <c r="AW112" s="99" t="s">
        <v>284</v>
      </c>
    </row>
    <row r="113" spans="1:52" ht="12.75" customHeight="1" x14ac:dyDescent="0.3">
      <c r="A113" s="360" t="str">
        <f>IF(C113="","",(C113-#REF!)*24)</f>
        <v/>
      </c>
      <c r="B113" s="360"/>
      <c r="C113" s="360"/>
      <c r="D113" s="360"/>
      <c r="E113" s="360"/>
      <c r="F113" s="360"/>
      <c r="G113" s="360"/>
      <c r="H113" s="360"/>
      <c r="I113" s="360"/>
      <c r="J113" s="360"/>
      <c r="K113" s="360"/>
      <c r="L113" s="360"/>
      <c r="M113" s="360"/>
      <c r="N113" s="360"/>
      <c r="O113" s="360"/>
      <c r="P113" s="360"/>
      <c r="Q113" s="360"/>
      <c r="R113" s="360"/>
      <c r="S113" s="360"/>
      <c r="T113" s="360"/>
      <c r="U113" s="360"/>
      <c r="V113" s="360"/>
      <c r="W113" s="360"/>
      <c r="X113" s="360"/>
      <c r="Y113" s="360"/>
      <c r="Z113" s="360"/>
      <c r="AA113" s="360"/>
      <c r="AB113" s="360"/>
      <c r="AC113" s="360"/>
      <c r="AD113" s="360"/>
      <c r="AE113" s="360"/>
      <c r="AF113" s="360"/>
      <c r="AG113" s="360"/>
      <c r="AH113" s="360"/>
      <c r="AI113" s="360"/>
      <c r="AJ113" s="360"/>
      <c r="AK113" s="360"/>
      <c r="AL113" s="360"/>
      <c r="AM113" s="360"/>
      <c r="AN113" s="360"/>
      <c r="AO113" s="360"/>
      <c r="AP113" s="360"/>
      <c r="AQ113" s="360"/>
      <c r="AR113" s="360"/>
      <c r="AS113" s="360"/>
      <c r="AT113" s="98" t="s">
        <v>285</v>
      </c>
      <c r="AU113" s="98" t="s">
        <v>286</v>
      </c>
      <c r="AV113" s="99" t="s">
        <v>287</v>
      </c>
      <c r="AW113" s="99" t="s">
        <v>288</v>
      </c>
      <c r="AY113" s="80" t="s">
        <v>267</v>
      </c>
    </row>
    <row r="114" spans="1:52" ht="12.75" customHeight="1" x14ac:dyDescent="0.3">
      <c r="A114" s="361" t="s">
        <v>289</v>
      </c>
      <c r="B114" s="362"/>
      <c r="C114" s="362"/>
      <c r="D114" s="362"/>
      <c r="E114" s="362"/>
      <c r="F114" s="362"/>
      <c r="G114" s="362"/>
      <c r="H114" s="362"/>
      <c r="I114" s="362"/>
      <c r="J114" s="362"/>
      <c r="K114" s="362"/>
      <c r="L114" s="362"/>
      <c r="M114" s="362"/>
      <c r="N114" s="362"/>
      <c r="O114" s="362"/>
      <c r="P114" s="362"/>
      <c r="Q114" s="362"/>
      <c r="R114" s="362"/>
      <c r="S114" s="362"/>
      <c r="T114" s="362"/>
      <c r="U114" s="362"/>
      <c r="V114" s="362"/>
      <c r="W114" s="362"/>
      <c r="X114" s="362"/>
      <c r="Y114" s="362"/>
      <c r="Z114" s="362"/>
      <c r="AA114" s="362"/>
      <c r="AB114" s="362"/>
      <c r="AC114" s="362"/>
      <c r="AD114" s="362"/>
      <c r="AE114" s="362"/>
      <c r="AF114" s="362"/>
      <c r="AG114" s="362"/>
      <c r="AH114" s="362"/>
      <c r="AI114" s="362"/>
      <c r="AJ114" s="362"/>
      <c r="AK114" s="362"/>
      <c r="AL114" s="362"/>
      <c r="AM114" s="362"/>
      <c r="AN114" s="362"/>
      <c r="AO114" s="362"/>
      <c r="AP114" s="362"/>
      <c r="AQ114" s="362"/>
      <c r="AR114" s="362"/>
      <c r="AS114" s="362"/>
      <c r="AT114" s="98" t="s">
        <v>290</v>
      </c>
      <c r="AU114" s="98" t="s">
        <v>291</v>
      </c>
      <c r="AV114" s="99" t="s">
        <v>232</v>
      </c>
      <c r="AW114" s="99" t="s">
        <v>292</v>
      </c>
      <c r="AY114" s="5"/>
      <c r="AZ114" s="159" t="s">
        <v>293</v>
      </c>
    </row>
    <row r="115" spans="1:52" ht="12.75" customHeight="1" x14ac:dyDescent="0.3">
      <c r="A115" s="363"/>
      <c r="B115" s="364"/>
      <c r="C115" s="363"/>
      <c r="D115" s="364"/>
      <c r="E115" s="395"/>
      <c r="F115" s="396"/>
      <c r="G115" s="164"/>
      <c r="H115" s="152"/>
      <c r="I115" s="153"/>
      <c r="J115" s="156"/>
      <c r="K115" s="157"/>
      <c r="L115" s="415"/>
      <c r="M115" s="416"/>
      <c r="N115" s="416"/>
      <c r="O115" s="416"/>
      <c r="P115" s="416"/>
      <c r="Q115" s="416"/>
      <c r="R115" s="416"/>
      <c r="S115" s="416"/>
      <c r="T115" s="416"/>
      <c r="U115" s="416"/>
      <c r="V115" s="416"/>
      <c r="W115" s="416"/>
      <c r="X115" s="416"/>
      <c r="Y115" s="416"/>
      <c r="Z115" s="416"/>
      <c r="AA115" s="416"/>
      <c r="AB115" s="416"/>
      <c r="AC115" s="416"/>
      <c r="AD115" s="416"/>
      <c r="AE115" s="416"/>
      <c r="AF115" s="416"/>
      <c r="AG115" s="416"/>
      <c r="AH115" s="416"/>
      <c r="AI115" s="416"/>
      <c r="AJ115" s="416"/>
      <c r="AK115" s="416"/>
      <c r="AL115" s="416"/>
      <c r="AM115" s="416"/>
      <c r="AN115" s="416"/>
      <c r="AO115" s="416"/>
      <c r="AP115" s="416"/>
      <c r="AQ115" s="416"/>
      <c r="AR115" s="416"/>
      <c r="AS115" s="417"/>
      <c r="AT115" s="98" t="s">
        <v>285</v>
      </c>
      <c r="AU115" s="98" t="s">
        <v>286</v>
      </c>
      <c r="AV115" s="99" t="s">
        <v>287</v>
      </c>
      <c r="AW115" s="99" t="s">
        <v>288</v>
      </c>
      <c r="AY115" s="80" t="s">
        <v>267</v>
      </c>
    </row>
    <row r="116" spans="1:52" ht="12.75" customHeight="1" x14ac:dyDescent="0.3">
      <c r="A116" s="393"/>
      <c r="B116" s="394"/>
      <c r="C116" s="393"/>
      <c r="D116" s="394"/>
      <c r="E116" s="395"/>
      <c r="F116" s="396"/>
      <c r="G116" s="456"/>
      <c r="H116" s="457"/>
      <c r="I116" s="458"/>
      <c r="J116" s="156"/>
      <c r="K116" s="157"/>
      <c r="L116" s="421"/>
      <c r="M116" s="422"/>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3"/>
      <c r="AT116" s="98" t="s">
        <v>290</v>
      </c>
      <c r="AU116" s="98" t="s">
        <v>291</v>
      </c>
      <c r="AV116" s="99" t="s">
        <v>232</v>
      </c>
      <c r="AW116" s="99" t="s">
        <v>292</v>
      </c>
      <c r="AY116" s="5"/>
      <c r="AZ116" s="159" t="s">
        <v>293</v>
      </c>
    </row>
    <row r="117" spans="1:52" ht="12.75" customHeight="1" x14ac:dyDescent="0.3">
      <c r="A117" s="393"/>
      <c r="B117" s="394"/>
      <c r="C117" s="393"/>
      <c r="D117" s="394"/>
      <c r="E117" s="395"/>
      <c r="F117" s="396"/>
      <c r="G117" s="456"/>
      <c r="H117" s="457"/>
      <c r="I117" s="458"/>
      <c r="J117" s="156"/>
      <c r="K117" s="157"/>
      <c r="L117" s="459"/>
      <c r="M117" s="460"/>
      <c r="N117" s="460"/>
      <c r="O117" s="460"/>
      <c r="P117" s="460"/>
      <c r="Q117" s="460"/>
      <c r="R117" s="460"/>
      <c r="S117" s="460"/>
      <c r="T117" s="460"/>
      <c r="U117" s="460"/>
      <c r="V117" s="460"/>
      <c r="W117" s="460"/>
      <c r="X117" s="460"/>
      <c r="Y117" s="460"/>
      <c r="Z117" s="460"/>
      <c r="AA117" s="460"/>
      <c r="AB117" s="460"/>
      <c r="AC117" s="460"/>
      <c r="AD117" s="460"/>
      <c r="AE117" s="460"/>
      <c r="AF117" s="460"/>
      <c r="AG117" s="460"/>
      <c r="AH117" s="460"/>
      <c r="AI117" s="460"/>
      <c r="AJ117" s="460"/>
      <c r="AK117" s="460"/>
      <c r="AL117" s="460"/>
      <c r="AM117" s="460"/>
      <c r="AN117" s="460"/>
      <c r="AO117" s="460"/>
      <c r="AP117" s="460"/>
      <c r="AQ117" s="460"/>
      <c r="AR117" s="460"/>
      <c r="AS117" s="461"/>
      <c r="AT117" s="98" t="s">
        <v>290</v>
      </c>
      <c r="AU117" s="98" t="s">
        <v>291</v>
      </c>
      <c r="AV117" s="99" t="s">
        <v>232</v>
      </c>
      <c r="AW117" s="99" t="s">
        <v>292</v>
      </c>
      <c r="AY117" s="5"/>
      <c r="AZ117" s="159" t="s">
        <v>293</v>
      </c>
    </row>
    <row r="118" spans="1:52" ht="12.75" customHeight="1" x14ac:dyDescent="0.3">
      <c r="A118" s="393"/>
      <c r="B118" s="394"/>
      <c r="C118" s="393"/>
      <c r="D118" s="394"/>
      <c r="E118" s="395"/>
      <c r="F118" s="396"/>
      <c r="G118" s="164"/>
      <c r="H118" s="450"/>
      <c r="I118" s="451"/>
      <c r="J118" s="452"/>
      <c r="K118" s="453"/>
      <c r="L118" s="415"/>
      <c r="M118" s="416"/>
      <c r="N118" s="416"/>
      <c r="O118" s="416"/>
      <c r="P118" s="416"/>
      <c r="Q118" s="416"/>
      <c r="R118" s="416"/>
      <c r="S118" s="416"/>
      <c r="T118" s="416"/>
      <c r="U118" s="416"/>
      <c r="V118" s="416"/>
      <c r="W118" s="416"/>
      <c r="X118" s="416"/>
      <c r="Y118" s="416"/>
      <c r="Z118" s="416"/>
      <c r="AA118" s="416"/>
      <c r="AB118" s="416"/>
      <c r="AC118" s="416"/>
      <c r="AD118" s="416"/>
      <c r="AE118" s="416"/>
      <c r="AF118" s="416"/>
      <c r="AG118" s="416"/>
      <c r="AH118" s="416"/>
      <c r="AI118" s="416"/>
      <c r="AJ118" s="416"/>
      <c r="AK118" s="416"/>
      <c r="AL118" s="416"/>
      <c r="AM118" s="416"/>
      <c r="AN118" s="416"/>
      <c r="AO118" s="416"/>
      <c r="AP118" s="416"/>
      <c r="AQ118" s="416"/>
      <c r="AR118" s="416"/>
      <c r="AS118" s="417"/>
      <c r="AT118" s="98" t="s">
        <v>475</v>
      </c>
      <c r="AU118" s="98" t="s">
        <v>295</v>
      </c>
      <c r="AV118" s="99" t="s">
        <v>296</v>
      </c>
      <c r="AW118" s="99" t="s">
        <v>297</v>
      </c>
      <c r="AX118" s="159" t="s">
        <v>298</v>
      </c>
      <c r="AY118" s="4" t="s">
        <v>593</v>
      </c>
    </row>
    <row r="119" spans="1:52" ht="12.75" customHeight="1" x14ac:dyDescent="0.3">
      <c r="A119" s="393"/>
      <c r="B119" s="394"/>
      <c r="C119" s="393"/>
      <c r="D119" s="394"/>
      <c r="E119" s="395"/>
      <c r="F119" s="396"/>
      <c r="G119" s="164"/>
      <c r="H119" s="418"/>
      <c r="I119" s="418"/>
      <c r="J119" s="419"/>
      <c r="K119" s="419"/>
      <c r="L119" s="415"/>
      <c r="M119" s="416"/>
      <c r="N119" s="416"/>
      <c r="O119" s="416"/>
      <c r="P119" s="416"/>
      <c r="Q119" s="416"/>
      <c r="R119" s="416"/>
      <c r="S119" s="416"/>
      <c r="T119" s="416"/>
      <c r="U119" s="416"/>
      <c r="V119" s="416"/>
      <c r="W119" s="416"/>
      <c r="X119" s="416"/>
      <c r="Y119" s="416"/>
      <c r="Z119" s="416"/>
      <c r="AA119" s="416"/>
      <c r="AB119" s="416"/>
      <c r="AC119" s="416"/>
      <c r="AD119" s="416"/>
      <c r="AE119" s="416"/>
      <c r="AF119" s="416"/>
      <c r="AG119" s="416"/>
      <c r="AH119" s="416"/>
      <c r="AI119" s="416"/>
      <c r="AJ119" s="416"/>
      <c r="AK119" s="416"/>
      <c r="AL119" s="416"/>
      <c r="AM119" s="416"/>
      <c r="AN119" s="416"/>
      <c r="AO119" s="416"/>
      <c r="AP119" s="416"/>
      <c r="AQ119" s="416"/>
      <c r="AR119" s="416"/>
      <c r="AS119" s="417"/>
      <c r="AT119" s="98" t="s">
        <v>299</v>
      </c>
      <c r="AU119" s="98" t="s">
        <v>300</v>
      </c>
      <c r="AV119" s="99" t="s">
        <v>136</v>
      </c>
      <c r="AW119" s="99" t="s">
        <v>301</v>
      </c>
      <c r="AY119" s="73" t="s">
        <v>593</v>
      </c>
    </row>
    <row r="120" spans="1:52" ht="12.75" customHeight="1" x14ac:dyDescent="0.3">
      <c r="A120" s="393"/>
      <c r="B120" s="394"/>
      <c r="C120" s="393"/>
      <c r="D120" s="394"/>
      <c r="E120" s="395"/>
      <c r="F120" s="396"/>
      <c r="G120" s="164"/>
      <c r="H120" s="418"/>
      <c r="I120" s="418"/>
      <c r="J120" s="419"/>
      <c r="K120" s="419"/>
      <c r="L120" s="415"/>
      <c r="M120" s="416"/>
      <c r="N120" s="416"/>
      <c r="O120" s="416"/>
      <c r="P120" s="416"/>
      <c r="Q120" s="416"/>
      <c r="R120" s="416"/>
      <c r="S120" s="416"/>
      <c r="T120" s="416"/>
      <c r="U120" s="416"/>
      <c r="V120" s="416"/>
      <c r="W120" s="416"/>
      <c r="X120" s="416"/>
      <c r="Y120" s="416"/>
      <c r="Z120" s="416"/>
      <c r="AA120" s="416"/>
      <c r="AB120" s="416"/>
      <c r="AC120" s="416"/>
      <c r="AD120" s="416"/>
      <c r="AE120" s="416"/>
      <c r="AF120" s="416"/>
      <c r="AG120" s="416"/>
      <c r="AH120" s="416"/>
      <c r="AI120" s="416"/>
      <c r="AJ120" s="416"/>
      <c r="AK120" s="416"/>
      <c r="AL120" s="416"/>
      <c r="AM120" s="416"/>
      <c r="AN120" s="416"/>
      <c r="AO120" s="416"/>
      <c r="AP120" s="416"/>
      <c r="AQ120" s="416"/>
      <c r="AR120" s="416"/>
      <c r="AS120" s="417"/>
      <c r="AT120" s="98" t="s">
        <v>302</v>
      </c>
      <c r="AU120" s="98" t="s">
        <v>303</v>
      </c>
      <c r="AV120" s="99" t="s">
        <v>304</v>
      </c>
      <c r="AW120" s="99" t="s">
        <v>305</v>
      </c>
      <c r="AY120" s="5"/>
      <c r="AZ120" s="159" t="s">
        <v>293</v>
      </c>
    </row>
    <row r="121" spans="1:52" ht="12.75" customHeight="1" x14ac:dyDescent="0.3">
      <c r="A121" s="393"/>
      <c r="B121" s="394"/>
      <c r="C121" s="393"/>
      <c r="D121" s="394"/>
      <c r="E121" s="395"/>
      <c r="F121" s="396"/>
      <c r="G121" s="191"/>
      <c r="H121" s="347"/>
      <c r="I121" s="347"/>
      <c r="J121" s="348"/>
      <c r="K121" s="348"/>
      <c r="L121" s="462"/>
      <c r="M121" s="454"/>
      <c r="N121" s="454"/>
      <c r="O121" s="454"/>
      <c r="P121" s="454"/>
      <c r="Q121" s="454"/>
      <c r="R121" s="454"/>
      <c r="S121" s="454"/>
      <c r="T121" s="454"/>
      <c r="U121" s="454"/>
      <c r="V121" s="454"/>
      <c r="W121" s="454"/>
      <c r="X121" s="454"/>
      <c r="Y121" s="454"/>
      <c r="Z121" s="454"/>
      <c r="AA121" s="454"/>
      <c r="AB121" s="454"/>
      <c r="AC121" s="454"/>
      <c r="AD121" s="454"/>
      <c r="AE121" s="454"/>
      <c r="AF121" s="454"/>
      <c r="AG121" s="454"/>
      <c r="AH121" s="454"/>
      <c r="AI121" s="454"/>
      <c r="AJ121" s="454"/>
      <c r="AK121" s="454"/>
      <c r="AL121" s="454"/>
      <c r="AM121" s="454"/>
      <c r="AN121" s="454"/>
      <c r="AO121" s="454"/>
      <c r="AP121" s="454"/>
      <c r="AQ121" s="454"/>
      <c r="AR121" s="454"/>
      <c r="AS121" s="455"/>
      <c r="AT121" s="98" t="s">
        <v>306</v>
      </c>
      <c r="AU121" s="98" t="s">
        <v>307</v>
      </c>
      <c r="AV121" s="99" t="s">
        <v>308</v>
      </c>
      <c r="AW121" s="99" t="s">
        <v>309</v>
      </c>
    </row>
    <row r="122" spans="1:52" ht="12.75" customHeight="1" x14ac:dyDescent="0.3">
      <c r="A122" s="399" t="s">
        <v>604</v>
      </c>
      <c r="B122" s="400"/>
      <c r="C122" s="400"/>
      <c r="D122" s="401"/>
      <c r="E122" s="402">
        <f>SUM(E115:F121)</f>
        <v>0</v>
      </c>
      <c r="F122" s="403"/>
      <c r="G122" s="392"/>
      <c r="H122" s="397"/>
      <c r="I122" s="397"/>
      <c r="J122" s="398"/>
      <c r="K122" s="398"/>
      <c r="L122" s="404"/>
      <c r="M122" s="404"/>
      <c r="N122" s="404"/>
      <c r="O122" s="404"/>
      <c r="P122" s="404"/>
      <c r="Q122" s="404"/>
      <c r="R122" s="404"/>
      <c r="S122" s="404"/>
      <c r="T122" s="404"/>
      <c r="U122" s="404"/>
      <c r="V122" s="404"/>
      <c r="W122" s="404"/>
      <c r="X122" s="404"/>
      <c r="Y122" s="404"/>
      <c r="Z122" s="404"/>
      <c r="AA122" s="404"/>
      <c r="AB122" s="404"/>
      <c r="AC122" s="404"/>
      <c r="AD122" s="404"/>
      <c r="AE122" s="404"/>
      <c r="AF122" s="404"/>
      <c r="AG122" s="404"/>
      <c r="AH122" s="404"/>
      <c r="AI122" s="404"/>
      <c r="AJ122" s="404"/>
      <c r="AK122" s="404"/>
      <c r="AL122" s="404"/>
      <c r="AM122" s="404"/>
      <c r="AN122" s="404"/>
      <c r="AO122" s="404"/>
      <c r="AP122" s="404"/>
      <c r="AQ122" s="404"/>
      <c r="AR122" s="404"/>
      <c r="AS122" s="404"/>
      <c r="AT122" s="98" t="s">
        <v>281</v>
      </c>
      <c r="AU122" s="98" t="s">
        <v>282</v>
      </c>
      <c r="AV122" s="99" t="s">
        <v>283</v>
      </c>
      <c r="AW122" s="99" t="s">
        <v>284</v>
      </c>
    </row>
    <row r="123" spans="1:52" ht="12.75" customHeight="1" x14ac:dyDescent="0.3">
      <c r="A123" s="365"/>
      <c r="B123" s="365"/>
      <c r="C123" s="365"/>
      <c r="D123" s="365"/>
      <c r="E123" s="365"/>
      <c r="F123" s="365"/>
      <c r="G123" s="365"/>
      <c r="H123" s="365"/>
      <c r="I123" s="365"/>
      <c r="J123" s="365"/>
      <c r="K123" s="365"/>
      <c r="L123" s="365"/>
      <c r="M123" s="365"/>
      <c r="N123" s="365"/>
      <c r="O123" s="365"/>
      <c r="P123" s="365"/>
      <c r="Q123" s="365"/>
      <c r="R123" s="365"/>
      <c r="S123" s="365"/>
      <c r="T123" s="365"/>
      <c r="U123" s="365"/>
      <c r="V123" s="365"/>
      <c r="W123" s="365"/>
      <c r="X123" s="365"/>
      <c r="Y123" s="365"/>
      <c r="Z123" s="365"/>
      <c r="AA123" s="365"/>
      <c r="AB123" s="365"/>
      <c r="AC123" s="365"/>
      <c r="AD123" s="365"/>
      <c r="AE123" s="365"/>
      <c r="AF123" s="365"/>
      <c r="AG123" s="365"/>
      <c r="AH123" s="365"/>
      <c r="AI123" s="365"/>
      <c r="AJ123" s="365"/>
      <c r="AK123" s="365"/>
      <c r="AL123" s="365"/>
      <c r="AM123" s="365"/>
      <c r="AN123" s="365"/>
      <c r="AO123" s="365"/>
      <c r="AP123" s="365"/>
      <c r="AQ123" s="365"/>
      <c r="AR123" s="365"/>
      <c r="AS123" s="365"/>
      <c r="AT123" s="98" t="s">
        <v>310</v>
      </c>
      <c r="AU123" s="98" t="s">
        <v>311</v>
      </c>
      <c r="AV123" s="99" t="s">
        <v>312</v>
      </c>
      <c r="AW123" s="99" t="s">
        <v>313</v>
      </c>
    </row>
    <row r="124" spans="1:52" ht="12.75" customHeight="1" x14ac:dyDescent="0.3">
      <c r="A124" s="366" t="s">
        <v>605</v>
      </c>
      <c r="B124" s="366"/>
      <c r="C124" s="366"/>
      <c r="D124" s="366"/>
      <c r="E124" s="366"/>
      <c r="F124" s="366"/>
      <c r="G124" s="366"/>
      <c r="H124" s="367"/>
      <c r="I124" s="367"/>
      <c r="J124" s="367"/>
      <c r="K124" s="367"/>
      <c r="L124" s="367"/>
      <c r="M124" s="367"/>
      <c r="N124" s="367"/>
      <c r="O124" s="367"/>
      <c r="P124" s="367"/>
      <c r="Q124" s="367"/>
      <c r="R124" s="367"/>
      <c r="S124" s="367"/>
      <c r="T124" s="367"/>
      <c r="U124" s="367"/>
      <c r="V124" s="367"/>
      <c r="W124" s="367"/>
      <c r="X124" s="367"/>
      <c r="Y124" s="367"/>
      <c r="Z124" s="367"/>
      <c r="AA124" s="367"/>
      <c r="AB124" s="367"/>
      <c r="AC124" s="367"/>
      <c r="AD124" s="367"/>
      <c r="AE124" s="367"/>
      <c r="AF124" s="367"/>
      <c r="AG124" s="367"/>
      <c r="AH124" s="367"/>
      <c r="AI124" s="367"/>
      <c r="AJ124" s="367"/>
      <c r="AK124" s="367"/>
      <c r="AL124" s="367"/>
      <c r="AM124" s="367"/>
      <c r="AN124" s="367"/>
      <c r="AO124" s="367"/>
      <c r="AP124" s="367"/>
      <c r="AQ124" s="367"/>
      <c r="AR124" s="367"/>
      <c r="AS124" s="367"/>
      <c r="AT124" s="98" t="s">
        <v>314</v>
      </c>
      <c r="AU124" s="98" t="s">
        <v>315</v>
      </c>
      <c r="AV124" s="99" t="s">
        <v>316</v>
      </c>
      <c r="AW124" s="99" t="s">
        <v>317</v>
      </c>
    </row>
    <row r="125" spans="1:52" ht="12.75" customHeight="1" x14ac:dyDescent="0.3">
      <c r="A125" s="368"/>
      <c r="B125" s="368"/>
      <c r="C125" s="368"/>
      <c r="D125" s="368"/>
      <c r="E125" s="368"/>
      <c r="F125" s="368"/>
      <c r="G125" s="368"/>
      <c r="H125" s="368"/>
      <c r="I125" s="368"/>
      <c r="J125" s="368"/>
      <c r="K125" s="368"/>
      <c r="L125" s="368"/>
      <c r="M125" s="368"/>
      <c r="N125" s="368"/>
      <c r="O125" s="368"/>
      <c r="P125" s="368"/>
      <c r="Q125" s="368"/>
      <c r="R125" s="368"/>
      <c r="S125" s="368"/>
      <c r="T125" s="368"/>
      <c r="U125" s="368"/>
      <c r="V125" s="368"/>
      <c r="W125" s="368"/>
      <c r="X125" s="368"/>
      <c r="Y125" s="368"/>
      <c r="Z125" s="368"/>
      <c r="AA125" s="368"/>
      <c r="AB125" s="368"/>
      <c r="AC125" s="368"/>
      <c r="AD125" s="368"/>
      <c r="AE125" s="368"/>
      <c r="AF125" s="368"/>
      <c r="AG125" s="368"/>
      <c r="AH125" s="368"/>
      <c r="AI125" s="368"/>
      <c r="AJ125" s="368"/>
      <c r="AK125" s="368"/>
      <c r="AL125" s="368"/>
      <c r="AM125" s="368"/>
      <c r="AN125" s="368"/>
      <c r="AO125" s="368"/>
      <c r="AP125" s="368"/>
      <c r="AQ125" s="368"/>
      <c r="AR125" s="368"/>
      <c r="AS125" s="368"/>
      <c r="AT125" s="98" t="s">
        <v>318</v>
      </c>
      <c r="AU125" s="98" t="s">
        <v>319</v>
      </c>
      <c r="AV125" s="99" t="s">
        <v>320</v>
      </c>
      <c r="AW125" s="99" t="s">
        <v>321</v>
      </c>
    </row>
    <row r="126" spans="1:52" ht="12.75" customHeight="1" x14ac:dyDescent="0.3">
      <c r="A126" s="368"/>
      <c r="B126" s="368"/>
      <c r="C126" s="368"/>
      <c r="D126" s="368"/>
      <c r="E126" s="368"/>
      <c r="F126" s="368"/>
      <c r="G126" s="368"/>
      <c r="H126" s="368"/>
      <c r="I126" s="368"/>
      <c r="J126" s="368"/>
      <c r="K126" s="368"/>
      <c r="L126" s="368"/>
      <c r="M126" s="368"/>
      <c r="N126" s="368"/>
      <c r="O126" s="368"/>
      <c r="P126" s="368"/>
      <c r="Q126" s="368"/>
      <c r="R126" s="368"/>
      <c r="S126" s="368"/>
      <c r="T126" s="368"/>
      <c r="U126" s="368"/>
      <c r="V126" s="368"/>
      <c r="W126" s="368"/>
      <c r="X126" s="368"/>
      <c r="Y126" s="368"/>
      <c r="Z126" s="368"/>
      <c r="AA126" s="368"/>
      <c r="AB126" s="368"/>
      <c r="AC126" s="368"/>
      <c r="AD126" s="368"/>
      <c r="AE126" s="368"/>
      <c r="AF126" s="368"/>
      <c r="AG126" s="368"/>
      <c r="AH126" s="368"/>
      <c r="AI126" s="368"/>
      <c r="AJ126" s="368"/>
      <c r="AK126" s="368"/>
      <c r="AL126" s="368"/>
      <c r="AM126" s="368"/>
      <c r="AN126" s="368"/>
      <c r="AO126" s="368"/>
      <c r="AP126" s="368"/>
      <c r="AQ126" s="368"/>
      <c r="AR126" s="368"/>
      <c r="AS126" s="368"/>
      <c r="AT126" s="98" t="s">
        <v>322</v>
      </c>
      <c r="AU126" s="98" t="s">
        <v>323</v>
      </c>
      <c r="AV126" s="99" t="s">
        <v>324</v>
      </c>
      <c r="AW126" s="99" t="s">
        <v>325</v>
      </c>
    </row>
    <row r="127" spans="1:52" ht="12.75" customHeight="1" x14ac:dyDescent="0.3">
      <c r="A127" s="369"/>
      <c r="B127" s="369"/>
      <c r="C127" s="369"/>
      <c r="D127" s="369"/>
      <c r="E127" s="369"/>
      <c r="F127" s="369"/>
      <c r="G127" s="369"/>
      <c r="H127" s="369"/>
      <c r="I127" s="369"/>
      <c r="J127" s="369"/>
      <c r="K127" s="369"/>
      <c r="L127" s="369"/>
      <c r="M127" s="369"/>
      <c r="N127" s="369"/>
      <c r="O127" s="369"/>
      <c r="P127" s="369"/>
      <c r="Q127" s="369"/>
      <c r="R127" s="369"/>
      <c r="S127" s="369"/>
      <c r="T127" s="369"/>
      <c r="U127" s="369"/>
      <c r="V127" s="369"/>
      <c r="W127" s="369"/>
      <c r="X127" s="369"/>
      <c r="Y127" s="369"/>
      <c r="Z127" s="369"/>
      <c r="AA127" s="369"/>
      <c r="AB127" s="369"/>
      <c r="AC127" s="369"/>
      <c r="AD127" s="369"/>
      <c r="AE127" s="369"/>
      <c r="AF127" s="369"/>
      <c r="AG127" s="369"/>
      <c r="AH127" s="369"/>
      <c r="AI127" s="369"/>
      <c r="AJ127" s="369"/>
      <c r="AK127" s="369"/>
      <c r="AL127" s="369"/>
      <c r="AM127" s="369"/>
      <c r="AN127" s="369"/>
      <c r="AO127" s="369"/>
      <c r="AP127" s="369"/>
      <c r="AQ127" s="369"/>
      <c r="AR127" s="369"/>
      <c r="AS127" s="369"/>
      <c r="AT127" s="98" t="s">
        <v>326</v>
      </c>
      <c r="AU127" s="98" t="s">
        <v>327</v>
      </c>
      <c r="AV127" s="99" t="s">
        <v>328</v>
      </c>
      <c r="AW127" s="99" t="s">
        <v>329</v>
      </c>
    </row>
    <row r="128" spans="1:52" ht="12.75" customHeight="1" x14ac:dyDescent="0.3">
      <c r="A128" s="203" t="s">
        <v>606</v>
      </c>
      <c r="B128" s="102"/>
      <c r="C128" s="102"/>
      <c r="D128" s="102"/>
      <c r="E128" s="109"/>
      <c r="F128" s="94"/>
      <c r="G128" s="94"/>
      <c r="H128" s="94"/>
      <c r="I128" s="94"/>
      <c r="J128" s="94"/>
      <c r="K128" s="94"/>
      <c r="L128" s="94"/>
      <c r="M128" s="94"/>
      <c r="N128" s="94"/>
      <c r="O128" s="94"/>
      <c r="P128" s="94"/>
      <c r="Q128" s="94"/>
      <c r="R128" s="94"/>
      <c r="S128" s="94"/>
      <c r="T128" s="94"/>
      <c r="U128" s="94"/>
      <c r="V128" s="94"/>
      <c r="W128" s="94"/>
      <c r="X128" s="94"/>
      <c r="Y128" s="94"/>
      <c r="Z128" s="94"/>
      <c r="AA128" s="94"/>
      <c r="AB128" s="94"/>
      <c r="AC128" s="94"/>
      <c r="AD128" s="94"/>
      <c r="AE128" s="94"/>
      <c r="AF128" s="94"/>
      <c r="AG128" s="94"/>
      <c r="AH128" s="94"/>
      <c r="AI128" s="94"/>
      <c r="AJ128" s="94"/>
      <c r="AK128" s="94"/>
      <c r="AL128" s="94"/>
      <c r="AM128" s="94"/>
      <c r="AN128" s="94"/>
      <c r="AO128" s="94"/>
      <c r="AP128" s="94"/>
      <c r="AQ128" s="94"/>
      <c r="AR128" s="94"/>
      <c r="AS128" s="108"/>
      <c r="AV128" s="99" t="s">
        <v>330</v>
      </c>
      <c r="AW128" s="99" t="s">
        <v>331</v>
      </c>
    </row>
    <row r="129" spans="1:49" ht="12.75" customHeight="1" x14ac:dyDescent="0.3">
      <c r="A129" s="370" t="s">
        <v>867</v>
      </c>
      <c r="B129" s="370"/>
      <c r="C129" s="370"/>
      <c r="D129" s="370"/>
      <c r="E129" s="370"/>
      <c r="F129" s="370"/>
      <c r="G129" s="370"/>
      <c r="H129" s="370"/>
      <c r="I129" s="370"/>
      <c r="J129" s="370"/>
      <c r="K129" s="370"/>
      <c r="L129" s="370"/>
      <c r="M129" s="370"/>
      <c r="N129" s="370"/>
      <c r="O129" s="370"/>
      <c r="P129" s="370"/>
      <c r="Q129" s="370"/>
      <c r="R129" s="370"/>
      <c r="S129" s="344" t="s">
        <v>298</v>
      </c>
      <c r="T129" s="344"/>
      <c r="U129" s="344"/>
      <c r="V129" s="344"/>
      <c r="W129" s="344"/>
      <c r="X129" s="344"/>
      <c r="Y129" s="344"/>
      <c r="Z129" s="344" t="s">
        <v>332</v>
      </c>
      <c r="AA129" s="344"/>
      <c r="AB129" s="344"/>
      <c r="AC129" s="344"/>
      <c r="AD129" s="344"/>
      <c r="AE129" s="344"/>
      <c r="AF129" s="344"/>
      <c r="AG129" s="344"/>
      <c r="AH129" s="344"/>
      <c r="AI129" s="344"/>
      <c r="AJ129" s="344"/>
      <c r="AK129" s="344"/>
      <c r="AL129" s="204" t="s">
        <v>333</v>
      </c>
      <c r="AM129" s="204"/>
      <c r="AN129" s="204"/>
      <c r="AO129" s="204" t="str">
        <f>AY6</f>
        <v>m</v>
      </c>
      <c r="AP129" s="205" t="s">
        <v>334</v>
      </c>
      <c r="AQ129" s="205"/>
      <c r="AR129" s="205"/>
      <c r="AS129" s="205" t="str">
        <f>AY6</f>
        <v>m</v>
      </c>
      <c r="AV129" s="99" t="s">
        <v>279</v>
      </c>
      <c r="AW129" s="99" t="s">
        <v>280</v>
      </c>
    </row>
    <row r="130" spans="1:49" ht="12.75" customHeight="1" x14ac:dyDescent="0.3">
      <c r="A130" s="370" t="s">
        <v>868</v>
      </c>
      <c r="B130" s="370"/>
      <c r="C130" s="370"/>
      <c r="D130" s="370"/>
      <c r="E130" s="370"/>
      <c r="F130" s="370"/>
      <c r="G130" s="370"/>
      <c r="H130" s="370"/>
      <c r="I130" s="370"/>
      <c r="J130" s="370"/>
      <c r="K130" s="370"/>
      <c r="L130" s="370"/>
      <c r="M130" s="370"/>
      <c r="N130" s="370"/>
      <c r="O130" s="370"/>
      <c r="P130" s="370"/>
      <c r="Q130" s="370"/>
      <c r="R130" s="370"/>
      <c r="S130" s="79" t="s">
        <v>335</v>
      </c>
      <c r="T130" s="79"/>
      <c r="U130" s="371" t="str">
        <f>$AY$118</f>
        <v>ppm</v>
      </c>
      <c r="V130" s="371"/>
      <c r="W130" s="217">
        <v>792</v>
      </c>
      <c r="X130" s="217"/>
      <c r="Y130" s="217"/>
      <c r="Z130" s="345" t="s">
        <v>336</v>
      </c>
      <c r="AA130" s="345"/>
      <c r="AB130" s="345"/>
      <c r="AC130" s="345"/>
      <c r="AD130" s="372" t="s">
        <v>607</v>
      </c>
      <c r="AE130" s="372"/>
      <c r="AF130" s="372"/>
      <c r="AG130" s="372"/>
      <c r="AH130" s="372"/>
      <c r="AI130" s="372"/>
      <c r="AJ130" s="372"/>
      <c r="AK130" s="372"/>
      <c r="AL130" s="180">
        <v>3226</v>
      </c>
      <c r="AM130" s="180"/>
      <c r="AN130" s="180"/>
      <c r="AO130" s="180"/>
      <c r="AP130" s="180">
        <v>3227</v>
      </c>
      <c r="AQ130" s="180"/>
      <c r="AR130" s="180"/>
      <c r="AS130" s="180"/>
      <c r="AV130" s="99" t="s">
        <v>337</v>
      </c>
      <c r="AW130" s="99" t="s">
        <v>338</v>
      </c>
    </row>
    <row r="131" spans="1:49" ht="12.75" customHeight="1" x14ac:dyDescent="0.3">
      <c r="A131" s="370" t="s">
        <v>869</v>
      </c>
      <c r="B131" s="370"/>
      <c r="C131" s="370"/>
      <c r="D131" s="370"/>
      <c r="E131" s="370"/>
      <c r="F131" s="370"/>
      <c r="G131" s="370"/>
      <c r="H131" s="370"/>
      <c r="I131" s="370"/>
      <c r="J131" s="370"/>
      <c r="K131" s="370"/>
      <c r="L131" s="370"/>
      <c r="M131" s="370"/>
      <c r="N131" s="370"/>
      <c r="O131" s="370"/>
      <c r="P131" s="370"/>
      <c r="Q131" s="370"/>
      <c r="R131" s="370"/>
      <c r="S131" s="79" t="s">
        <v>339</v>
      </c>
      <c r="T131" s="79"/>
      <c r="U131" s="371" t="str">
        <f>$AY$118</f>
        <v>ppm</v>
      </c>
      <c r="V131" s="371"/>
      <c r="W131" s="217">
        <v>15</v>
      </c>
      <c r="X131" s="217"/>
      <c r="Y131" s="217"/>
      <c r="Z131" s="345" t="s">
        <v>340</v>
      </c>
      <c r="AA131" s="345"/>
      <c r="AB131" s="345"/>
      <c r="AC131" s="345"/>
      <c r="AD131" s="372" t="s">
        <v>608</v>
      </c>
      <c r="AE131" s="372"/>
      <c r="AF131" s="372"/>
      <c r="AG131" s="372"/>
      <c r="AH131" s="372"/>
      <c r="AI131" s="372"/>
      <c r="AJ131" s="372"/>
      <c r="AK131" s="372"/>
      <c r="AL131" s="180">
        <v>3349</v>
      </c>
      <c r="AM131" s="180"/>
      <c r="AN131" s="180"/>
      <c r="AO131" s="180"/>
      <c r="AP131" s="180">
        <v>3328</v>
      </c>
      <c r="AQ131" s="180"/>
      <c r="AR131" s="180"/>
      <c r="AS131" s="180"/>
      <c r="AV131" s="99" t="s">
        <v>258</v>
      </c>
      <c r="AW131" s="99" t="s">
        <v>341</v>
      </c>
    </row>
    <row r="132" spans="1:49" ht="12.75" customHeight="1" x14ac:dyDescent="0.3">
      <c r="A132" s="373"/>
      <c r="B132" s="373"/>
      <c r="C132" s="373"/>
      <c r="D132" s="373"/>
      <c r="E132" s="373"/>
      <c r="F132" s="373"/>
      <c r="G132" s="373"/>
      <c r="H132" s="373"/>
      <c r="I132" s="373"/>
      <c r="J132" s="373"/>
      <c r="K132" s="373"/>
      <c r="L132" s="373"/>
      <c r="M132" s="373"/>
      <c r="N132" s="373"/>
      <c r="O132" s="373"/>
      <c r="P132" s="373"/>
      <c r="Q132" s="373"/>
      <c r="R132" s="373"/>
      <c r="S132" s="79" t="s">
        <v>342</v>
      </c>
      <c r="T132" s="79"/>
      <c r="U132" s="371" t="str">
        <f>$AY$118</f>
        <v>ppm</v>
      </c>
      <c r="V132" s="371"/>
      <c r="W132" s="217">
        <v>0</v>
      </c>
      <c r="X132" s="217" t="s">
        <v>593</v>
      </c>
      <c r="Y132" s="217"/>
      <c r="Z132" s="345" t="s">
        <v>343</v>
      </c>
      <c r="AA132" s="345"/>
      <c r="AB132" s="345"/>
      <c r="AC132" s="345"/>
      <c r="AD132" s="173" t="s">
        <v>870</v>
      </c>
      <c r="AE132" s="174"/>
      <c r="AF132" s="174"/>
      <c r="AG132" s="174"/>
      <c r="AH132" s="174"/>
      <c r="AI132" s="174"/>
      <c r="AJ132" s="174"/>
      <c r="AK132" s="175"/>
      <c r="AL132" s="134">
        <v>3506</v>
      </c>
      <c r="AM132" s="135"/>
      <c r="AN132" s="135"/>
      <c r="AO132" s="136"/>
      <c r="AP132" s="180">
        <v>3450</v>
      </c>
      <c r="AQ132" s="180"/>
      <c r="AR132" s="180"/>
      <c r="AS132" s="180"/>
      <c r="AV132" s="99" t="s">
        <v>294</v>
      </c>
      <c r="AW132" s="99" t="s">
        <v>344</v>
      </c>
    </row>
    <row r="133" spans="1:49" ht="12.75" customHeight="1" x14ac:dyDescent="0.3">
      <c r="A133" s="373"/>
      <c r="B133" s="373"/>
      <c r="C133" s="373"/>
      <c r="D133" s="373"/>
      <c r="E133" s="373"/>
      <c r="F133" s="373"/>
      <c r="G133" s="373"/>
      <c r="H133" s="373"/>
      <c r="I133" s="373"/>
      <c r="J133" s="373"/>
      <c r="K133" s="373"/>
      <c r="L133" s="373"/>
      <c r="M133" s="373"/>
      <c r="N133" s="373"/>
      <c r="O133" s="373"/>
      <c r="P133" s="373"/>
      <c r="Q133" s="373"/>
      <c r="R133" s="373"/>
      <c r="S133" s="79" t="s">
        <v>345</v>
      </c>
      <c r="T133" s="79"/>
      <c r="U133" s="371" t="str">
        <f>$AY$118</f>
        <v>ppm</v>
      </c>
      <c r="V133" s="371"/>
      <c r="W133" s="217">
        <v>0</v>
      </c>
      <c r="X133" s="217" t="s">
        <v>593</v>
      </c>
      <c r="Y133" s="217"/>
      <c r="Z133" s="345" t="s">
        <v>346</v>
      </c>
      <c r="AA133" s="345"/>
      <c r="AB133" s="345"/>
      <c r="AC133" s="345"/>
      <c r="AD133" s="449"/>
      <c r="AE133" s="449"/>
      <c r="AF133" s="449"/>
      <c r="AG133" s="449"/>
      <c r="AH133" s="449"/>
      <c r="AI133" s="449"/>
      <c r="AJ133" s="449"/>
      <c r="AK133" s="449"/>
      <c r="AL133" s="180"/>
      <c r="AM133" s="180"/>
      <c r="AN133" s="180"/>
      <c r="AO133" s="180"/>
      <c r="AP133" s="180"/>
      <c r="AQ133" s="180"/>
      <c r="AR133" s="180"/>
      <c r="AS133" s="180"/>
      <c r="AV133" s="99" t="s">
        <v>347</v>
      </c>
      <c r="AW133" s="99" t="s">
        <v>348</v>
      </c>
    </row>
    <row r="134" spans="1:49" ht="12.75" customHeight="1" x14ac:dyDescent="0.3">
      <c r="A134" s="203" t="s">
        <v>349</v>
      </c>
      <c r="B134" s="102"/>
      <c r="C134" s="102"/>
      <c r="D134" s="102"/>
      <c r="E134" s="109"/>
      <c r="F134" s="94"/>
      <c r="G134" s="94"/>
      <c r="H134" s="94"/>
      <c r="I134" s="94"/>
      <c r="J134" s="94"/>
      <c r="K134" s="94"/>
      <c r="L134" s="94"/>
      <c r="M134" s="94"/>
      <c r="N134" s="94"/>
      <c r="O134" s="94"/>
      <c r="P134" s="94"/>
      <c r="Q134" s="94"/>
      <c r="R134" s="94"/>
      <c r="S134" s="94"/>
      <c r="T134" s="94"/>
      <c r="U134" s="94"/>
      <c r="V134" s="94"/>
      <c r="W134" s="94"/>
      <c r="X134" s="94"/>
      <c r="Y134" s="94"/>
      <c r="Z134" s="94"/>
      <c r="AA134" s="94"/>
      <c r="AB134" s="94"/>
      <c r="AC134" s="94"/>
      <c r="AD134" s="94"/>
      <c r="AE134" s="94"/>
      <c r="AF134" s="94"/>
      <c r="AG134" s="94"/>
      <c r="AH134" s="94"/>
      <c r="AI134" s="94"/>
      <c r="AJ134" s="94"/>
      <c r="AK134" s="94"/>
      <c r="AL134" s="94"/>
      <c r="AM134" s="94"/>
      <c r="AN134" s="94"/>
      <c r="AO134" s="94"/>
      <c r="AP134" s="94"/>
      <c r="AQ134" s="94"/>
      <c r="AR134" s="94"/>
      <c r="AS134" s="108"/>
      <c r="AV134" s="99" t="s">
        <v>350</v>
      </c>
      <c r="AW134" s="99" t="s">
        <v>351</v>
      </c>
    </row>
    <row r="135" spans="1:49" ht="12.75" customHeight="1" x14ac:dyDescent="0.3">
      <c r="A135" s="344" t="s">
        <v>352</v>
      </c>
      <c r="B135" s="344"/>
      <c r="C135" s="344"/>
      <c r="D135" s="344"/>
      <c r="E135" s="344"/>
      <c r="F135" s="344"/>
      <c r="G135" s="344"/>
      <c r="H135" s="344"/>
      <c r="I135" s="344"/>
      <c r="J135" s="344"/>
      <c r="K135" s="344"/>
      <c r="L135" s="344"/>
      <c r="M135" s="344"/>
      <c r="N135" s="344"/>
      <c r="O135" s="344"/>
      <c r="P135" s="344"/>
      <c r="Q135" s="344"/>
      <c r="R135" s="344"/>
      <c r="S135" s="344"/>
      <c r="T135" s="344"/>
      <c r="U135" s="344"/>
      <c r="V135" s="344"/>
      <c r="W135" s="344"/>
      <c r="X135" s="344"/>
      <c r="Y135" s="344"/>
      <c r="Z135" s="344"/>
      <c r="AA135" s="344"/>
      <c r="AB135" s="344"/>
      <c r="AC135" s="344"/>
      <c r="AD135" s="344"/>
      <c r="AE135" s="344" t="s">
        <v>353</v>
      </c>
      <c r="AF135" s="344"/>
      <c r="AG135" s="344"/>
      <c r="AH135" s="344"/>
      <c r="AI135" s="344"/>
      <c r="AJ135" s="344"/>
      <c r="AK135" s="344"/>
      <c r="AL135" s="344"/>
      <c r="AM135" s="344"/>
      <c r="AN135" s="344"/>
      <c r="AO135" s="344"/>
      <c r="AP135" s="344"/>
      <c r="AQ135" s="344"/>
      <c r="AR135" s="344"/>
      <c r="AS135" s="344"/>
      <c r="AV135" s="99" t="s">
        <v>354</v>
      </c>
      <c r="AW135" s="99" t="s">
        <v>355</v>
      </c>
    </row>
    <row r="136" spans="1:49" ht="12.75" customHeight="1" x14ac:dyDescent="0.3">
      <c r="A136" s="374" t="s">
        <v>611</v>
      </c>
      <c r="B136" s="374"/>
      <c r="C136" s="374"/>
      <c r="D136" s="375" t="s">
        <v>896</v>
      </c>
      <c r="E136" s="375"/>
      <c r="F136" s="375"/>
      <c r="G136" s="375"/>
      <c r="H136" s="375"/>
      <c r="I136" s="375"/>
      <c r="J136" s="375"/>
      <c r="K136" s="375"/>
      <c r="L136" s="375"/>
      <c r="M136" s="375"/>
      <c r="N136" s="375"/>
      <c r="O136" s="375"/>
      <c r="P136" s="375"/>
      <c r="Q136" s="374" t="s">
        <v>476</v>
      </c>
      <c r="R136" s="374"/>
      <c r="S136" s="374"/>
      <c r="T136" s="375" t="s">
        <v>931</v>
      </c>
      <c r="U136" s="375"/>
      <c r="V136" s="375"/>
      <c r="W136" s="375"/>
      <c r="X136" s="375"/>
      <c r="Y136" s="375"/>
      <c r="Z136" s="375"/>
      <c r="AA136" s="375"/>
      <c r="AB136" s="375"/>
      <c r="AC136" s="375"/>
      <c r="AD136" s="375"/>
      <c r="AE136" s="110" t="s">
        <v>356</v>
      </c>
      <c r="AF136" s="111"/>
      <c r="AG136" s="92"/>
      <c r="AH136" s="110" t="s">
        <v>357</v>
      </c>
      <c r="AI136" s="111"/>
      <c r="AJ136" s="92"/>
      <c r="AK136" s="110" t="s">
        <v>358</v>
      </c>
      <c r="AL136" s="111"/>
      <c r="AM136" s="92"/>
      <c r="AN136" s="110" t="s">
        <v>612</v>
      </c>
      <c r="AO136" s="111"/>
      <c r="AP136" s="92"/>
      <c r="AQ136" s="110" t="s">
        <v>359</v>
      </c>
      <c r="AR136" s="111"/>
      <c r="AS136" s="92"/>
      <c r="AT136" s="67" t="s">
        <v>352</v>
      </c>
      <c r="AV136" s="99" t="s">
        <v>360</v>
      </c>
      <c r="AW136" s="99" t="s">
        <v>361</v>
      </c>
    </row>
    <row r="137" spans="1:49" ht="12.75" customHeight="1" x14ac:dyDescent="0.3">
      <c r="A137" s="374" t="s">
        <v>613</v>
      </c>
      <c r="B137" s="374"/>
      <c r="C137" s="374"/>
      <c r="D137" s="375"/>
      <c r="E137" s="375"/>
      <c r="F137" s="375"/>
      <c r="G137" s="375"/>
      <c r="H137" s="375"/>
      <c r="I137" s="375"/>
      <c r="J137" s="375"/>
      <c r="K137" s="375"/>
      <c r="L137" s="375"/>
      <c r="M137" s="375"/>
      <c r="N137" s="375"/>
      <c r="O137" s="375"/>
      <c r="P137" s="375"/>
      <c r="Q137" s="374" t="s">
        <v>362</v>
      </c>
      <c r="R137" s="374"/>
      <c r="S137" s="374"/>
      <c r="T137" s="375" t="s">
        <v>614</v>
      </c>
      <c r="U137" s="375"/>
      <c r="V137" s="375"/>
      <c r="W137" s="375"/>
      <c r="X137" s="375"/>
      <c r="Y137" s="375"/>
      <c r="Z137" s="375"/>
      <c r="AA137" s="375"/>
      <c r="AB137" s="375"/>
      <c r="AC137" s="375"/>
      <c r="AD137" s="375"/>
      <c r="AE137" s="33">
        <v>16</v>
      </c>
      <c r="AF137" s="38"/>
      <c r="AG137" s="34"/>
      <c r="AH137" s="33">
        <v>57</v>
      </c>
      <c r="AI137" s="38"/>
      <c r="AJ137" s="34"/>
      <c r="AK137" s="33">
        <v>42</v>
      </c>
      <c r="AL137" s="38"/>
      <c r="AM137" s="34"/>
      <c r="AN137" s="33">
        <v>24</v>
      </c>
      <c r="AO137" s="38"/>
      <c r="AP137" s="34"/>
      <c r="AQ137" s="234">
        <f>SUM(AE137:AP137)</f>
        <v>139</v>
      </c>
      <c r="AR137" s="235"/>
      <c r="AS137" s="236"/>
      <c r="AT137" s="78" t="s">
        <v>615</v>
      </c>
      <c r="AU137" s="69" t="s">
        <v>616</v>
      </c>
      <c r="AV137" s="99" t="s">
        <v>244</v>
      </c>
      <c r="AW137" s="99" t="s">
        <v>363</v>
      </c>
    </row>
    <row r="138" spans="1:49" ht="12.75" customHeight="1" x14ac:dyDescent="0.3">
      <c r="A138" s="203" t="s">
        <v>455</v>
      </c>
      <c r="B138" s="102"/>
      <c r="C138" s="102"/>
      <c r="D138" s="102"/>
      <c r="E138" s="109"/>
      <c r="F138" s="94"/>
      <c r="G138" s="94"/>
      <c r="H138" s="94"/>
      <c r="I138" s="94"/>
      <c r="J138" s="94"/>
      <c r="K138" s="94"/>
      <c r="L138" s="94"/>
      <c r="M138" s="94"/>
      <c r="N138" s="94"/>
      <c r="O138" s="94"/>
      <c r="P138" s="94"/>
      <c r="Q138" s="94"/>
      <c r="R138" s="94"/>
      <c r="S138" s="94"/>
      <c r="T138" s="94"/>
      <c r="U138" s="94"/>
      <c r="V138" s="94"/>
      <c r="W138" s="94"/>
      <c r="X138" s="94"/>
      <c r="Y138" s="94"/>
      <c r="Z138" s="94"/>
      <c r="AA138" s="94"/>
      <c r="AB138" s="94"/>
      <c r="AC138" s="94"/>
      <c r="AD138" s="94"/>
      <c r="AE138" s="94"/>
      <c r="AF138" s="94"/>
      <c r="AG138" s="94"/>
      <c r="AH138" s="94"/>
      <c r="AI138" s="94"/>
      <c r="AJ138" s="94"/>
      <c r="AK138" s="94"/>
      <c r="AL138" s="94"/>
      <c r="AM138" s="94"/>
      <c r="AN138" s="94"/>
      <c r="AO138" s="94"/>
      <c r="AP138" s="94"/>
      <c r="AQ138" s="94"/>
      <c r="AR138" s="94"/>
      <c r="AS138" s="108"/>
      <c r="AT138" s="159" t="s">
        <v>364</v>
      </c>
      <c r="AU138" s="72" t="s">
        <v>365</v>
      </c>
      <c r="AV138" s="99" t="s">
        <v>366</v>
      </c>
      <c r="AW138" s="99" t="s">
        <v>367</v>
      </c>
    </row>
    <row r="139" spans="1:49" ht="12.75" customHeight="1" x14ac:dyDescent="0.3">
      <c r="A139" s="376"/>
      <c r="B139" s="376"/>
      <c r="C139" s="376"/>
      <c r="D139" s="376"/>
      <c r="E139" s="376"/>
      <c r="F139" s="376"/>
      <c r="G139" s="376"/>
      <c r="H139" s="376"/>
      <c r="I139" s="376"/>
      <c r="J139" s="376"/>
      <c r="K139" s="376"/>
      <c r="L139" s="376"/>
      <c r="M139" s="376"/>
      <c r="N139" s="376"/>
      <c r="O139" s="376"/>
      <c r="P139" s="376"/>
      <c r="Q139" s="376"/>
      <c r="R139" s="376"/>
      <c r="S139" s="376"/>
      <c r="T139" s="376"/>
      <c r="U139" s="376"/>
      <c r="V139" s="376"/>
      <c r="W139" s="376"/>
      <c r="X139" s="376"/>
      <c r="Y139" s="376"/>
      <c r="Z139" s="376"/>
      <c r="AA139" s="376"/>
      <c r="AB139" s="376"/>
      <c r="AC139" s="376"/>
      <c r="AD139" s="376"/>
      <c r="AE139" s="376"/>
      <c r="AF139" s="376"/>
      <c r="AG139" s="376"/>
      <c r="AH139" s="376"/>
      <c r="AI139" s="376"/>
      <c r="AJ139" s="376"/>
      <c r="AK139" s="376"/>
      <c r="AL139" s="376"/>
      <c r="AM139" s="376"/>
      <c r="AN139" s="376"/>
      <c r="AO139" s="376"/>
      <c r="AP139" s="376"/>
      <c r="AQ139" s="376"/>
      <c r="AR139" s="376"/>
      <c r="AS139" s="376"/>
      <c r="AT139" s="159" t="s">
        <v>368</v>
      </c>
      <c r="AU139" s="72" t="s">
        <v>618</v>
      </c>
      <c r="AV139" s="99" t="s">
        <v>369</v>
      </c>
      <c r="AW139" s="99" t="s">
        <v>370</v>
      </c>
    </row>
    <row r="140" spans="1:49" ht="12.75" customHeight="1" x14ac:dyDescent="0.3">
      <c r="A140" s="377"/>
      <c r="B140" s="377"/>
      <c r="C140" s="377"/>
      <c r="D140" s="377"/>
      <c r="E140" s="377"/>
      <c r="F140" s="377"/>
      <c r="G140" s="377"/>
      <c r="H140" s="377"/>
      <c r="I140" s="377"/>
      <c r="J140" s="377"/>
      <c r="K140" s="377"/>
      <c r="L140" s="377"/>
      <c r="M140" s="377"/>
      <c r="N140" s="377"/>
      <c r="O140" s="377"/>
      <c r="P140" s="377"/>
      <c r="Q140" s="377"/>
      <c r="R140" s="377"/>
      <c r="S140" s="377"/>
      <c r="T140" s="377"/>
      <c r="U140" s="377"/>
      <c r="V140" s="377"/>
      <c r="W140" s="377"/>
      <c r="X140" s="377"/>
      <c r="Y140" s="377"/>
      <c r="Z140" s="377"/>
      <c r="AA140" s="377"/>
      <c r="AB140" s="377"/>
      <c r="AC140" s="377"/>
      <c r="AD140" s="377"/>
      <c r="AE140" s="377"/>
      <c r="AF140" s="377"/>
      <c r="AG140" s="377"/>
      <c r="AH140" s="377"/>
      <c r="AI140" s="377"/>
      <c r="AJ140" s="377"/>
      <c r="AK140" s="377"/>
      <c r="AL140" s="377"/>
      <c r="AM140" s="377"/>
      <c r="AN140" s="377"/>
      <c r="AO140" s="377"/>
      <c r="AP140" s="377"/>
      <c r="AQ140" s="377"/>
      <c r="AR140" s="377"/>
      <c r="AS140" s="377"/>
      <c r="AT140" s="159" t="s">
        <v>476</v>
      </c>
      <c r="AU140" s="72" t="s">
        <v>480</v>
      </c>
      <c r="AV140" s="99" t="s">
        <v>371</v>
      </c>
      <c r="AW140" s="99" t="s">
        <v>372</v>
      </c>
    </row>
    <row r="141" spans="1:49" ht="12.75" customHeight="1" x14ac:dyDescent="0.3">
      <c r="A141" s="184"/>
      <c r="B141" s="185"/>
      <c r="C141" s="185"/>
      <c r="D141" s="185"/>
      <c r="E141" s="185"/>
      <c r="F141" s="185"/>
      <c r="G141" s="185"/>
      <c r="H141" s="185"/>
      <c r="I141" s="185"/>
      <c r="J141" s="185"/>
      <c r="K141" s="185"/>
      <c r="L141" s="185"/>
      <c r="M141" s="185"/>
      <c r="N141" s="185"/>
      <c r="O141" s="185"/>
      <c r="P141" s="185"/>
      <c r="Q141" s="185"/>
      <c r="R141" s="185"/>
      <c r="S141" s="185"/>
      <c r="T141" s="185"/>
      <c r="U141" s="185"/>
      <c r="V141" s="185"/>
      <c r="W141" s="185"/>
      <c r="X141" s="185"/>
      <c r="Y141" s="185"/>
      <c r="Z141" s="185"/>
      <c r="AA141" s="185"/>
      <c r="AB141" s="185"/>
      <c r="AC141" s="185"/>
      <c r="AD141" s="185"/>
      <c r="AE141" s="185"/>
      <c r="AF141" s="185"/>
      <c r="AG141" s="185"/>
      <c r="AH141" s="185"/>
      <c r="AI141" s="185"/>
      <c r="AJ141" s="185"/>
      <c r="AK141" s="185"/>
      <c r="AL141" s="185"/>
      <c r="AM141" s="185"/>
      <c r="AN141" s="185"/>
      <c r="AO141" s="185"/>
      <c r="AP141" s="185"/>
      <c r="AQ141" s="185"/>
      <c r="AR141" s="185"/>
      <c r="AS141" s="420"/>
      <c r="AT141" s="159" t="s">
        <v>611</v>
      </c>
      <c r="AU141" s="72" t="s">
        <v>619</v>
      </c>
      <c r="AV141" s="99" t="s">
        <v>373</v>
      </c>
      <c r="AW141" s="99" t="s">
        <v>374</v>
      </c>
    </row>
    <row r="142" spans="1:49" ht="12.75" customHeight="1" x14ac:dyDescent="0.3">
      <c r="A142" s="377"/>
      <c r="B142" s="377"/>
      <c r="C142" s="377"/>
      <c r="D142" s="377"/>
      <c r="E142" s="377"/>
      <c r="F142" s="377"/>
      <c r="G142" s="377"/>
      <c r="H142" s="377"/>
      <c r="I142" s="377"/>
      <c r="J142" s="377"/>
      <c r="K142" s="377"/>
      <c r="L142" s="377"/>
      <c r="M142" s="377"/>
      <c r="N142" s="377"/>
      <c r="O142" s="377"/>
      <c r="P142" s="377"/>
      <c r="Q142" s="377"/>
      <c r="R142" s="377"/>
      <c r="S142" s="377"/>
      <c r="T142" s="377"/>
      <c r="U142" s="377"/>
      <c r="V142" s="377"/>
      <c r="W142" s="377"/>
      <c r="X142" s="377"/>
      <c r="Y142" s="377"/>
      <c r="Z142" s="377"/>
      <c r="AA142" s="377"/>
      <c r="AB142" s="377"/>
      <c r="AC142" s="377"/>
      <c r="AD142" s="377"/>
      <c r="AE142" s="377"/>
      <c r="AF142" s="377"/>
      <c r="AG142" s="377"/>
      <c r="AH142" s="377"/>
      <c r="AI142" s="377"/>
      <c r="AJ142" s="377"/>
      <c r="AK142" s="377"/>
      <c r="AL142" s="377"/>
      <c r="AM142" s="377"/>
      <c r="AN142" s="377"/>
      <c r="AO142" s="377"/>
      <c r="AP142" s="377"/>
      <c r="AQ142" s="377"/>
      <c r="AR142" s="377"/>
      <c r="AS142" s="377"/>
      <c r="AT142" s="159" t="s">
        <v>375</v>
      </c>
      <c r="AU142" s="72" t="s">
        <v>376</v>
      </c>
      <c r="AV142" s="99" t="s">
        <v>377</v>
      </c>
      <c r="AW142" s="99" t="s">
        <v>378</v>
      </c>
    </row>
    <row r="143" spans="1:49" ht="12.75" customHeight="1" x14ac:dyDescent="0.3">
      <c r="A143" s="377"/>
      <c r="B143" s="377"/>
      <c r="C143" s="377"/>
      <c r="D143" s="377"/>
      <c r="E143" s="377"/>
      <c r="F143" s="377"/>
      <c r="G143" s="377"/>
      <c r="H143" s="377"/>
      <c r="I143" s="377"/>
      <c r="J143" s="377"/>
      <c r="K143" s="377"/>
      <c r="L143" s="377"/>
      <c r="M143" s="377"/>
      <c r="N143" s="377"/>
      <c r="O143" s="377"/>
      <c r="P143" s="377"/>
      <c r="Q143" s="377"/>
      <c r="R143" s="377"/>
      <c r="S143" s="377"/>
      <c r="T143" s="377"/>
      <c r="U143" s="377"/>
      <c r="V143" s="377"/>
      <c r="W143" s="377"/>
      <c r="X143" s="377"/>
      <c r="Y143" s="377"/>
      <c r="Z143" s="377"/>
      <c r="AA143" s="377"/>
      <c r="AB143" s="377"/>
      <c r="AC143" s="377"/>
      <c r="AD143" s="377"/>
      <c r="AE143" s="377"/>
      <c r="AF143" s="377"/>
      <c r="AG143" s="377"/>
      <c r="AH143" s="377"/>
      <c r="AI143" s="377"/>
      <c r="AJ143" s="377"/>
      <c r="AK143" s="377"/>
      <c r="AL143" s="377"/>
      <c r="AM143" s="377"/>
      <c r="AN143" s="377"/>
      <c r="AO143" s="377"/>
      <c r="AP143" s="377"/>
      <c r="AQ143" s="377"/>
      <c r="AR143" s="377"/>
      <c r="AS143" s="377"/>
      <c r="AT143" s="159" t="s">
        <v>613</v>
      </c>
      <c r="AU143" s="72" t="s">
        <v>620</v>
      </c>
      <c r="AV143" s="99" t="s">
        <v>379</v>
      </c>
      <c r="AW143" s="99" t="s">
        <v>621</v>
      </c>
    </row>
    <row r="144" spans="1:49" ht="12.75" customHeight="1" x14ac:dyDescent="0.3">
      <c r="A144" s="203" t="s">
        <v>380</v>
      </c>
      <c r="B144" s="203"/>
      <c r="C144" s="203"/>
      <c r="D144" s="203"/>
      <c r="E144" s="203"/>
      <c r="F144" s="203"/>
      <c r="G144" s="203"/>
      <c r="H144" s="203"/>
      <c r="I144" s="203"/>
      <c r="J144" s="203"/>
      <c r="K144" s="203"/>
      <c r="L144" s="203"/>
      <c r="M144" s="203"/>
      <c r="N144" s="203"/>
      <c r="O144" s="203"/>
      <c r="P144" s="203"/>
      <c r="Q144" s="203"/>
      <c r="R144" s="203"/>
      <c r="S144" s="203"/>
      <c r="T144" s="203"/>
      <c r="U144" s="203"/>
      <c r="V144" s="203"/>
      <c r="W144" s="203"/>
      <c r="X144" s="203"/>
      <c r="Y144" s="203"/>
      <c r="Z144" s="203"/>
      <c r="AA144" s="203"/>
      <c r="AB144" s="203"/>
      <c r="AC144" s="203"/>
      <c r="AD144" s="203"/>
      <c r="AE144" s="203"/>
      <c r="AF144" s="203"/>
      <c r="AG144" s="203"/>
      <c r="AH144" s="203"/>
      <c r="AI144" s="203"/>
      <c r="AJ144" s="203"/>
      <c r="AK144" s="203" t="s">
        <v>381</v>
      </c>
      <c r="AL144" s="203"/>
      <c r="AM144" s="203"/>
      <c r="AN144" s="203"/>
      <c r="AO144" s="203"/>
      <c r="AP144" s="203"/>
      <c r="AQ144" s="203"/>
      <c r="AR144" s="203"/>
      <c r="AS144" s="203"/>
      <c r="AT144" s="159" t="s">
        <v>382</v>
      </c>
      <c r="AU144" s="72" t="s">
        <v>383</v>
      </c>
      <c r="AV144" s="99" t="s">
        <v>384</v>
      </c>
      <c r="AW144" s="99" t="s">
        <v>385</v>
      </c>
    </row>
    <row r="145" spans="1:49" ht="12.75" customHeight="1" x14ac:dyDescent="0.3">
      <c r="A145" s="378" t="s">
        <v>386</v>
      </c>
      <c r="B145" s="378"/>
      <c r="C145" s="378"/>
      <c r="D145" s="378" t="s">
        <v>622</v>
      </c>
      <c r="E145" s="378"/>
      <c r="F145" s="378" t="s">
        <v>477</v>
      </c>
      <c r="G145" s="378"/>
      <c r="H145" s="378"/>
      <c r="I145" s="378"/>
      <c r="J145" s="379" t="s">
        <v>146</v>
      </c>
      <c r="K145" s="379"/>
      <c r="L145" s="378" t="s">
        <v>387</v>
      </c>
      <c r="M145" s="378"/>
      <c r="N145" s="378"/>
      <c r="O145" s="379" t="s">
        <v>222</v>
      </c>
      <c r="P145" s="379"/>
      <c r="Q145" s="378" t="s">
        <v>628</v>
      </c>
      <c r="R145" s="378"/>
      <c r="S145" s="378"/>
      <c r="T145" s="378" t="s">
        <v>149</v>
      </c>
      <c r="U145" s="378"/>
      <c r="V145" s="378" t="s">
        <v>478</v>
      </c>
      <c r="W145" s="378"/>
      <c r="X145" s="378"/>
      <c r="Y145" s="378" t="s">
        <v>149</v>
      </c>
      <c r="Z145" s="378"/>
      <c r="AA145" s="378" t="s">
        <v>479</v>
      </c>
      <c r="AB145" s="378"/>
      <c r="AC145" s="378"/>
      <c r="AD145" s="378" t="s">
        <v>149</v>
      </c>
      <c r="AE145" s="378"/>
      <c r="AF145" s="378" t="s">
        <v>629</v>
      </c>
      <c r="AG145" s="378"/>
      <c r="AH145" s="378"/>
      <c r="AI145" s="378" t="s">
        <v>630</v>
      </c>
      <c r="AJ145" s="378"/>
      <c r="AK145" s="380" t="s">
        <v>388</v>
      </c>
      <c r="AL145" s="380"/>
      <c r="AM145" s="380"/>
      <c r="AN145" s="79" t="s">
        <v>389</v>
      </c>
      <c r="AO145" s="79"/>
      <c r="AP145" s="380" t="s">
        <v>390</v>
      </c>
      <c r="AQ145" s="380"/>
      <c r="AR145" s="79" t="s">
        <v>389</v>
      </c>
      <c r="AS145" s="79"/>
      <c r="AT145" s="85" t="s">
        <v>362</v>
      </c>
      <c r="AU145" s="76" t="s">
        <v>391</v>
      </c>
      <c r="AV145" s="99" t="s">
        <v>392</v>
      </c>
      <c r="AW145" s="99" t="s">
        <v>393</v>
      </c>
    </row>
    <row r="146" spans="1:49" ht="12.75" customHeight="1" x14ac:dyDescent="0.3">
      <c r="A146" s="259"/>
      <c r="B146" s="259"/>
      <c r="C146" s="259"/>
      <c r="D146" s="259"/>
      <c r="E146" s="259"/>
      <c r="F146" s="381"/>
      <c r="G146" s="381"/>
      <c r="H146" s="381"/>
      <c r="I146" s="381"/>
      <c r="J146" s="381"/>
      <c r="K146" s="381"/>
      <c r="L146" s="176"/>
      <c r="M146" s="176"/>
      <c r="N146" s="176"/>
      <c r="O146" s="176"/>
      <c r="P146" s="176"/>
      <c r="Q146" s="391"/>
      <c r="R146" s="391"/>
      <c r="S146" s="391"/>
      <c r="T146" s="391"/>
      <c r="U146" s="391"/>
      <c r="V146" s="391"/>
      <c r="W146" s="391"/>
      <c r="X146" s="391"/>
      <c r="Y146" s="391"/>
      <c r="Z146" s="391"/>
      <c r="AA146" s="391"/>
      <c r="AB146" s="391"/>
      <c r="AC146" s="391"/>
      <c r="AD146" s="391"/>
      <c r="AE146" s="391"/>
      <c r="AF146" s="391"/>
      <c r="AG146" s="391"/>
      <c r="AH146" s="391"/>
      <c r="AI146" s="391"/>
      <c r="AJ146" s="391"/>
      <c r="AK146" s="382">
        <v>93242</v>
      </c>
      <c r="AL146" s="382"/>
      <c r="AM146" s="382"/>
      <c r="AN146" s="382"/>
      <c r="AO146" s="382"/>
      <c r="AP146" s="382">
        <v>2405</v>
      </c>
      <c r="AQ146" s="382"/>
      <c r="AR146" s="382"/>
      <c r="AS146" s="382"/>
      <c r="AV146" s="99" t="s">
        <v>394</v>
      </c>
      <c r="AW146" s="99" t="s">
        <v>395</v>
      </c>
    </row>
    <row r="147" spans="1:49" ht="12.75" customHeight="1" x14ac:dyDescent="0.3">
      <c r="L147" s="333"/>
      <c r="M147" s="333"/>
      <c r="N147" s="333"/>
      <c r="O147" s="333"/>
      <c r="P147" s="333"/>
      <c r="Q147" s="333"/>
      <c r="R147" s="333"/>
      <c r="S147" s="333"/>
      <c r="T147" s="333"/>
      <c r="U147" s="333"/>
      <c r="V147" s="333"/>
      <c r="W147" s="333"/>
      <c r="X147" s="333"/>
      <c r="Y147" s="333"/>
      <c r="Z147" s="333"/>
      <c r="AA147" s="333"/>
      <c r="AB147" s="333"/>
      <c r="AC147" s="333"/>
      <c r="AD147" s="333"/>
      <c r="AE147" s="333"/>
      <c r="AF147" s="333"/>
      <c r="AG147" s="333"/>
      <c r="AH147" s="333"/>
      <c r="AI147" s="333"/>
      <c r="AP147" s="383"/>
      <c r="AQ147" s="383"/>
      <c r="AR147" s="383"/>
      <c r="AS147" s="383"/>
      <c r="AV147" s="99" t="s">
        <v>396</v>
      </c>
      <c r="AW147" s="99" t="s">
        <v>397</v>
      </c>
    </row>
    <row r="148" spans="1:49" ht="12.75" customHeight="1" x14ac:dyDescent="0.3">
      <c r="L148" s="333"/>
      <c r="M148" s="333"/>
      <c r="N148" s="333"/>
      <c r="O148" s="333"/>
      <c r="P148" s="333"/>
      <c r="Q148" s="333"/>
      <c r="R148" s="333"/>
      <c r="S148" s="333"/>
      <c r="T148" s="333"/>
      <c r="U148" s="333"/>
      <c r="V148" s="333"/>
      <c r="W148" s="333"/>
      <c r="X148" s="333"/>
      <c r="Y148" s="333"/>
      <c r="Z148" s="333"/>
      <c r="AA148" s="333"/>
      <c r="AB148" s="333"/>
      <c r="AC148" s="333"/>
      <c r="AD148" s="333"/>
      <c r="AE148" s="333"/>
      <c r="AF148" s="333"/>
      <c r="AG148" s="333"/>
      <c r="AH148" s="333"/>
      <c r="AI148" s="333"/>
      <c r="AP148" s="384"/>
      <c r="AQ148" s="384"/>
      <c r="AR148" s="384"/>
      <c r="AS148" s="384"/>
      <c r="AV148" s="99" t="s">
        <v>5</v>
      </c>
      <c r="AW148" s="99" t="s">
        <v>398</v>
      </c>
    </row>
    <row r="149" spans="1:49" ht="12.75" customHeight="1" x14ac:dyDescent="0.3">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N149" s="160"/>
      <c r="AO149" s="160"/>
      <c r="AP149" s="160"/>
      <c r="AQ149" s="160"/>
      <c r="AR149" s="160"/>
      <c r="AS149" s="160"/>
      <c r="AV149" s="99" t="s">
        <v>399</v>
      </c>
      <c r="AW149" s="99" t="s">
        <v>400</v>
      </c>
    </row>
    <row r="150" spans="1:49" ht="12.75" customHeight="1" x14ac:dyDescent="0.3">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N150" s="160"/>
      <c r="AO150" s="160"/>
      <c r="AP150" s="162"/>
      <c r="AQ150" s="162"/>
      <c r="AR150" s="162"/>
      <c r="AS150" s="162"/>
      <c r="AV150" s="99" t="s">
        <v>401</v>
      </c>
      <c r="AW150" s="99" t="s">
        <v>402</v>
      </c>
    </row>
    <row r="151" spans="1:49" ht="12.75" customHeight="1" x14ac:dyDescent="0.3">
      <c r="A151" s="74"/>
      <c r="B151" s="74"/>
      <c r="C151" s="74"/>
      <c r="D151" s="74"/>
      <c r="E151" s="74"/>
      <c r="F151" s="74"/>
      <c r="G151" s="74"/>
      <c r="H151" s="74"/>
      <c r="I151" s="74"/>
      <c r="J151" s="74"/>
      <c r="K151" s="74"/>
      <c r="L151" s="74"/>
      <c r="M151" s="74"/>
      <c r="N151" s="74"/>
      <c r="O151" s="74"/>
      <c r="P151" s="74"/>
      <c r="Q151" s="74"/>
      <c r="R151" s="74"/>
      <c r="S151" s="74"/>
      <c r="T151" s="74"/>
      <c r="U151" s="74"/>
      <c r="V151" s="74"/>
      <c r="W151" s="74"/>
      <c r="X151" s="74"/>
      <c r="Y151" s="74"/>
      <c r="Z151" s="74"/>
      <c r="AA151" s="74"/>
      <c r="AB151" s="74"/>
      <c r="AC151" s="74"/>
      <c r="AD151" s="74"/>
      <c r="AE151" s="74"/>
      <c r="AF151" s="74"/>
      <c r="AG151" s="74"/>
      <c r="AH151" s="74"/>
      <c r="AI151" s="74"/>
      <c r="AP151" s="384"/>
      <c r="AQ151" s="384"/>
      <c r="AR151" s="384"/>
      <c r="AS151" s="384"/>
      <c r="AV151" s="99" t="s">
        <v>403</v>
      </c>
      <c r="AW151" s="99" t="s">
        <v>404</v>
      </c>
    </row>
    <row r="152" spans="1:49" ht="12.75" customHeight="1" x14ac:dyDescent="0.3">
      <c r="A152" s="74"/>
      <c r="B152" s="74"/>
      <c r="C152" s="74"/>
      <c r="D152" s="74"/>
      <c r="E152" s="74"/>
      <c r="F152" s="74"/>
      <c r="G152" s="74"/>
      <c r="H152" s="74"/>
      <c r="I152" s="74"/>
      <c r="J152" s="74"/>
      <c r="K152" s="74"/>
      <c r="L152" s="74"/>
      <c r="M152" s="74"/>
      <c r="N152" s="74"/>
      <c r="O152" s="74"/>
      <c r="P152" s="74"/>
      <c r="Q152" s="74"/>
      <c r="R152" s="74"/>
      <c r="S152" s="74"/>
      <c r="T152" s="74"/>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V152" s="99" t="s">
        <v>11</v>
      </c>
      <c r="AW152" s="99" t="s">
        <v>405</v>
      </c>
    </row>
    <row r="153" spans="1:49" ht="12.75" customHeight="1" x14ac:dyDescent="0.3">
      <c r="A153" s="160"/>
      <c r="B153" s="160"/>
      <c r="C153" s="160"/>
      <c r="D153" s="160"/>
      <c r="E153" s="160"/>
      <c r="F153" s="160"/>
      <c r="G153" s="160"/>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V153" s="99" t="s">
        <v>406</v>
      </c>
      <c r="AW153" s="99" t="s">
        <v>407</v>
      </c>
    </row>
    <row r="154" spans="1:49" ht="12.75" customHeight="1" x14ac:dyDescent="0.3">
      <c r="A154" s="161"/>
      <c r="B154" s="161"/>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161"/>
      <c r="AO154" s="161"/>
      <c r="AP154" s="161"/>
      <c r="AQ154" s="161"/>
      <c r="AR154" s="161"/>
      <c r="AS154" s="206"/>
      <c r="AV154" s="99" t="s">
        <v>408</v>
      </c>
      <c r="AW154" s="99" t="s">
        <v>409</v>
      </c>
    </row>
    <row r="155" spans="1:49" ht="12.75" customHeight="1" x14ac:dyDescent="0.3">
      <c r="A155" s="160"/>
      <c r="B155" s="160"/>
      <c r="C155" s="160"/>
      <c r="D155" s="160"/>
      <c r="E155" s="160"/>
      <c r="F155" s="160"/>
      <c r="G155" s="160"/>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V155" s="99" t="s">
        <v>410</v>
      </c>
      <c r="AW155" s="99" t="s">
        <v>411</v>
      </c>
    </row>
    <row r="156" spans="1:49" ht="12.75" customHeight="1" x14ac:dyDescent="0.3">
      <c r="A156" s="161"/>
      <c r="B156" s="161"/>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161"/>
      <c r="AO156" s="161"/>
      <c r="AP156" s="161"/>
      <c r="AQ156" s="161"/>
      <c r="AR156" s="161"/>
      <c r="AS156" s="161"/>
    </row>
    <row r="157" spans="1:49" ht="12.75" customHeight="1" x14ac:dyDescent="0.3">
      <c r="A157" s="160"/>
      <c r="B157" s="160"/>
      <c r="C157" s="160"/>
      <c r="D157" s="160"/>
      <c r="E157" s="160"/>
      <c r="F157" s="160"/>
      <c r="G157" s="160"/>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row>
    <row r="158" spans="1:49" ht="12.75" customHeight="1" x14ac:dyDescent="0.3">
      <c r="A158" s="161"/>
      <c r="B158" s="161"/>
      <c r="C158" s="161"/>
      <c r="D158" s="161"/>
      <c r="E158" s="161"/>
      <c r="F158" s="161"/>
      <c r="G158" s="161"/>
      <c r="H158" s="161"/>
      <c r="I158" s="161"/>
      <c r="J158" s="161"/>
      <c r="K158" s="161"/>
      <c r="L158" s="161"/>
      <c r="M158" s="161"/>
      <c r="N158" s="161"/>
      <c r="O158" s="161"/>
      <c r="P158" s="161"/>
      <c r="Q158" s="161"/>
      <c r="R158" s="161"/>
      <c r="S158" s="161"/>
      <c r="T158" s="161"/>
      <c r="U158" s="161"/>
      <c r="V158" s="161"/>
      <c r="W158" s="161"/>
      <c r="X158" s="161"/>
      <c r="Y158" s="161"/>
      <c r="Z158" s="161"/>
      <c r="AA158" s="161"/>
      <c r="AB158" s="161"/>
      <c r="AC158" s="161"/>
      <c r="AD158" s="161"/>
      <c r="AE158" s="161"/>
      <c r="AF158" s="161"/>
      <c r="AG158" s="161"/>
      <c r="AH158" s="161"/>
      <c r="AI158" s="161"/>
      <c r="AJ158" s="161"/>
      <c r="AK158" s="161"/>
      <c r="AL158" s="161"/>
      <c r="AM158" s="161"/>
      <c r="AN158" s="161"/>
      <c r="AO158" s="161"/>
      <c r="AP158" s="161"/>
      <c r="AQ158" s="161"/>
      <c r="AR158" s="161"/>
      <c r="AS158" s="206"/>
    </row>
    <row r="161" spans="1:45" x14ac:dyDescent="0.3">
      <c r="A161" s="74"/>
    </row>
    <row r="162" spans="1:45" x14ac:dyDescent="0.3">
      <c r="A162" s="485"/>
      <c r="B162" s="485"/>
      <c r="C162" s="485"/>
      <c r="D162" s="485"/>
      <c r="E162" s="160"/>
      <c r="F162" s="485"/>
      <c r="G162" s="485"/>
      <c r="H162" s="485"/>
      <c r="I162" s="485"/>
      <c r="J162" s="485"/>
      <c r="K162" s="160"/>
      <c r="L162" s="485"/>
      <c r="M162" s="485"/>
      <c r="N162" s="485"/>
      <c r="O162" s="485"/>
      <c r="P162" s="160"/>
      <c r="Q162" s="485"/>
      <c r="R162" s="485"/>
      <c r="S162" s="485"/>
      <c r="T162" s="485"/>
      <c r="U162" s="160"/>
      <c r="V162" s="485"/>
      <c r="W162" s="485"/>
      <c r="X162" s="485"/>
      <c r="Y162" s="485"/>
      <c r="Z162" s="160"/>
      <c r="AA162" s="485"/>
      <c r="AB162" s="485"/>
      <c r="AC162" s="485"/>
      <c r="AD162" s="485"/>
      <c r="AE162" s="160"/>
      <c r="AF162" s="485"/>
      <c r="AG162" s="485"/>
      <c r="AH162" s="485"/>
      <c r="AI162" s="485"/>
      <c r="AJ162" s="160"/>
      <c r="AK162" s="485"/>
      <c r="AL162" s="485"/>
      <c r="AM162" s="485"/>
      <c r="AN162" s="485"/>
      <c r="AO162" s="160"/>
      <c r="AP162" s="160"/>
      <c r="AQ162" s="160"/>
      <c r="AR162" s="160"/>
      <c r="AS162" s="160"/>
    </row>
    <row r="163" spans="1:45" x14ac:dyDescent="0.3">
      <c r="A163" s="486"/>
      <c r="B163" s="486"/>
      <c r="C163" s="486"/>
      <c r="D163" s="486"/>
      <c r="E163" s="486"/>
      <c r="F163" s="486"/>
      <c r="G163" s="486"/>
      <c r="H163" s="486"/>
      <c r="I163" s="486"/>
      <c r="J163" s="486"/>
      <c r="K163" s="486"/>
      <c r="L163" s="486"/>
      <c r="M163" s="486"/>
      <c r="N163" s="486"/>
      <c r="O163" s="486"/>
      <c r="P163" s="486"/>
      <c r="Q163" s="486"/>
      <c r="R163" s="486"/>
      <c r="S163" s="486"/>
      <c r="T163" s="486"/>
      <c r="U163" s="486"/>
      <c r="V163" s="161"/>
      <c r="W163" s="161"/>
      <c r="X163" s="161"/>
      <c r="Y163" s="161"/>
      <c r="Z163" s="161"/>
      <c r="AA163" s="486"/>
      <c r="AB163" s="486"/>
      <c r="AC163" s="486"/>
      <c r="AD163" s="486"/>
      <c r="AE163" s="486"/>
      <c r="AF163" s="486"/>
      <c r="AG163" s="486"/>
      <c r="AH163" s="486"/>
      <c r="AI163" s="486"/>
      <c r="AJ163" s="486"/>
      <c r="AK163" s="486"/>
      <c r="AL163" s="486"/>
      <c r="AM163" s="486"/>
      <c r="AN163" s="486"/>
      <c r="AO163" s="486"/>
      <c r="AP163" s="161"/>
      <c r="AQ163" s="161"/>
      <c r="AR163" s="161"/>
      <c r="AS163" s="206"/>
    </row>
    <row r="165" spans="1:45" x14ac:dyDescent="0.3">
      <c r="A165" s="485"/>
      <c r="B165" s="485"/>
      <c r="C165" s="485"/>
      <c r="D165" s="485"/>
      <c r="E165" s="485"/>
      <c r="F165" s="485"/>
      <c r="G165" s="485"/>
      <c r="H165" s="485"/>
      <c r="I165" s="485"/>
      <c r="J165" s="485"/>
      <c r="K165" s="485"/>
      <c r="L165" s="485"/>
      <c r="M165" s="485"/>
      <c r="N165" s="485"/>
      <c r="O165" s="485"/>
      <c r="P165" s="485"/>
      <c r="Q165" s="485"/>
      <c r="R165" s="485"/>
      <c r="S165" s="485"/>
      <c r="T165" s="485"/>
      <c r="U165" s="485"/>
      <c r="V165" s="485"/>
      <c r="W165" s="485"/>
      <c r="X165" s="485"/>
      <c r="Y165" s="485"/>
      <c r="Z165" s="485"/>
      <c r="AA165" s="485"/>
      <c r="AB165" s="485"/>
      <c r="AC165" s="485"/>
      <c r="AD165" s="485"/>
      <c r="AE165" s="485"/>
      <c r="AF165" s="485"/>
      <c r="AG165" s="485"/>
      <c r="AH165" s="485"/>
      <c r="AI165" s="485"/>
      <c r="AJ165" s="485"/>
      <c r="AK165" s="485"/>
      <c r="AL165" s="485"/>
      <c r="AM165" s="485"/>
      <c r="AN165" s="485"/>
      <c r="AO165" s="485"/>
      <c r="AP165" s="485"/>
      <c r="AQ165" s="485"/>
      <c r="AR165" s="485"/>
      <c r="AS165" s="485"/>
    </row>
    <row r="166" spans="1:45" x14ac:dyDescent="0.3">
      <c r="A166" s="485"/>
      <c r="B166" s="485"/>
      <c r="C166" s="485"/>
      <c r="D166" s="485"/>
      <c r="E166" s="485"/>
      <c r="F166" s="485"/>
      <c r="G166" s="485"/>
      <c r="H166" s="485"/>
      <c r="I166" s="485"/>
      <c r="J166" s="485"/>
      <c r="K166" s="485"/>
      <c r="L166" s="485"/>
      <c r="M166" s="485"/>
      <c r="N166" s="485"/>
      <c r="O166" s="485"/>
      <c r="P166" s="485"/>
      <c r="Q166" s="485"/>
      <c r="R166" s="485"/>
      <c r="S166" s="485"/>
      <c r="T166" s="485"/>
      <c r="U166" s="485"/>
      <c r="V166" s="485"/>
      <c r="W166" s="485"/>
      <c r="X166" s="485"/>
      <c r="Y166" s="485"/>
      <c r="Z166" s="485"/>
      <c r="AA166" s="485"/>
      <c r="AB166" s="485"/>
      <c r="AC166" s="485"/>
      <c r="AD166" s="485"/>
      <c r="AE166" s="485"/>
      <c r="AF166" s="485"/>
      <c r="AG166" s="485"/>
      <c r="AH166" s="485"/>
      <c r="AI166" s="485"/>
      <c r="AJ166" s="485"/>
      <c r="AK166" s="485"/>
      <c r="AL166" s="485"/>
      <c r="AM166" s="485"/>
      <c r="AN166" s="485"/>
      <c r="AO166" s="485"/>
      <c r="AP166" s="485"/>
      <c r="AQ166" s="485"/>
      <c r="AR166" s="485"/>
      <c r="AS166" s="485"/>
    </row>
    <row r="167" spans="1:45" x14ac:dyDescent="0.3">
      <c r="A167" s="486"/>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row>
    <row r="168" spans="1:45" x14ac:dyDescent="0.3">
      <c r="A168" s="486"/>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row>
    <row r="169" spans="1:45" x14ac:dyDescent="0.3">
      <c r="A169" s="486"/>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row>
    <row r="170" spans="1:45" x14ac:dyDescent="0.3">
      <c r="A170" s="486"/>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row>
    <row r="171" spans="1:45" x14ac:dyDescent="0.3">
      <c r="A171" s="486"/>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row>
    <row r="172" spans="1:45" x14ac:dyDescent="0.3">
      <c r="A172" s="486"/>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row>
    <row r="173" spans="1:45" x14ac:dyDescent="0.3">
      <c r="A173" s="486"/>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row>
    <row r="174" spans="1:45" x14ac:dyDescent="0.3">
      <c r="A174" s="486"/>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row>
    <row r="175" spans="1:45" x14ac:dyDescent="0.3">
      <c r="A175" s="486"/>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row>
    <row r="176" spans="1:45" x14ac:dyDescent="0.3">
      <c r="A176" s="486"/>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row>
    <row r="177" spans="1:45" x14ac:dyDescent="0.3">
      <c r="A177" s="486"/>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row>
    <row r="178" spans="1:45" x14ac:dyDescent="0.3">
      <c r="A178" s="486"/>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row>
    <row r="179" spans="1:45" x14ac:dyDescent="0.3">
      <c r="A179" s="486"/>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row>
    <row r="180" spans="1:45" x14ac:dyDescent="0.3">
      <c r="A180" s="486"/>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row>
    <row r="181" spans="1:45" x14ac:dyDescent="0.3">
      <c r="A181" s="485"/>
      <c r="B181" s="485"/>
      <c r="C181" s="485"/>
      <c r="D181" s="485"/>
      <c r="E181" s="485"/>
      <c r="F181" s="485"/>
      <c r="G181" s="485"/>
      <c r="H181" s="485"/>
      <c r="I181" s="485"/>
      <c r="J181" s="485"/>
      <c r="K181" s="485"/>
      <c r="L181" s="485"/>
      <c r="M181" s="485"/>
      <c r="N181" s="485"/>
      <c r="O181" s="485"/>
      <c r="P181" s="485"/>
      <c r="Q181" s="485"/>
      <c r="R181" s="485"/>
      <c r="S181" s="485"/>
      <c r="T181" s="485"/>
      <c r="U181" s="485"/>
      <c r="V181" s="485"/>
      <c r="W181" s="485"/>
      <c r="X181" s="485"/>
      <c r="Y181" s="485"/>
      <c r="Z181" s="485"/>
      <c r="AA181" s="485"/>
      <c r="AB181" s="485"/>
      <c r="AC181" s="485"/>
      <c r="AD181" s="485"/>
      <c r="AE181" s="485"/>
      <c r="AF181" s="485"/>
      <c r="AG181" s="485"/>
      <c r="AH181" s="485"/>
      <c r="AI181" s="485"/>
      <c r="AJ181" s="485"/>
      <c r="AK181" s="485"/>
      <c r="AL181" s="485"/>
      <c r="AM181" s="485"/>
      <c r="AN181" s="485"/>
      <c r="AO181" s="485"/>
      <c r="AP181" s="485"/>
      <c r="AQ181" s="485"/>
      <c r="AR181" s="485"/>
      <c r="AS181" s="485"/>
    </row>
    <row r="182" spans="1:45" x14ac:dyDescent="0.3">
      <c r="A182" s="486"/>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row>
    <row r="183" spans="1:45" x14ac:dyDescent="0.3">
      <c r="A183" s="486"/>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row>
    <row r="184" spans="1:45" x14ac:dyDescent="0.3">
      <c r="A184" s="486"/>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row>
    <row r="185" spans="1:45" x14ac:dyDescent="0.3">
      <c r="A185" s="486"/>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row>
    <row r="186" spans="1:45" x14ac:dyDescent="0.3">
      <c r="A186" s="486"/>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row>
    <row r="187" spans="1:45" x14ac:dyDescent="0.3">
      <c r="A187" s="486"/>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row>
    <row r="188" spans="1:45" x14ac:dyDescent="0.3">
      <c r="A188" s="486"/>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row>
    <row r="189" spans="1:45" x14ac:dyDescent="0.3">
      <c r="A189" s="486"/>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row>
    <row r="190" spans="1:45" x14ac:dyDescent="0.3">
      <c r="A190" s="486"/>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row>
    <row r="191" spans="1:45" x14ac:dyDescent="0.3">
      <c r="A191" s="486"/>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row>
    <row r="192" spans="1:45" x14ac:dyDescent="0.3">
      <c r="A192" s="486"/>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row>
    <row r="193" spans="1:45" x14ac:dyDescent="0.3">
      <c r="A193" s="486"/>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row>
    <row r="194" spans="1:45" x14ac:dyDescent="0.3">
      <c r="A194" s="486"/>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row>
    <row r="195" spans="1:45" x14ac:dyDescent="0.3">
      <c r="A195" s="486"/>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row>
    <row r="196" spans="1:45" x14ac:dyDescent="0.3">
      <c r="A196" s="74"/>
    </row>
    <row r="197" spans="1:45" x14ac:dyDescent="0.3">
      <c r="A197" s="74"/>
    </row>
    <row r="198" spans="1:45" x14ac:dyDescent="0.3">
      <c r="A198" s="485"/>
      <c r="B198" s="485"/>
      <c r="C198" s="485"/>
      <c r="D198" s="485"/>
      <c r="E198" s="485"/>
      <c r="F198" s="485"/>
      <c r="G198" s="485"/>
      <c r="H198" s="485"/>
      <c r="I198" s="485"/>
      <c r="J198" s="485"/>
      <c r="K198" s="485"/>
      <c r="L198" s="485"/>
      <c r="M198" s="485"/>
      <c r="N198" s="485"/>
      <c r="O198" s="485"/>
      <c r="P198" s="485"/>
      <c r="Q198" s="485"/>
      <c r="R198" s="485"/>
      <c r="S198" s="485"/>
      <c r="T198" s="485"/>
      <c r="U198" s="485"/>
      <c r="V198" s="485"/>
      <c r="W198" s="485"/>
      <c r="X198" s="485"/>
      <c r="Y198" s="485"/>
      <c r="Z198" s="485"/>
      <c r="AA198" s="485"/>
      <c r="AB198" s="485"/>
      <c r="AC198" s="485"/>
      <c r="AD198" s="485"/>
      <c r="AE198" s="485"/>
      <c r="AF198" s="485"/>
      <c r="AG198" s="485"/>
      <c r="AH198" s="485"/>
      <c r="AI198" s="485"/>
      <c r="AJ198" s="485"/>
      <c r="AK198" s="485"/>
      <c r="AL198" s="485"/>
      <c r="AM198" s="485"/>
      <c r="AN198" s="485"/>
      <c r="AO198" s="485"/>
      <c r="AP198" s="485"/>
      <c r="AQ198" s="485"/>
      <c r="AR198" s="485"/>
      <c r="AS198" s="485"/>
    </row>
    <row r="199" spans="1:45" x14ac:dyDescent="0.3">
      <c r="A199" s="486"/>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row>
    <row r="200" spans="1:45" x14ac:dyDescent="0.3">
      <c r="A200" s="486"/>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row>
    <row r="201" spans="1:45" x14ac:dyDescent="0.3">
      <c r="A201" s="486"/>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row>
    <row r="203" spans="1:45" x14ac:dyDescent="0.3">
      <c r="A203" s="74"/>
    </row>
    <row r="204" spans="1:45" x14ac:dyDescent="0.3">
      <c r="A204" s="485"/>
      <c r="B204" s="485"/>
      <c r="C204" s="485"/>
      <c r="D204" s="485"/>
      <c r="E204" s="485"/>
      <c r="F204" s="485"/>
      <c r="G204" s="485"/>
      <c r="H204" s="485"/>
      <c r="I204" s="485"/>
      <c r="J204" s="485"/>
      <c r="K204" s="485"/>
      <c r="L204" s="485"/>
      <c r="M204" s="485"/>
      <c r="N204" s="485"/>
      <c r="O204" s="485"/>
      <c r="P204" s="485"/>
      <c r="Q204" s="485"/>
      <c r="R204" s="485"/>
      <c r="S204" s="485"/>
      <c r="T204" s="485"/>
      <c r="U204" s="485"/>
      <c r="V204" s="485"/>
      <c r="W204" s="485"/>
      <c r="X204" s="485"/>
      <c r="Y204" s="485"/>
      <c r="Z204" s="485"/>
      <c r="AA204" s="485"/>
      <c r="AB204" s="485"/>
      <c r="AC204" s="485"/>
      <c r="AD204" s="485"/>
      <c r="AE204" s="485"/>
      <c r="AF204" s="485"/>
      <c r="AG204" s="485"/>
      <c r="AH204" s="485"/>
      <c r="AI204" s="485"/>
      <c r="AJ204" s="485"/>
      <c r="AK204" s="485"/>
      <c r="AL204" s="485"/>
      <c r="AM204" s="485"/>
      <c r="AN204" s="485"/>
      <c r="AO204" s="485"/>
      <c r="AP204" s="485"/>
      <c r="AQ204" s="485"/>
      <c r="AR204" s="485"/>
      <c r="AS204" s="485"/>
    </row>
    <row r="205" spans="1:45" x14ac:dyDescent="0.3">
      <c r="A205" s="485"/>
      <c r="B205" s="485"/>
      <c r="C205" s="485"/>
      <c r="D205" s="485"/>
      <c r="E205" s="485"/>
      <c r="F205" s="485"/>
      <c r="G205" s="485"/>
      <c r="H205" s="485"/>
      <c r="I205" s="485"/>
      <c r="J205" s="485"/>
      <c r="K205" s="485"/>
      <c r="L205" s="485"/>
      <c r="M205" s="485"/>
      <c r="N205" s="485"/>
      <c r="O205" s="485"/>
      <c r="P205" s="485"/>
      <c r="Q205" s="485"/>
      <c r="R205" s="485"/>
      <c r="S205" s="485"/>
      <c r="T205" s="485"/>
      <c r="U205" s="485"/>
      <c r="V205" s="485"/>
      <c r="W205" s="485"/>
      <c r="X205" s="485"/>
      <c r="Y205" s="485"/>
      <c r="Z205" s="485"/>
      <c r="AA205" s="485"/>
      <c r="AB205" s="485"/>
      <c r="AC205" s="485"/>
      <c r="AD205" s="485"/>
      <c r="AE205" s="485"/>
      <c r="AF205" s="485"/>
      <c r="AG205" s="485"/>
      <c r="AH205" s="485"/>
      <c r="AI205" s="485"/>
      <c r="AJ205" s="485"/>
      <c r="AK205" s="485"/>
      <c r="AL205" s="485"/>
      <c r="AM205" s="485"/>
      <c r="AN205" s="485"/>
      <c r="AO205" s="485"/>
      <c r="AP205" s="485"/>
      <c r="AQ205" s="485"/>
      <c r="AR205" s="485"/>
      <c r="AS205" s="485"/>
    </row>
    <row r="206" spans="1:45" x14ac:dyDescent="0.3">
      <c r="A206" s="485"/>
      <c r="B206" s="485"/>
      <c r="C206" s="485"/>
      <c r="D206" s="485"/>
      <c r="E206" s="485"/>
      <c r="F206" s="485"/>
      <c r="G206" s="485"/>
      <c r="H206" s="485"/>
      <c r="I206" s="485"/>
      <c r="J206" s="485"/>
      <c r="K206" s="485"/>
      <c r="L206" s="485"/>
      <c r="M206" s="485"/>
      <c r="N206" s="485"/>
      <c r="O206" s="485"/>
      <c r="P206" s="485"/>
      <c r="Q206" s="485"/>
      <c r="R206" s="485"/>
      <c r="S206" s="485"/>
      <c r="T206" s="485"/>
      <c r="U206" s="485"/>
      <c r="V206" s="485"/>
      <c r="W206" s="485"/>
      <c r="X206" s="485"/>
      <c r="Y206" s="485"/>
      <c r="Z206" s="485"/>
      <c r="AA206" s="485"/>
      <c r="AB206" s="485"/>
      <c r="AC206" s="485"/>
      <c r="AD206" s="485"/>
      <c r="AE206" s="485"/>
      <c r="AF206" s="485"/>
      <c r="AG206" s="485"/>
      <c r="AH206" s="485"/>
      <c r="AI206" s="485"/>
      <c r="AJ206" s="485"/>
      <c r="AK206" s="485"/>
      <c r="AL206" s="485"/>
      <c r="AM206" s="485"/>
      <c r="AN206" s="485"/>
      <c r="AO206" s="485"/>
      <c r="AP206" s="485"/>
      <c r="AQ206" s="485"/>
      <c r="AR206" s="485"/>
      <c r="AS206" s="485"/>
    </row>
    <row r="207" spans="1:45" x14ac:dyDescent="0.3">
      <c r="A207" s="485"/>
      <c r="B207" s="485"/>
      <c r="C207" s="485"/>
      <c r="D207" s="485"/>
      <c r="E207" s="485"/>
      <c r="F207" s="485"/>
      <c r="G207" s="485"/>
      <c r="H207" s="485"/>
      <c r="I207" s="485"/>
      <c r="J207" s="485"/>
      <c r="K207" s="485"/>
      <c r="L207" s="485"/>
      <c r="M207" s="485"/>
      <c r="N207" s="485"/>
      <c r="O207" s="485"/>
      <c r="P207" s="485"/>
      <c r="Q207" s="485"/>
      <c r="R207" s="485"/>
      <c r="S207" s="485"/>
      <c r="T207" s="485"/>
      <c r="U207" s="485"/>
      <c r="V207" s="485"/>
      <c r="W207" s="485"/>
      <c r="X207" s="485"/>
      <c r="Y207" s="485"/>
      <c r="Z207" s="485"/>
      <c r="AA207" s="485"/>
      <c r="AB207" s="485"/>
      <c r="AC207" s="485"/>
      <c r="AD207" s="485"/>
      <c r="AE207" s="485"/>
      <c r="AF207" s="485"/>
      <c r="AG207" s="485"/>
      <c r="AH207" s="485"/>
      <c r="AI207" s="485"/>
      <c r="AJ207" s="485"/>
      <c r="AK207" s="485"/>
      <c r="AL207" s="485"/>
      <c r="AM207" s="485"/>
      <c r="AN207" s="485"/>
      <c r="AO207" s="485"/>
      <c r="AP207" s="485"/>
      <c r="AQ207" s="485"/>
      <c r="AR207" s="485"/>
      <c r="AS207" s="485"/>
    </row>
    <row r="208" spans="1:45" x14ac:dyDescent="0.3">
      <c r="A208" s="485"/>
      <c r="B208" s="485"/>
      <c r="C208" s="485"/>
      <c r="D208" s="485"/>
      <c r="E208" s="485"/>
      <c r="F208" s="485"/>
      <c r="G208" s="485"/>
      <c r="H208" s="485"/>
      <c r="I208" s="485"/>
      <c r="J208" s="485"/>
      <c r="K208" s="485"/>
      <c r="L208" s="485"/>
      <c r="M208" s="485"/>
      <c r="N208" s="485"/>
      <c r="O208" s="485"/>
      <c r="P208" s="485"/>
      <c r="Q208" s="485"/>
      <c r="R208" s="485"/>
      <c r="S208" s="485"/>
      <c r="T208" s="485"/>
      <c r="U208" s="485"/>
      <c r="V208" s="485"/>
      <c r="W208" s="485"/>
      <c r="X208" s="485"/>
      <c r="Y208" s="485"/>
      <c r="Z208" s="485"/>
      <c r="AA208" s="485"/>
      <c r="AB208" s="485"/>
      <c r="AC208" s="485"/>
      <c r="AD208" s="485"/>
      <c r="AE208" s="485"/>
      <c r="AF208" s="485"/>
      <c r="AG208" s="485"/>
      <c r="AH208" s="485"/>
      <c r="AI208" s="485"/>
      <c r="AJ208" s="485"/>
      <c r="AK208" s="485"/>
      <c r="AL208" s="485"/>
      <c r="AM208" s="485"/>
      <c r="AN208" s="485"/>
      <c r="AO208" s="485"/>
      <c r="AP208" s="485"/>
      <c r="AQ208" s="485"/>
      <c r="AR208" s="485"/>
      <c r="AS208" s="485"/>
    </row>
    <row r="209" spans="1:45" x14ac:dyDescent="0.3">
      <c r="A209" s="485"/>
      <c r="B209" s="485"/>
      <c r="C209" s="485"/>
      <c r="D209" s="485"/>
      <c r="E209" s="485"/>
      <c r="F209" s="485"/>
      <c r="G209" s="485"/>
      <c r="H209" s="485"/>
      <c r="I209" s="485"/>
      <c r="J209" s="485"/>
      <c r="K209" s="485"/>
      <c r="L209" s="485"/>
      <c r="M209" s="485"/>
      <c r="N209" s="485"/>
      <c r="O209" s="485"/>
      <c r="P209" s="485"/>
      <c r="Q209" s="485"/>
      <c r="R209" s="485"/>
      <c r="S209" s="485"/>
      <c r="T209" s="485"/>
      <c r="U209" s="485"/>
      <c r="V209" s="485"/>
      <c r="W209" s="485"/>
      <c r="X209" s="485"/>
      <c r="Y209" s="485"/>
      <c r="Z209" s="485"/>
      <c r="AA209" s="485"/>
      <c r="AB209" s="485"/>
      <c r="AC209" s="485"/>
      <c r="AD209" s="485"/>
      <c r="AE209" s="485"/>
      <c r="AF209" s="485"/>
      <c r="AG209" s="485"/>
      <c r="AH209" s="485"/>
      <c r="AI209" s="485"/>
      <c r="AJ209" s="485"/>
      <c r="AK209" s="485"/>
      <c r="AL209" s="485"/>
      <c r="AM209" s="485"/>
      <c r="AN209" s="485"/>
      <c r="AO209" s="485"/>
      <c r="AP209" s="485"/>
      <c r="AQ209" s="485"/>
      <c r="AR209" s="485"/>
      <c r="AS209" s="485"/>
    </row>
    <row r="210" spans="1:45" x14ac:dyDescent="0.3">
      <c r="A210" s="485"/>
      <c r="B210" s="485"/>
      <c r="C210" s="485"/>
      <c r="D210" s="485"/>
      <c r="E210" s="485"/>
      <c r="F210" s="485"/>
      <c r="G210" s="485"/>
      <c r="H210" s="485"/>
      <c r="I210" s="485"/>
      <c r="J210" s="485"/>
      <c r="K210" s="485"/>
      <c r="L210" s="485"/>
      <c r="M210" s="485"/>
      <c r="N210" s="485"/>
      <c r="O210" s="485"/>
      <c r="P210" s="485"/>
      <c r="Q210" s="485"/>
      <c r="R210" s="485"/>
      <c r="S210" s="485"/>
      <c r="T210" s="485"/>
      <c r="U210" s="485"/>
      <c r="V210" s="485"/>
      <c r="W210" s="485"/>
      <c r="X210" s="485"/>
      <c r="Y210" s="485"/>
      <c r="Z210" s="485"/>
      <c r="AA210" s="485"/>
      <c r="AB210" s="485"/>
      <c r="AC210" s="485"/>
      <c r="AD210" s="485"/>
      <c r="AE210" s="485"/>
      <c r="AF210" s="485"/>
      <c r="AG210" s="485"/>
      <c r="AH210" s="485"/>
      <c r="AI210" s="485"/>
      <c r="AJ210" s="485"/>
      <c r="AK210" s="485"/>
      <c r="AL210" s="485"/>
      <c r="AM210" s="485"/>
      <c r="AN210" s="485"/>
      <c r="AO210" s="485"/>
      <c r="AP210" s="485"/>
      <c r="AQ210" s="485"/>
      <c r="AR210" s="485"/>
      <c r="AS210" s="485"/>
    </row>
    <row r="211" spans="1:45" x14ac:dyDescent="0.3">
      <c r="A211" s="485"/>
      <c r="B211" s="485"/>
      <c r="C211" s="485"/>
      <c r="D211" s="485"/>
      <c r="E211" s="485"/>
      <c r="F211" s="485"/>
      <c r="G211" s="485"/>
      <c r="H211" s="485"/>
      <c r="I211" s="485"/>
      <c r="J211" s="485"/>
      <c r="K211" s="485"/>
      <c r="L211" s="485"/>
      <c r="M211" s="485"/>
      <c r="N211" s="485"/>
      <c r="O211" s="485"/>
      <c r="P211" s="485"/>
      <c r="Q211" s="485"/>
      <c r="R211" s="485"/>
      <c r="S211" s="485"/>
      <c r="T211" s="485"/>
      <c r="U211" s="485"/>
      <c r="V211" s="485"/>
      <c r="W211" s="485"/>
      <c r="X211" s="485"/>
      <c r="Y211" s="485"/>
      <c r="Z211" s="485"/>
      <c r="AA211" s="485"/>
      <c r="AB211" s="485"/>
      <c r="AC211" s="485"/>
      <c r="AD211" s="485"/>
      <c r="AE211" s="485"/>
      <c r="AF211" s="485"/>
      <c r="AG211" s="485"/>
      <c r="AH211" s="485"/>
      <c r="AI211" s="485"/>
      <c r="AJ211" s="485"/>
      <c r="AK211" s="485"/>
      <c r="AL211" s="485"/>
      <c r="AM211" s="485"/>
      <c r="AN211" s="485"/>
      <c r="AO211" s="485"/>
      <c r="AP211" s="485"/>
      <c r="AQ211" s="485"/>
      <c r="AR211" s="485"/>
      <c r="AS211" s="485"/>
    </row>
    <row r="212" spans="1:45" x14ac:dyDescent="0.3">
      <c r="A212" s="485"/>
      <c r="B212" s="485"/>
      <c r="C212" s="485"/>
      <c r="D212" s="485"/>
      <c r="E212" s="485"/>
      <c r="F212" s="485"/>
      <c r="G212" s="485"/>
      <c r="H212" s="485"/>
      <c r="I212" s="485"/>
      <c r="J212" s="485"/>
      <c r="K212" s="485"/>
      <c r="L212" s="485"/>
      <c r="M212" s="485"/>
      <c r="N212" s="485"/>
      <c r="O212" s="485"/>
      <c r="P212" s="485"/>
      <c r="Q212" s="485"/>
      <c r="R212" s="485"/>
      <c r="S212" s="485"/>
      <c r="T212" s="485"/>
      <c r="U212" s="485"/>
      <c r="V212" s="485"/>
      <c r="W212" s="485"/>
      <c r="X212" s="485"/>
      <c r="Y212" s="485"/>
      <c r="Z212" s="485"/>
      <c r="AA212" s="485"/>
      <c r="AB212" s="485"/>
      <c r="AC212" s="485"/>
      <c r="AD212" s="485"/>
      <c r="AE212" s="485"/>
      <c r="AF212" s="485"/>
      <c r="AG212" s="485"/>
      <c r="AH212" s="485"/>
      <c r="AI212" s="485"/>
      <c r="AJ212" s="485"/>
      <c r="AK212" s="485"/>
      <c r="AL212" s="485"/>
      <c r="AM212" s="485"/>
      <c r="AN212" s="485"/>
      <c r="AO212" s="485"/>
      <c r="AP212" s="485"/>
      <c r="AQ212" s="485"/>
      <c r="AR212" s="485"/>
      <c r="AS212" s="485"/>
    </row>
    <row r="213" spans="1:45" x14ac:dyDescent="0.3">
      <c r="A213" s="485"/>
      <c r="B213" s="485"/>
      <c r="C213" s="485"/>
      <c r="D213" s="485"/>
      <c r="E213" s="485"/>
      <c r="F213" s="485"/>
      <c r="G213" s="485"/>
      <c r="H213" s="485"/>
      <c r="I213" s="485"/>
      <c r="J213" s="485"/>
      <c r="K213" s="485"/>
      <c r="L213" s="485"/>
      <c r="M213" s="485"/>
      <c r="N213" s="485"/>
      <c r="O213" s="485"/>
      <c r="P213" s="485"/>
      <c r="Q213" s="485"/>
      <c r="R213" s="485"/>
      <c r="S213" s="485"/>
      <c r="T213" s="485"/>
      <c r="U213" s="485"/>
      <c r="V213" s="485"/>
      <c r="W213" s="485"/>
      <c r="X213" s="485"/>
      <c r="Y213" s="485"/>
      <c r="Z213" s="485"/>
      <c r="AA213" s="485"/>
      <c r="AB213" s="485"/>
      <c r="AC213" s="485"/>
      <c r="AD213" s="485"/>
      <c r="AE213" s="485"/>
      <c r="AF213" s="485"/>
      <c r="AG213" s="485"/>
      <c r="AH213" s="485"/>
      <c r="AI213" s="485"/>
      <c r="AJ213" s="485"/>
      <c r="AK213" s="485"/>
      <c r="AL213" s="485"/>
      <c r="AM213" s="485"/>
      <c r="AN213" s="485"/>
      <c r="AO213" s="485"/>
      <c r="AP213" s="485"/>
      <c r="AQ213" s="485"/>
      <c r="AR213" s="485"/>
      <c r="AS213" s="485"/>
    </row>
    <row r="214" spans="1:45" x14ac:dyDescent="0.3">
      <c r="A214" s="485"/>
      <c r="B214" s="485"/>
      <c r="C214" s="485"/>
      <c r="D214" s="485"/>
      <c r="E214" s="485"/>
      <c r="F214" s="485"/>
      <c r="G214" s="485"/>
      <c r="H214" s="485"/>
      <c r="I214" s="485"/>
      <c r="J214" s="485"/>
      <c r="K214" s="485"/>
      <c r="L214" s="485"/>
      <c r="M214" s="485"/>
      <c r="N214" s="485"/>
      <c r="O214" s="485"/>
      <c r="P214" s="485"/>
      <c r="Q214" s="485"/>
      <c r="R214" s="485"/>
      <c r="S214" s="485"/>
      <c r="T214" s="485"/>
      <c r="U214" s="485"/>
      <c r="V214" s="485"/>
      <c r="W214" s="485"/>
      <c r="X214" s="485"/>
      <c r="Y214" s="485"/>
      <c r="Z214" s="485"/>
      <c r="AA214" s="485"/>
      <c r="AB214" s="485"/>
      <c r="AC214" s="485"/>
      <c r="AD214" s="485"/>
      <c r="AE214" s="485"/>
      <c r="AF214" s="485"/>
      <c r="AG214" s="485"/>
      <c r="AH214" s="485"/>
      <c r="AI214" s="485"/>
      <c r="AJ214" s="485"/>
      <c r="AK214" s="485"/>
      <c r="AL214" s="485"/>
      <c r="AM214" s="485"/>
      <c r="AN214" s="485"/>
      <c r="AO214" s="485"/>
      <c r="AP214" s="485"/>
      <c r="AQ214" s="485"/>
      <c r="AR214" s="485"/>
      <c r="AS214" s="485"/>
    </row>
    <row r="215" spans="1:45" x14ac:dyDescent="0.3">
      <c r="A215" s="485"/>
      <c r="B215" s="485"/>
      <c r="C215" s="485"/>
      <c r="D215" s="485"/>
      <c r="E215" s="485"/>
      <c r="F215" s="485"/>
      <c r="G215" s="485"/>
      <c r="H215" s="485"/>
      <c r="I215" s="485"/>
      <c r="J215" s="485"/>
      <c r="K215" s="485"/>
      <c r="L215" s="485"/>
      <c r="M215" s="485"/>
      <c r="N215" s="485"/>
      <c r="O215" s="485"/>
      <c r="P215" s="485"/>
      <c r="Q215" s="485"/>
      <c r="R215" s="485"/>
      <c r="S215" s="485"/>
      <c r="T215" s="485"/>
      <c r="U215" s="485"/>
      <c r="V215" s="485"/>
      <c r="W215" s="485"/>
      <c r="X215" s="485"/>
      <c r="Y215" s="485"/>
      <c r="Z215" s="485"/>
      <c r="AA215" s="485"/>
      <c r="AB215" s="485"/>
      <c r="AC215" s="485"/>
      <c r="AD215" s="485"/>
      <c r="AE215" s="485"/>
      <c r="AF215" s="485"/>
      <c r="AG215" s="485"/>
      <c r="AH215" s="485"/>
      <c r="AI215" s="485"/>
      <c r="AJ215" s="485"/>
      <c r="AK215" s="485"/>
      <c r="AL215" s="485"/>
      <c r="AM215" s="485"/>
      <c r="AN215" s="485"/>
      <c r="AO215" s="485"/>
      <c r="AP215" s="485"/>
      <c r="AQ215" s="485"/>
      <c r="AR215" s="485"/>
      <c r="AS215" s="485"/>
    </row>
    <row r="216" spans="1:45" x14ac:dyDescent="0.3">
      <c r="A216" s="485"/>
      <c r="B216" s="485"/>
      <c r="C216" s="485"/>
      <c r="D216" s="485"/>
      <c r="E216" s="485"/>
      <c r="F216" s="485"/>
      <c r="G216" s="485"/>
      <c r="H216" s="485"/>
      <c r="I216" s="485"/>
      <c r="J216" s="485"/>
      <c r="K216" s="485"/>
      <c r="L216" s="485"/>
      <c r="M216" s="485"/>
      <c r="N216" s="485"/>
      <c r="O216" s="485"/>
      <c r="P216" s="485"/>
      <c r="Q216" s="485"/>
      <c r="R216" s="485"/>
      <c r="S216" s="485"/>
      <c r="T216" s="485"/>
      <c r="U216" s="485"/>
      <c r="V216" s="485"/>
      <c r="W216" s="485"/>
      <c r="X216" s="485"/>
      <c r="Y216" s="485"/>
      <c r="Z216" s="485"/>
      <c r="AA216" s="485"/>
      <c r="AB216" s="485"/>
      <c r="AC216" s="485"/>
      <c r="AD216" s="485"/>
      <c r="AE216" s="485"/>
      <c r="AF216" s="485"/>
      <c r="AG216" s="485"/>
      <c r="AH216" s="485"/>
      <c r="AI216" s="485"/>
      <c r="AJ216" s="485"/>
      <c r="AK216" s="485"/>
      <c r="AL216" s="485"/>
      <c r="AM216" s="485"/>
      <c r="AN216" s="485"/>
      <c r="AO216" s="485"/>
      <c r="AP216" s="485"/>
      <c r="AQ216" s="485"/>
      <c r="AR216" s="485"/>
      <c r="AS216" s="485"/>
    </row>
    <row r="217" spans="1:45" x14ac:dyDescent="0.3">
      <c r="A217" s="485"/>
      <c r="B217" s="485"/>
      <c r="C217" s="485"/>
      <c r="D217" s="485"/>
      <c r="E217" s="485"/>
      <c r="F217" s="485"/>
      <c r="G217" s="485"/>
      <c r="H217" s="485"/>
      <c r="I217" s="485"/>
      <c r="J217" s="485"/>
      <c r="K217" s="485"/>
      <c r="L217" s="485"/>
      <c r="M217" s="485"/>
      <c r="N217" s="485"/>
      <c r="O217" s="485"/>
      <c r="P217" s="485"/>
      <c r="Q217" s="485"/>
      <c r="R217" s="485"/>
      <c r="S217" s="485"/>
      <c r="T217" s="485"/>
      <c r="U217" s="485"/>
      <c r="V217" s="485"/>
      <c r="W217" s="485"/>
      <c r="X217" s="485"/>
      <c r="Y217" s="485"/>
      <c r="Z217" s="485"/>
      <c r="AA217" s="485"/>
      <c r="AB217" s="485"/>
      <c r="AC217" s="485"/>
      <c r="AD217" s="485"/>
      <c r="AE217" s="485"/>
      <c r="AF217" s="485"/>
      <c r="AG217" s="485"/>
      <c r="AH217" s="485"/>
      <c r="AI217" s="485"/>
      <c r="AJ217" s="485"/>
      <c r="AK217" s="485"/>
      <c r="AL217" s="485"/>
      <c r="AM217" s="485"/>
      <c r="AN217" s="485"/>
      <c r="AO217" s="485"/>
      <c r="AP217" s="485"/>
      <c r="AQ217" s="485"/>
      <c r="AR217" s="485"/>
      <c r="AS217" s="485"/>
    </row>
    <row r="218" spans="1:45" x14ac:dyDescent="0.3">
      <c r="A218" s="485"/>
      <c r="B218" s="485"/>
      <c r="C218" s="485"/>
      <c r="D218" s="485"/>
      <c r="E218" s="485"/>
      <c r="F218" s="485"/>
      <c r="G218" s="485"/>
      <c r="H218" s="485"/>
      <c r="I218" s="485"/>
      <c r="J218" s="485"/>
      <c r="K218" s="485"/>
      <c r="L218" s="485"/>
      <c r="M218" s="485"/>
      <c r="N218" s="485"/>
      <c r="O218" s="485"/>
      <c r="P218" s="485"/>
      <c r="Q218" s="485"/>
      <c r="R218" s="485"/>
      <c r="S218" s="485"/>
      <c r="T218" s="485"/>
      <c r="U218" s="485"/>
      <c r="V218" s="485"/>
      <c r="W218" s="485"/>
      <c r="X218" s="485"/>
      <c r="Y218" s="485"/>
      <c r="Z218" s="485"/>
      <c r="AA218" s="485"/>
      <c r="AB218" s="485"/>
      <c r="AC218" s="485"/>
      <c r="AD218" s="485"/>
      <c r="AE218" s="485"/>
      <c r="AF218" s="485"/>
      <c r="AG218" s="485"/>
      <c r="AH218" s="485"/>
      <c r="AI218" s="485"/>
      <c r="AJ218" s="485"/>
      <c r="AK218" s="485"/>
      <c r="AL218" s="485"/>
      <c r="AM218" s="485"/>
      <c r="AN218" s="485"/>
      <c r="AO218" s="485"/>
      <c r="AP218" s="485"/>
      <c r="AQ218" s="485"/>
      <c r="AR218" s="485"/>
      <c r="AS218" s="485"/>
    </row>
  </sheetData>
  <mergeCells count="2562">
    <mergeCell ref="A162:D162"/>
    <mergeCell ref="F162:J162"/>
    <mergeCell ref="L162:O162"/>
    <mergeCell ref="Q162:T162"/>
    <mergeCell ref="V162:Y162"/>
    <mergeCell ref="AA162:AD162"/>
    <mergeCell ref="AF162:AI162"/>
    <mergeCell ref="AK162:AN162"/>
    <mergeCell ref="XDH93:XDI93"/>
    <mergeCell ref="XDJ93:XDK93"/>
    <mergeCell ref="XDL93:XDM93"/>
    <mergeCell ref="XDO93:XDP93"/>
    <mergeCell ref="XDQ93:XDR93"/>
    <mergeCell ref="XDS93:XEZ93"/>
    <mergeCell ref="XFA93:XFB93"/>
    <mergeCell ref="XFC93:XFD93"/>
    <mergeCell ref="XAC93:XAD93"/>
    <mergeCell ref="XAE93:XAF93"/>
    <mergeCell ref="XAG93:XBN93"/>
    <mergeCell ref="XBO93:XBP93"/>
    <mergeCell ref="XBQ93:XBR93"/>
    <mergeCell ref="XBS93:XBT93"/>
    <mergeCell ref="XBV93:XBW93"/>
    <mergeCell ref="XBX93:XBY93"/>
    <mergeCell ref="XBZ93:XDG93"/>
    <mergeCell ref="WYC93:WYD93"/>
    <mergeCell ref="WYE93:WYF93"/>
    <mergeCell ref="WYG93:WYH93"/>
    <mergeCell ref="WYJ93:WYK93"/>
    <mergeCell ref="WYL93:WYM93"/>
    <mergeCell ref="WYN93:WZU93"/>
    <mergeCell ref="WZV93:WZW93"/>
    <mergeCell ref="WZX93:WZY93"/>
    <mergeCell ref="WZZ93:XAA93"/>
    <mergeCell ref="WUX93:WUY93"/>
    <mergeCell ref="WUZ93:WVA93"/>
    <mergeCell ref="WVB93:WWI93"/>
    <mergeCell ref="WWJ93:WWK93"/>
    <mergeCell ref="WWL93:WWM93"/>
    <mergeCell ref="WWN93:WWO93"/>
    <mergeCell ref="WWQ93:WWR93"/>
    <mergeCell ref="WWS93:WWT93"/>
    <mergeCell ref="WWU93:WYB93"/>
    <mergeCell ref="WSX93:WSY93"/>
    <mergeCell ref="WSZ93:WTA93"/>
    <mergeCell ref="WTB93:WTC93"/>
    <mergeCell ref="WTE93:WTF93"/>
    <mergeCell ref="WTG93:WTH93"/>
    <mergeCell ref="WTI93:WUP93"/>
    <mergeCell ref="WUQ93:WUR93"/>
    <mergeCell ref="WUS93:WUT93"/>
    <mergeCell ref="WUU93:WUV93"/>
    <mergeCell ref="WPS93:WPT93"/>
    <mergeCell ref="WPU93:WPV93"/>
    <mergeCell ref="WPW93:WRD93"/>
    <mergeCell ref="WRE93:WRF93"/>
    <mergeCell ref="WRG93:WRH93"/>
    <mergeCell ref="WRI93:WRJ93"/>
    <mergeCell ref="WRL93:WRM93"/>
    <mergeCell ref="WRN93:WRO93"/>
    <mergeCell ref="WRP93:WSW93"/>
    <mergeCell ref="WNS93:WNT93"/>
    <mergeCell ref="WNU93:WNV93"/>
    <mergeCell ref="WNW93:WNX93"/>
    <mergeCell ref="WNZ93:WOA93"/>
    <mergeCell ref="WOB93:WOC93"/>
    <mergeCell ref="WOD93:WPK93"/>
    <mergeCell ref="WPL93:WPM93"/>
    <mergeCell ref="WPN93:WPO93"/>
    <mergeCell ref="WPP93:WPQ93"/>
    <mergeCell ref="WKN93:WKO93"/>
    <mergeCell ref="WKP93:WKQ93"/>
    <mergeCell ref="WKR93:WLY93"/>
    <mergeCell ref="WLZ93:WMA93"/>
    <mergeCell ref="WMB93:WMC93"/>
    <mergeCell ref="WMD93:WME93"/>
    <mergeCell ref="WMG93:WMH93"/>
    <mergeCell ref="WMI93:WMJ93"/>
    <mergeCell ref="WMK93:WNR93"/>
    <mergeCell ref="WIN93:WIO93"/>
    <mergeCell ref="WIP93:WIQ93"/>
    <mergeCell ref="WIR93:WIS93"/>
    <mergeCell ref="WIU93:WIV93"/>
    <mergeCell ref="WIW93:WIX93"/>
    <mergeCell ref="WIY93:WKF93"/>
    <mergeCell ref="WKG93:WKH93"/>
    <mergeCell ref="WKI93:WKJ93"/>
    <mergeCell ref="WKK93:WKL93"/>
    <mergeCell ref="WFI93:WFJ93"/>
    <mergeCell ref="WFK93:WFL93"/>
    <mergeCell ref="WFM93:WGT93"/>
    <mergeCell ref="WGU93:WGV93"/>
    <mergeCell ref="WGW93:WGX93"/>
    <mergeCell ref="WGY93:WGZ93"/>
    <mergeCell ref="WHB93:WHC93"/>
    <mergeCell ref="WHD93:WHE93"/>
    <mergeCell ref="WHF93:WIM93"/>
    <mergeCell ref="WDI93:WDJ93"/>
    <mergeCell ref="WDK93:WDL93"/>
    <mergeCell ref="WDM93:WDN93"/>
    <mergeCell ref="WDP93:WDQ93"/>
    <mergeCell ref="WDR93:WDS93"/>
    <mergeCell ref="WDT93:WFA93"/>
    <mergeCell ref="WFB93:WFC93"/>
    <mergeCell ref="WFD93:WFE93"/>
    <mergeCell ref="WFF93:WFG93"/>
    <mergeCell ref="WAD93:WAE93"/>
    <mergeCell ref="WAF93:WAG93"/>
    <mergeCell ref="WAH93:WBO93"/>
    <mergeCell ref="WBP93:WBQ93"/>
    <mergeCell ref="WBR93:WBS93"/>
    <mergeCell ref="WBT93:WBU93"/>
    <mergeCell ref="WBW93:WBX93"/>
    <mergeCell ref="WBY93:WBZ93"/>
    <mergeCell ref="WCA93:WDH93"/>
    <mergeCell ref="VYD93:VYE93"/>
    <mergeCell ref="VYF93:VYG93"/>
    <mergeCell ref="VYH93:VYI93"/>
    <mergeCell ref="VYK93:VYL93"/>
    <mergeCell ref="VYM93:VYN93"/>
    <mergeCell ref="VYO93:VZV93"/>
    <mergeCell ref="VZW93:VZX93"/>
    <mergeCell ref="VZY93:VZZ93"/>
    <mergeCell ref="WAA93:WAB93"/>
    <mergeCell ref="VUY93:VUZ93"/>
    <mergeCell ref="VVA93:VVB93"/>
    <mergeCell ref="VVC93:VWJ93"/>
    <mergeCell ref="VWK93:VWL93"/>
    <mergeCell ref="VWM93:VWN93"/>
    <mergeCell ref="VWO93:VWP93"/>
    <mergeCell ref="VWR93:VWS93"/>
    <mergeCell ref="VWT93:VWU93"/>
    <mergeCell ref="VWV93:VYC93"/>
    <mergeCell ref="VSY93:VSZ93"/>
    <mergeCell ref="VTA93:VTB93"/>
    <mergeCell ref="VTC93:VTD93"/>
    <mergeCell ref="VTF93:VTG93"/>
    <mergeCell ref="VTH93:VTI93"/>
    <mergeCell ref="VTJ93:VUQ93"/>
    <mergeCell ref="VUR93:VUS93"/>
    <mergeCell ref="VUT93:VUU93"/>
    <mergeCell ref="VUV93:VUW93"/>
    <mergeCell ref="VPT93:VPU93"/>
    <mergeCell ref="VPV93:VPW93"/>
    <mergeCell ref="VPX93:VRE93"/>
    <mergeCell ref="VRF93:VRG93"/>
    <mergeCell ref="VRH93:VRI93"/>
    <mergeCell ref="VRJ93:VRK93"/>
    <mergeCell ref="VRM93:VRN93"/>
    <mergeCell ref="VRO93:VRP93"/>
    <mergeCell ref="VRQ93:VSX93"/>
    <mergeCell ref="VNT93:VNU93"/>
    <mergeCell ref="VNV93:VNW93"/>
    <mergeCell ref="VNX93:VNY93"/>
    <mergeCell ref="VOA93:VOB93"/>
    <mergeCell ref="VOC93:VOD93"/>
    <mergeCell ref="VOE93:VPL93"/>
    <mergeCell ref="VPM93:VPN93"/>
    <mergeCell ref="VPO93:VPP93"/>
    <mergeCell ref="VPQ93:VPR93"/>
    <mergeCell ref="VKO93:VKP93"/>
    <mergeCell ref="VKQ93:VKR93"/>
    <mergeCell ref="VKS93:VLZ93"/>
    <mergeCell ref="VMA93:VMB93"/>
    <mergeCell ref="VMC93:VMD93"/>
    <mergeCell ref="VME93:VMF93"/>
    <mergeCell ref="VMH93:VMI93"/>
    <mergeCell ref="VMJ93:VMK93"/>
    <mergeCell ref="VML93:VNS93"/>
    <mergeCell ref="VIO93:VIP93"/>
    <mergeCell ref="VIQ93:VIR93"/>
    <mergeCell ref="VIS93:VIT93"/>
    <mergeCell ref="VIV93:VIW93"/>
    <mergeCell ref="VIX93:VIY93"/>
    <mergeCell ref="VIZ93:VKG93"/>
    <mergeCell ref="VKH93:VKI93"/>
    <mergeCell ref="VKJ93:VKK93"/>
    <mergeCell ref="VKL93:VKM93"/>
    <mergeCell ref="VFJ93:VFK93"/>
    <mergeCell ref="VFL93:VFM93"/>
    <mergeCell ref="VFN93:VGU93"/>
    <mergeCell ref="VGV93:VGW93"/>
    <mergeCell ref="VGX93:VGY93"/>
    <mergeCell ref="VGZ93:VHA93"/>
    <mergeCell ref="VHC93:VHD93"/>
    <mergeCell ref="VHE93:VHF93"/>
    <mergeCell ref="VHG93:VIN93"/>
    <mergeCell ref="VDJ93:VDK93"/>
    <mergeCell ref="VDL93:VDM93"/>
    <mergeCell ref="VDN93:VDO93"/>
    <mergeCell ref="VDQ93:VDR93"/>
    <mergeCell ref="VDS93:VDT93"/>
    <mergeCell ref="VDU93:VFB93"/>
    <mergeCell ref="VFC93:VFD93"/>
    <mergeCell ref="VFE93:VFF93"/>
    <mergeCell ref="VFG93:VFH93"/>
    <mergeCell ref="VAE93:VAF93"/>
    <mergeCell ref="VAG93:VAH93"/>
    <mergeCell ref="VAI93:VBP93"/>
    <mergeCell ref="VBQ93:VBR93"/>
    <mergeCell ref="VBS93:VBT93"/>
    <mergeCell ref="VBU93:VBV93"/>
    <mergeCell ref="VBX93:VBY93"/>
    <mergeCell ref="VBZ93:VCA93"/>
    <mergeCell ref="VCB93:VDI93"/>
    <mergeCell ref="UYE93:UYF93"/>
    <mergeCell ref="UYG93:UYH93"/>
    <mergeCell ref="UYI93:UYJ93"/>
    <mergeCell ref="UYL93:UYM93"/>
    <mergeCell ref="UYN93:UYO93"/>
    <mergeCell ref="UYP93:UZW93"/>
    <mergeCell ref="UZX93:UZY93"/>
    <mergeCell ref="UZZ93:VAA93"/>
    <mergeCell ref="VAB93:VAC93"/>
    <mergeCell ref="UUZ93:UVA93"/>
    <mergeCell ref="UVB93:UVC93"/>
    <mergeCell ref="UVD93:UWK93"/>
    <mergeCell ref="UWL93:UWM93"/>
    <mergeCell ref="UWN93:UWO93"/>
    <mergeCell ref="UWP93:UWQ93"/>
    <mergeCell ref="UWS93:UWT93"/>
    <mergeCell ref="UWU93:UWV93"/>
    <mergeCell ref="UWW93:UYD93"/>
    <mergeCell ref="USZ93:UTA93"/>
    <mergeCell ref="UTB93:UTC93"/>
    <mergeCell ref="UTD93:UTE93"/>
    <mergeCell ref="UTG93:UTH93"/>
    <mergeCell ref="UTI93:UTJ93"/>
    <mergeCell ref="UTK93:UUR93"/>
    <mergeCell ref="UUS93:UUT93"/>
    <mergeCell ref="UUU93:UUV93"/>
    <mergeCell ref="UUW93:UUX93"/>
    <mergeCell ref="UPU93:UPV93"/>
    <mergeCell ref="UPW93:UPX93"/>
    <mergeCell ref="UPY93:URF93"/>
    <mergeCell ref="URG93:URH93"/>
    <mergeCell ref="URI93:URJ93"/>
    <mergeCell ref="URK93:URL93"/>
    <mergeCell ref="URN93:URO93"/>
    <mergeCell ref="URP93:URQ93"/>
    <mergeCell ref="URR93:USY93"/>
    <mergeCell ref="UNU93:UNV93"/>
    <mergeCell ref="UNW93:UNX93"/>
    <mergeCell ref="UNY93:UNZ93"/>
    <mergeCell ref="UOB93:UOC93"/>
    <mergeCell ref="UOD93:UOE93"/>
    <mergeCell ref="UOF93:UPM93"/>
    <mergeCell ref="UPN93:UPO93"/>
    <mergeCell ref="UPP93:UPQ93"/>
    <mergeCell ref="UPR93:UPS93"/>
    <mergeCell ref="UKP93:UKQ93"/>
    <mergeCell ref="UKR93:UKS93"/>
    <mergeCell ref="UKT93:UMA93"/>
    <mergeCell ref="UMB93:UMC93"/>
    <mergeCell ref="UMD93:UME93"/>
    <mergeCell ref="UMF93:UMG93"/>
    <mergeCell ref="UMI93:UMJ93"/>
    <mergeCell ref="UMK93:UML93"/>
    <mergeCell ref="UMM93:UNT93"/>
    <mergeCell ref="UIP93:UIQ93"/>
    <mergeCell ref="UIR93:UIS93"/>
    <mergeCell ref="UIT93:UIU93"/>
    <mergeCell ref="UIW93:UIX93"/>
    <mergeCell ref="UIY93:UIZ93"/>
    <mergeCell ref="UJA93:UKH93"/>
    <mergeCell ref="UKI93:UKJ93"/>
    <mergeCell ref="UKK93:UKL93"/>
    <mergeCell ref="UKM93:UKN93"/>
    <mergeCell ref="UFK93:UFL93"/>
    <mergeCell ref="UFM93:UFN93"/>
    <mergeCell ref="UFO93:UGV93"/>
    <mergeCell ref="UGW93:UGX93"/>
    <mergeCell ref="UGY93:UGZ93"/>
    <mergeCell ref="UHA93:UHB93"/>
    <mergeCell ref="UHD93:UHE93"/>
    <mergeCell ref="UHF93:UHG93"/>
    <mergeCell ref="UHH93:UIO93"/>
    <mergeCell ref="UDK93:UDL93"/>
    <mergeCell ref="UDM93:UDN93"/>
    <mergeCell ref="UDO93:UDP93"/>
    <mergeCell ref="UDR93:UDS93"/>
    <mergeCell ref="UDT93:UDU93"/>
    <mergeCell ref="UDV93:UFC93"/>
    <mergeCell ref="UFD93:UFE93"/>
    <mergeCell ref="UFF93:UFG93"/>
    <mergeCell ref="UFH93:UFI93"/>
    <mergeCell ref="UAF93:UAG93"/>
    <mergeCell ref="UAH93:UAI93"/>
    <mergeCell ref="UAJ93:UBQ93"/>
    <mergeCell ref="UBR93:UBS93"/>
    <mergeCell ref="UBT93:UBU93"/>
    <mergeCell ref="UBV93:UBW93"/>
    <mergeCell ref="UBY93:UBZ93"/>
    <mergeCell ref="UCA93:UCB93"/>
    <mergeCell ref="UCC93:UDJ93"/>
    <mergeCell ref="TYF93:TYG93"/>
    <mergeCell ref="TYH93:TYI93"/>
    <mergeCell ref="TYJ93:TYK93"/>
    <mergeCell ref="TYM93:TYN93"/>
    <mergeCell ref="TYO93:TYP93"/>
    <mergeCell ref="TYQ93:TZX93"/>
    <mergeCell ref="TZY93:TZZ93"/>
    <mergeCell ref="UAA93:UAB93"/>
    <mergeCell ref="UAC93:UAD93"/>
    <mergeCell ref="TVA93:TVB93"/>
    <mergeCell ref="TVC93:TVD93"/>
    <mergeCell ref="TVE93:TWL93"/>
    <mergeCell ref="TWM93:TWN93"/>
    <mergeCell ref="TWO93:TWP93"/>
    <mergeCell ref="TWQ93:TWR93"/>
    <mergeCell ref="TWT93:TWU93"/>
    <mergeCell ref="TWV93:TWW93"/>
    <mergeCell ref="TWX93:TYE93"/>
    <mergeCell ref="TTA93:TTB93"/>
    <mergeCell ref="TTC93:TTD93"/>
    <mergeCell ref="TTE93:TTF93"/>
    <mergeCell ref="TTH93:TTI93"/>
    <mergeCell ref="TTJ93:TTK93"/>
    <mergeCell ref="TTL93:TUS93"/>
    <mergeCell ref="TUT93:TUU93"/>
    <mergeCell ref="TUV93:TUW93"/>
    <mergeCell ref="TUX93:TUY93"/>
    <mergeCell ref="TPV93:TPW93"/>
    <mergeCell ref="TPX93:TPY93"/>
    <mergeCell ref="TPZ93:TRG93"/>
    <mergeCell ref="TRH93:TRI93"/>
    <mergeCell ref="TRJ93:TRK93"/>
    <mergeCell ref="TRL93:TRM93"/>
    <mergeCell ref="TRO93:TRP93"/>
    <mergeCell ref="TRQ93:TRR93"/>
    <mergeCell ref="TRS93:TSZ93"/>
    <mergeCell ref="TNV93:TNW93"/>
    <mergeCell ref="TNX93:TNY93"/>
    <mergeCell ref="TNZ93:TOA93"/>
    <mergeCell ref="TOC93:TOD93"/>
    <mergeCell ref="TOE93:TOF93"/>
    <mergeCell ref="TOG93:TPN93"/>
    <mergeCell ref="TPO93:TPP93"/>
    <mergeCell ref="TPQ93:TPR93"/>
    <mergeCell ref="TPS93:TPT93"/>
    <mergeCell ref="TKQ93:TKR93"/>
    <mergeCell ref="TKS93:TKT93"/>
    <mergeCell ref="TKU93:TMB93"/>
    <mergeCell ref="TMC93:TMD93"/>
    <mergeCell ref="TME93:TMF93"/>
    <mergeCell ref="TMG93:TMH93"/>
    <mergeCell ref="TMJ93:TMK93"/>
    <mergeCell ref="TML93:TMM93"/>
    <mergeCell ref="TMN93:TNU93"/>
    <mergeCell ref="TIQ93:TIR93"/>
    <mergeCell ref="TIS93:TIT93"/>
    <mergeCell ref="TIU93:TIV93"/>
    <mergeCell ref="TIX93:TIY93"/>
    <mergeCell ref="TIZ93:TJA93"/>
    <mergeCell ref="TJB93:TKI93"/>
    <mergeCell ref="TKJ93:TKK93"/>
    <mergeCell ref="TKL93:TKM93"/>
    <mergeCell ref="TKN93:TKO93"/>
    <mergeCell ref="TFL93:TFM93"/>
    <mergeCell ref="TFN93:TFO93"/>
    <mergeCell ref="TFP93:TGW93"/>
    <mergeCell ref="TGX93:TGY93"/>
    <mergeCell ref="TGZ93:THA93"/>
    <mergeCell ref="THB93:THC93"/>
    <mergeCell ref="THE93:THF93"/>
    <mergeCell ref="THG93:THH93"/>
    <mergeCell ref="THI93:TIP93"/>
    <mergeCell ref="TDL93:TDM93"/>
    <mergeCell ref="TDN93:TDO93"/>
    <mergeCell ref="TDP93:TDQ93"/>
    <mergeCell ref="TDS93:TDT93"/>
    <mergeCell ref="TDU93:TDV93"/>
    <mergeCell ref="TDW93:TFD93"/>
    <mergeCell ref="TFE93:TFF93"/>
    <mergeCell ref="TFG93:TFH93"/>
    <mergeCell ref="TFI93:TFJ93"/>
    <mergeCell ref="TAG93:TAH93"/>
    <mergeCell ref="TAI93:TAJ93"/>
    <mergeCell ref="TAK93:TBR93"/>
    <mergeCell ref="TBS93:TBT93"/>
    <mergeCell ref="TBU93:TBV93"/>
    <mergeCell ref="TBW93:TBX93"/>
    <mergeCell ref="TBZ93:TCA93"/>
    <mergeCell ref="TCB93:TCC93"/>
    <mergeCell ref="TCD93:TDK93"/>
    <mergeCell ref="SYG93:SYH93"/>
    <mergeCell ref="SYI93:SYJ93"/>
    <mergeCell ref="SYK93:SYL93"/>
    <mergeCell ref="SYN93:SYO93"/>
    <mergeCell ref="SYP93:SYQ93"/>
    <mergeCell ref="SYR93:SZY93"/>
    <mergeCell ref="SZZ93:TAA93"/>
    <mergeCell ref="TAB93:TAC93"/>
    <mergeCell ref="TAD93:TAE93"/>
    <mergeCell ref="SVB93:SVC93"/>
    <mergeCell ref="SVD93:SVE93"/>
    <mergeCell ref="SVF93:SWM93"/>
    <mergeCell ref="SWN93:SWO93"/>
    <mergeCell ref="SWP93:SWQ93"/>
    <mergeCell ref="SWR93:SWS93"/>
    <mergeCell ref="SWU93:SWV93"/>
    <mergeCell ref="SWW93:SWX93"/>
    <mergeCell ref="SWY93:SYF93"/>
    <mergeCell ref="STB93:STC93"/>
    <mergeCell ref="STD93:STE93"/>
    <mergeCell ref="STF93:STG93"/>
    <mergeCell ref="STI93:STJ93"/>
    <mergeCell ref="STK93:STL93"/>
    <mergeCell ref="STM93:SUT93"/>
    <mergeCell ref="SUU93:SUV93"/>
    <mergeCell ref="SUW93:SUX93"/>
    <mergeCell ref="SUY93:SUZ93"/>
    <mergeCell ref="SPW93:SPX93"/>
    <mergeCell ref="SPY93:SPZ93"/>
    <mergeCell ref="SQA93:SRH93"/>
    <mergeCell ref="SRI93:SRJ93"/>
    <mergeCell ref="SRK93:SRL93"/>
    <mergeCell ref="SRM93:SRN93"/>
    <mergeCell ref="SRP93:SRQ93"/>
    <mergeCell ref="SRR93:SRS93"/>
    <mergeCell ref="SRT93:STA93"/>
    <mergeCell ref="SNW93:SNX93"/>
    <mergeCell ref="SNY93:SNZ93"/>
    <mergeCell ref="SOA93:SOB93"/>
    <mergeCell ref="SOD93:SOE93"/>
    <mergeCell ref="SOF93:SOG93"/>
    <mergeCell ref="SOH93:SPO93"/>
    <mergeCell ref="SPP93:SPQ93"/>
    <mergeCell ref="SPR93:SPS93"/>
    <mergeCell ref="SPT93:SPU93"/>
    <mergeCell ref="SKR93:SKS93"/>
    <mergeCell ref="SKT93:SKU93"/>
    <mergeCell ref="SKV93:SMC93"/>
    <mergeCell ref="SMD93:SME93"/>
    <mergeCell ref="SMF93:SMG93"/>
    <mergeCell ref="SMH93:SMI93"/>
    <mergeCell ref="SMK93:SML93"/>
    <mergeCell ref="SMM93:SMN93"/>
    <mergeCell ref="SMO93:SNV93"/>
    <mergeCell ref="SIR93:SIS93"/>
    <mergeCell ref="SIT93:SIU93"/>
    <mergeCell ref="SIV93:SIW93"/>
    <mergeCell ref="SIY93:SIZ93"/>
    <mergeCell ref="SJA93:SJB93"/>
    <mergeCell ref="SJC93:SKJ93"/>
    <mergeCell ref="SKK93:SKL93"/>
    <mergeCell ref="SKM93:SKN93"/>
    <mergeCell ref="SKO93:SKP93"/>
    <mergeCell ref="SFM93:SFN93"/>
    <mergeCell ref="SFO93:SFP93"/>
    <mergeCell ref="SFQ93:SGX93"/>
    <mergeCell ref="SGY93:SGZ93"/>
    <mergeCell ref="SHA93:SHB93"/>
    <mergeCell ref="SHC93:SHD93"/>
    <mergeCell ref="SHF93:SHG93"/>
    <mergeCell ref="SHH93:SHI93"/>
    <mergeCell ref="SHJ93:SIQ93"/>
    <mergeCell ref="SDM93:SDN93"/>
    <mergeCell ref="SDO93:SDP93"/>
    <mergeCell ref="SDQ93:SDR93"/>
    <mergeCell ref="SDT93:SDU93"/>
    <mergeCell ref="SDV93:SDW93"/>
    <mergeCell ref="SDX93:SFE93"/>
    <mergeCell ref="SFF93:SFG93"/>
    <mergeCell ref="SFH93:SFI93"/>
    <mergeCell ref="SFJ93:SFK93"/>
    <mergeCell ref="SAH93:SAI93"/>
    <mergeCell ref="SAJ93:SAK93"/>
    <mergeCell ref="SAL93:SBS93"/>
    <mergeCell ref="SBT93:SBU93"/>
    <mergeCell ref="SBV93:SBW93"/>
    <mergeCell ref="SBX93:SBY93"/>
    <mergeCell ref="SCA93:SCB93"/>
    <mergeCell ref="SCC93:SCD93"/>
    <mergeCell ref="SCE93:SDL93"/>
    <mergeCell ref="RYH93:RYI93"/>
    <mergeCell ref="RYJ93:RYK93"/>
    <mergeCell ref="RYL93:RYM93"/>
    <mergeCell ref="RYO93:RYP93"/>
    <mergeCell ref="RYQ93:RYR93"/>
    <mergeCell ref="RYS93:RZZ93"/>
    <mergeCell ref="SAA93:SAB93"/>
    <mergeCell ref="SAC93:SAD93"/>
    <mergeCell ref="SAE93:SAF93"/>
    <mergeCell ref="RVC93:RVD93"/>
    <mergeCell ref="RVE93:RVF93"/>
    <mergeCell ref="RVG93:RWN93"/>
    <mergeCell ref="RWO93:RWP93"/>
    <mergeCell ref="RWQ93:RWR93"/>
    <mergeCell ref="RWS93:RWT93"/>
    <mergeCell ref="RWV93:RWW93"/>
    <mergeCell ref="RWX93:RWY93"/>
    <mergeCell ref="RWZ93:RYG93"/>
    <mergeCell ref="RTC93:RTD93"/>
    <mergeCell ref="RTE93:RTF93"/>
    <mergeCell ref="RTG93:RTH93"/>
    <mergeCell ref="RTJ93:RTK93"/>
    <mergeCell ref="RTL93:RTM93"/>
    <mergeCell ref="RTN93:RUU93"/>
    <mergeCell ref="RUV93:RUW93"/>
    <mergeCell ref="RUX93:RUY93"/>
    <mergeCell ref="RUZ93:RVA93"/>
    <mergeCell ref="RPX93:RPY93"/>
    <mergeCell ref="RPZ93:RQA93"/>
    <mergeCell ref="RQB93:RRI93"/>
    <mergeCell ref="RRJ93:RRK93"/>
    <mergeCell ref="RRL93:RRM93"/>
    <mergeCell ref="RRN93:RRO93"/>
    <mergeCell ref="RRQ93:RRR93"/>
    <mergeCell ref="RRS93:RRT93"/>
    <mergeCell ref="RRU93:RTB93"/>
    <mergeCell ref="RNX93:RNY93"/>
    <mergeCell ref="RNZ93:ROA93"/>
    <mergeCell ref="ROB93:ROC93"/>
    <mergeCell ref="ROE93:ROF93"/>
    <mergeCell ref="ROG93:ROH93"/>
    <mergeCell ref="ROI93:RPP93"/>
    <mergeCell ref="RPQ93:RPR93"/>
    <mergeCell ref="RPS93:RPT93"/>
    <mergeCell ref="RPU93:RPV93"/>
    <mergeCell ref="RKS93:RKT93"/>
    <mergeCell ref="RKU93:RKV93"/>
    <mergeCell ref="RKW93:RMD93"/>
    <mergeCell ref="RME93:RMF93"/>
    <mergeCell ref="RMG93:RMH93"/>
    <mergeCell ref="RMI93:RMJ93"/>
    <mergeCell ref="RML93:RMM93"/>
    <mergeCell ref="RMN93:RMO93"/>
    <mergeCell ref="RMP93:RNW93"/>
    <mergeCell ref="RIS93:RIT93"/>
    <mergeCell ref="RIU93:RIV93"/>
    <mergeCell ref="RIW93:RIX93"/>
    <mergeCell ref="RIZ93:RJA93"/>
    <mergeCell ref="RJB93:RJC93"/>
    <mergeCell ref="RJD93:RKK93"/>
    <mergeCell ref="RKL93:RKM93"/>
    <mergeCell ref="RKN93:RKO93"/>
    <mergeCell ref="RKP93:RKQ93"/>
    <mergeCell ref="RFN93:RFO93"/>
    <mergeCell ref="RFP93:RFQ93"/>
    <mergeCell ref="RFR93:RGY93"/>
    <mergeCell ref="RGZ93:RHA93"/>
    <mergeCell ref="RHB93:RHC93"/>
    <mergeCell ref="RHD93:RHE93"/>
    <mergeCell ref="RHG93:RHH93"/>
    <mergeCell ref="RHI93:RHJ93"/>
    <mergeCell ref="RHK93:RIR93"/>
    <mergeCell ref="RDN93:RDO93"/>
    <mergeCell ref="RDP93:RDQ93"/>
    <mergeCell ref="RDR93:RDS93"/>
    <mergeCell ref="RDU93:RDV93"/>
    <mergeCell ref="RDW93:RDX93"/>
    <mergeCell ref="RDY93:RFF93"/>
    <mergeCell ref="RFG93:RFH93"/>
    <mergeCell ref="RFI93:RFJ93"/>
    <mergeCell ref="RFK93:RFL93"/>
    <mergeCell ref="RAI93:RAJ93"/>
    <mergeCell ref="RAK93:RAL93"/>
    <mergeCell ref="RAM93:RBT93"/>
    <mergeCell ref="RBU93:RBV93"/>
    <mergeCell ref="RBW93:RBX93"/>
    <mergeCell ref="RBY93:RBZ93"/>
    <mergeCell ref="RCB93:RCC93"/>
    <mergeCell ref="RCD93:RCE93"/>
    <mergeCell ref="RCF93:RDM93"/>
    <mergeCell ref="QYI93:QYJ93"/>
    <mergeCell ref="QYK93:QYL93"/>
    <mergeCell ref="QYM93:QYN93"/>
    <mergeCell ref="QYP93:QYQ93"/>
    <mergeCell ref="QYR93:QYS93"/>
    <mergeCell ref="QYT93:RAA93"/>
    <mergeCell ref="RAB93:RAC93"/>
    <mergeCell ref="RAD93:RAE93"/>
    <mergeCell ref="RAF93:RAG93"/>
    <mergeCell ref="QVD93:QVE93"/>
    <mergeCell ref="QVF93:QVG93"/>
    <mergeCell ref="QVH93:QWO93"/>
    <mergeCell ref="QWP93:QWQ93"/>
    <mergeCell ref="QWR93:QWS93"/>
    <mergeCell ref="QWT93:QWU93"/>
    <mergeCell ref="QWW93:QWX93"/>
    <mergeCell ref="QWY93:QWZ93"/>
    <mergeCell ref="QXA93:QYH93"/>
    <mergeCell ref="QTD93:QTE93"/>
    <mergeCell ref="QTF93:QTG93"/>
    <mergeCell ref="QTH93:QTI93"/>
    <mergeCell ref="QTK93:QTL93"/>
    <mergeCell ref="QTM93:QTN93"/>
    <mergeCell ref="QTO93:QUV93"/>
    <mergeCell ref="QUW93:QUX93"/>
    <mergeCell ref="QUY93:QUZ93"/>
    <mergeCell ref="QVA93:QVB93"/>
    <mergeCell ref="QPY93:QPZ93"/>
    <mergeCell ref="QQA93:QQB93"/>
    <mergeCell ref="QQC93:QRJ93"/>
    <mergeCell ref="QRK93:QRL93"/>
    <mergeCell ref="QRM93:QRN93"/>
    <mergeCell ref="QRO93:QRP93"/>
    <mergeCell ref="QRR93:QRS93"/>
    <mergeCell ref="QRT93:QRU93"/>
    <mergeCell ref="QRV93:QTC93"/>
    <mergeCell ref="QNY93:QNZ93"/>
    <mergeCell ref="QOA93:QOB93"/>
    <mergeCell ref="QOC93:QOD93"/>
    <mergeCell ref="QOF93:QOG93"/>
    <mergeCell ref="QOH93:QOI93"/>
    <mergeCell ref="QOJ93:QPQ93"/>
    <mergeCell ref="QPR93:QPS93"/>
    <mergeCell ref="QPT93:QPU93"/>
    <mergeCell ref="QPV93:QPW93"/>
    <mergeCell ref="QKT93:QKU93"/>
    <mergeCell ref="QKV93:QKW93"/>
    <mergeCell ref="QKX93:QME93"/>
    <mergeCell ref="QMF93:QMG93"/>
    <mergeCell ref="QMH93:QMI93"/>
    <mergeCell ref="QMJ93:QMK93"/>
    <mergeCell ref="QMM93:QMN93"/>
    <mergeCell ref="QMO93:QMP93"/>
    <mergeCell ref="QMQ93:QNX93"/>
    <mergeCell ref="QIT93:QIU93"/>
    <mergeCell ref="QIV93:QIW93"/>
    <mergeCell ref="QIX93:QIY93"/>
    <mergeCell ref="QJA93:QJB93"/>
    <mergeCell ref="QJC93:QJD93"/>
    <mergeCell ref="QJE93:QKL93"/>
    <mergeCell ref="QKM93:QKN93"/>
    <mergeCell ref="QKO93:QKP93"/>
    <mergeCell ref="QKQ93:QKR93"/>
    <mergeCell ref="QFO93:QFP93"/>
    <mergeCell ref="QFQ93:QFR93"/>
    <mergeCell ref="QFS93:QGZ93"/>
    <mergeCell ref="QHA93:QHB93"/>
    <mergeCell ref="QHC93:QHD93"/>
    <mergeCell ref="QHE93:QHF93"/>
    <mergeCell ref="QHH93:QHI93"/>
    <mergeCell ref="QHJ93:QHK93"/>
    <mergeCell ref="QHL93:QIS93"/>
    <mergeCell ref="QDO93:QDP93"/>
    <mergeCell ref="QDQ93:QDR93"/>
    <mergeCell ref="QDS93:QDT93"/>
    <mergeCell ref="QDV93:QDW93"/>
    <mergeCell ref="QDX93:QDY93"/>
    <mergeCell ref="QDZ93:QFG93"/>
    <mergeCell ref="QFH93:QFI93"/>
    <mergeCell ref="QFJ93:QFK93"/>
    <mergeCell ref="QFL93:QFM93"/>
    <mergeCell ref="QAJ93:QAK93"/>
    <mergeCell ref="QAL93:QAM93"/>
    <mergeCell ref="QAN93:QBU93"/>
    <mergeCell ref="QBV93:QBW93"/>
    <mergeCell ref="QBX93:QBY93"/>
    <mergeCell ref="QBZ93:QCA93"/>
    <mergeCell ref="QCC93:QCD93"/>
    <mergeCell ref="QCE93:QCF93"/>
    <mergeCell ref="QCG93:QDN93"/>
    <mergeCell ref="PYJ93:PYK93"/>
    <mergeCell ref="PYL93:PYM93"/>
    <mergeCell ref="PYN93:PYO93"/>
    <mergeCell ref="PYQ93:PYR93"/>
    <mergeCell ref="PYS93:PYT93"/>
    <mergeCell ref="PYU93:QAB93"/>
    <mergeCell ref="QAC93:QAD93"/>
    <mergeCell ref="QAE93:QAF93"/>
    <mergeCell ref="QAG93:QAH93"/>
    <mergeCell ref="PVE93:PVF93"/>
    <mergeCell ref="PVG93:PVH93"/>
    <mergeCell ref="PVI93:PWP93"/>
    <mergeCell ref="PWQ93:PWR93"/>
    <mergeCell ref="PWS93:PWT93"/>
    <mergeCell ref="PWU93:PWV93"/>
    <mergeCell ref="PWX93:PWY93"/>
    <mergeCell ref="PWZ93:PXA93"/>
    <mergeCell ref="PXB93:PYI93"/>
    <mergeCell ref="PTE93:PTF93"/>
    <mergeCell ref="PTG93:PTH93"/>
    <mergeCell ref="PTI93:PTJ93"/>
    <mergeCell ref="PTL93:PTM93"/>
    <mergeCell ref="PTN93:PTO93"/>
    <mergeCell ref="PTP93:PUW93"/>
    <mergeCell ref="PUX93:PUY93"/>
    <mergeCell ref="PUZ93:PVA93"/>
    <mergeCell ref="PVB93:PVC93"/>
    <mergeCell ref="PPZ93:PQA93"/>
    <mergeCell ref="PQB93:PQC93"/>
    <mergeCell ref="PQD93:PRK93"/>
    <mergeCell ref="PRL93:PRM93"/>
    <mergeCell ref="PRN93:PRO93"/>
    <mergeCell ref="PRP93:PRQ93"/>
    <mergeCell ref="PRS93:PRT93"/>
    <mergeCell ref="PRU93:PRV93"/>
    <mergeCell ref="PRW93:PTD93"/>
    <mergeCell ref="PNZ93:POA93"/>
    <mergeCell ref="POB93:POC93"/>
    <mergeCell ref="POD93:POE93"/>
    <mergeCell ref="POG93:POH93"/>
    <mergeCell ref="POI93:POJ93"/>
    <mergeCell ref="POK93:PPR93"/>
    <mergeCell ref="PPS93:PPT93"/>
    <mergeCell ref="PPU93:PPV93"/>
    <mergeCell ref="PPW93:PPX93"/>
    <mergeCell ref="PKU93:PKV93"/>
    <mergeCell ref="PKW93:PKX93"/>
    <mergeCell ref="PKY93:PMF93"/>
    <mergeCell ref="PMG93:PMH93"/>
    <mergeCell ref="PMI93:PMJ93"/>
    <mergeCell ref="PMK93:PML93"/>
    <mergeCell ref="PMN93:PMO93"/>
    <mergeCell ref="PMP93:PMQ93"/>
    <mergeCell ref="PMR93:PNY93"/>
    <mergeCell ref="PIU93:PIV93"/>
    <mergeCell ref="PIW93:PIX93"/>
    <mergeCell ref="PIY93:PIZ93"/>
    <mergeCell ref="PJB93:PJC93"/>
    <mergeCell ref="PJD93:PJE93"/>
    <mergeCell ref="PJF93:PKM93"/>
    <mergeCell ref="PKN93:PKO93"/>
    <mergeCell ref="PKP93:PKQ93"/>
    <mergeCell ref="PKR93:PKS93"/>
    <mergeCell ref="PFP93:PFQ93"/>
    <mergeCell ref="PFR93:PFS93"/>
    <mergeCell ref="PFT93:PHA93"/>
    <mergeCell ref="PHB93:PHC93"/>
    <mergeCell ref="PHD93:PHE93"/>
    <mergeCell ref="PHF93:PHG93"/>
    <mergeCell ref="PHI93:PHJ93"/>
    <mergeCell ref="PHK93:PHL93"/>
    <mergeCell ref="PHM93:PIT93"/>
    <mergeCell ref="PDP93:PDQ93"/>
    <mergeCell ref="PDR93:PDS93"/>
    <mergeCell ref="PDT93:PDU93"/>
    <mergeCell ref="PDW93:PDX93"/>
    <mergeCell ref="PDY93:PDZ93"/>
    <mergeCell ref="PEA93:PFH93"/>
    <mergeCell ref="PFI93:PFJ93"/>
    <mergeCell ref="PFK93:PFL93"/>
    <mergeCell ref="PFM93:PFN93"/>
    <mergeCell ref="PAK93:PAL93"/>
    <mergeCell ref="PAM93:PAN93"/>
    <mergeCell ref="PAO93:PBV93"/>
    <mergeCell ref="PBW93:PBX93"/>
    <mergeCell ref="PBY93:PBZ93"/>
    <mergeCell ref="PCA93:PCB93"/>
    <mergeCell ref="PCD93:PCE93"/>
    <mergeCell ref="PCF93:PCG93"/>
    <mergeCell ref="PCH93:PDO93"/>
    <mergeCell ref="OYK93:OYL93"/>
    <mergeCell ref="OYM93:OYN93"/>
    <mergeCell ref="OYO93:OYP93"/>
    <mergeCell ref="OYR93:OYS93"/>
    <mergeCell ref="OYT93:OYU93"/>
    <mergeCell ref="OYV93:PAC93"/>
    <mergeCell ref="PAD93:PAE93"/>
    <mergeCell ref="PAF93:PAG93"/>
    <mergeCell ref="PAH93:PAI93"/>
    <mergeCell ref="OVF93:OVG93"/>
    <mergeCell ref="OVH93:OVI93"/>
    <mergeCell ref="OVJ93:OWQ93"/>
    <mergeCell ref="OWR93:OWS93"/>
    <mergeCell ref="OWT93:OWU93"/>
    <mergeCell ref="OWV93:OWW93"/>
    <mergeCell ref="OWY93:OWZ93"/>
    <mergeCell ref="OXA93:OXB93"/>
    <mergeCell ref="OXC93:OYJ93"/>
    <mergeCell ref="OTF93:OTG93"/>
    <mergeCell ref="OTH93:OTI93"/>
    <mergeCell ref="OTJ93:OTK93"/>
    <mergeCell ref="OTM93:OTN93"/>
    <mergeCell ref="OTO93:OTP93"/>
    <mergeCell ref="OTQ93:OUX93"/>
    <mergeCell ref="OUY93:OUZ93"/>
    <mergeCell ref="OVA93:OVB93"/>
    <mergeCell ref="OVC93:OVD93"/>
    <mergeCell ref="OQA93:OQB93"/>
    <mergeCell ref="OQC93:OQD93"/>
    <mergeCell ref="OQE93:ORL93"/>
    <mergeCell ref="ORM93:ORN93"/>
    <mergeCell ref="ORO93:ORP93"/>
    <mergeCell ref="ORQ93:ORR93"/>
    <mergeCell ref="ORT93:ORU93"/>
    <mergeCell ref="ORV93:ORW93"/>
    <mergeCell ref="ORX93:OTE93"/>
    <mergeCell ref="OOA93:OOB93"/>
    <mergeCell ref="OOC93:OOD93"/>
    <mergeCell ref="OOE93:OOF93"/>
    <mergeCell ref="OOH93:OOI93"/>
    <mergeCell ref="OOJ93:OOK93"/>
    <mergeCell ref="OOL93:OPS93"/>
    <mergeCell ref="OPT93:OPU93"/>
    <mergeCell ref="OPV93:OPW93"/>
    <mergeCell ref="OPX93:OPY93"/>
    <mergeCell ref="OKV93:OKW93"/>
    <mergeCell ref="OKX93:OKY93"/>
    <mergeCell ref="OKZ93:OMG93"/>
    <mergeCell ref="OMH93:OMI93"/>
    <mergeCell ref="OMJ93:OMK93"/>
    <mergeCell ref="OML93:OMM93"/>
    <mergeCell ref="OMO93:OMP93"/>
    <mergeCell ref="OMQ93:OMR93"/>
    <mergeCell ref="OMS93:ONZ93"/>
    <mergeCell ref="OIV93:OIW93"/>
    <mergeCell ref="OIX93:OIY93"/>
    <mergeCell ref="OIZ93:OJA93"/>
    <mergeCell ref="OJC93:OJD93"/>
    <mergeCell ref="OJE93:OJF93"/>
    <mergeCell ref="OJG93:OKN93"/>
    <mergeCell ref="OKO93:OKP93"/>
    <mergeCell ref="OKQ93:OKR93"/>
    <mergeCell ref="OKS93:OKT93"/>
    <mergeCell ref="OFQ93:OFR93"/>
    <mergeCell ref="OFS93:OFT93"/>
    <mergeCell ref="OFU93:OHB93"/>
    <mergeCell ref="OHC93:OHD93"/>
    <mergeCell ref="OHE93:OHF93"/>
    <mergeCell ref="OHG93:OHH93"/>
    <mergeCell ref="OHJ93:OHK93"/>
    <mergeCell ref="OHL93:OHM93"/>
    <mergeCell ref="OHN93:OIU93"/>
    <mergeCell ref="ODQ93:ODR93"/>
    <mergeCell ref="ODS93:ODT93"/>
    <mergeCell ref="ODU93:ODV93"/>
    <mergeCell ref="ODX93:ODY93"/>
    <mergeCell ref="ODZ93:OEA93"/>
    <mergeCell ref="OEB93:OFI93"/>
    <mergeCell ref="OFJ93:OFK93"/>
    <mergeCell ref="OFL93:OFM93"/>
    <mergeCell ref="OFN93:OFO93"/>
    <mergeCell ref="OAL93:OAM93"/>
    <mergeCell ref="OAN93:OAO93"/>
    <mergeCell ref="OAP93:OBW93"/>
    <mergeCell ref="OBX93:OBY93"/>
    <mergeCell ref="OBZ93:OCA93"/>
    <mergeCell ref="OCB93:OCC93"/>
    <mergeCell ref="OCE93:OCF93"/>
    <mergeCell ref="OCG93:OCH93"/>
    <mergeCell ref="OCI93:ODP93"/>
    <mergeCell ref="NYL93:NYM93"/>
    <mergeCell ref="NYN93:NYO93"/>
    <mergeCell ref="NYP93:NYQ93"/>
    <mergeCell ref="NYS93:NYT93"/>
    <mergeCell ref="NYU93:NYV93"/>
    <mergeCell ref="NYW93:OAD93"/>
    <mergeCell ref="OAE93:OAF93"/>
    <mergeCell ref="OAG93:OAH93"/>
    <mergeCell ref="OAI93:OAJ93"/>
    <mergeCell ref="NVG93:NVH93"/>
    <mergeCell ref="NVI93:NVJ93"/>
    <mergeCell ref="NVK93:NWR93"/>
    <mergeCell ref="NWS93:NWT93"/>
    <mergeCell ref="NWU93:NWV93"/>
    <mergeCell ref="NWW93:NWX93"/>
    <mergeCell ref="NWZ93:NXA93"/>
    <mergeCell ref="NXB93:NXC93"/>
    <mergeCell ref="NXD93:NYK93"/>
    <mergeCell ref="NTG93:NTH93"/>
    <mergeCell ref="NTI93:NTJ93"/>
    <mergeCell ref="NTK93:NTL93"/>
    <mergeCell ref="NTN93:NTO93"/>
    <mergeCell ref="NTP93:NTQ93"/>
    <mergeCell ref="NTR93:NUY93"/>
    <mergeCell ref="NUZ93:NVA93"/>
    <mergeCell ref="NVB93:NVC93"/>
    <mergeCell ref="NVD93:NVE93"/>
    <mergeCell ref="NQB93:NQC93"/>
    <mergeCell ref="NQD93:NQE93"/>
    <mergeCell ref="NQF93:NRM93"/>
    <mergeCell ref="NRN93:NRO93"/>
    <mergeCell ref="NRP93:NRQ93"/>
    <mergeCell ref="NRR93:NRS93"/>
    <mergeCell ref="NRU93:NRV93"/>
    <mergeCell ref="NRW93:NRX93"/>
    <mergeCell ref="NRY93:NTF93"/>
    <mergeCell ref="NOB93:NOC93"/>
    <mergeCell ref="NOD93:NOE93"/>
    <mergeCell ref="NOF93:NOG93"/>
    <mergeCell ref="NOI93:NOJ93"/>
    <mergeCell ref="NOK93:NOL93"/>
    <mergeCell ref="NOM93:NPT93"/>
    <mergeCell ref="NPU93:NPV93"/>
    <mergeCell ref="NPW93:NPX93"/>
    <mergeCell ref="NPY93:NPZ93"/>
    <mergeCell ref="NKW93:NKX93"/>
    <mergeCell ref="NKY93:NKZ93"/>
    <mergeCell ref="NLA93:NMH93"/>
    <mergeCell ref="NMI93:NMJ93"/>
    <mergeCell ref="NMK93:NML93"/>
    <mergeCell ref="NMM93:NMN93"/>
    <mergeCell ref="NMP93:NMQ93"/>
    <mergeCell ref="NMR93:NMS93"/>
    <mergeCell ref="NMT93:NOA93"/>
    <mergeCell ref="NIW93:NIX93"/>
    <mergeCell ref="NIY93:NIZ93"/>
    <mergeCell ref="NJA93:NJB93"/>
    <mergeCell ref="NJD93:NJE93"/>
    <mergeCell ref="NJF93:NJG93"/>
    <mergeCell ref="NJH93:NKO93"/>
    <mergeCell ref="NKP93:NKQ93"/>
    <mergeCell ref="NKR93:NKS93"/>
    <mergeCell ref="NKT93:NKU93"/>
    <mergeCell ref="NFR93:NFS93"/>
    <mergeCell ref="NFT93:NFU93"/>
    <mergeCell ref="NFV93:NHC93"/>
    <mergeCell ref="NHD93:NHE93"/>
    <mergeCell ref="NHF93:NHG93"/>
    <mergeCell ref="NHH93:NHI93"/>
    <mergeCell ref="NHK93:NHL93"/>
    <mergeCell ref="NHM93:NHN93"/>
    <mergeCell ref="NHO93:NIV93"/>
    <mergeCell ref="NDR93:NDS93"/>
    <mergeCell ref="NDT93:NDU93"/>
    <mergeCell ref="NDV93:NDW93"/>
    <mergeCell ref="NDY93:NDZ93"/>
    <mergeCell ref="NEA93:NEB93"/>
    <mergeCell ref="NEC93:NFJ93"/>
    <mergeCell ref="NFK93:NFL93"/>
    <mergeCell ref="NFM93:NFN93"/>
    <mergeCell ref="NFO93:NFP93"/>
    <mergeCell ref="NAM93:NAN93"/>
    <mergeCell ref="NAO93:NAP93"/>
    <mergeCell ref="NAQ93:NBX93"/>
    <mergeCell ref="NBY93:NBZ93"/>
    <mergeCell ref="NCA93:NCB93"/>
    <mergeCell ref="NCC93:NCD93"/>
    <mergeCell ref="NCF93:NCG93"/>
    <mergeCell ref="NCH93:NCI93"/>
    <mergeCell ref="NCJ93:NDQ93"/>
    <mergeCell ref="MYM93:MYN93"/>
    <mergeCell ref="MYO93:MYP93"/>
    <mergeCell ref="MYQ93:MYR93"/>
    <mergeCell ref="MYT93:MYU93"/>
    <mergeCell ref="MYV93:MYW93"/>
    <mergeCell ref="MYX93:NAE93"/>
    <mergeCell ref="NAF93:NAG93"/>
    <mergeCell ref="NAH93:NAI93"/>
    <mergeCell ref="NAJ93:NAK93"/>
    <mergeCell ref="MVH93:MVI93"/>
    <mergeCell ref="MVJ93:MVK93"/>
    <mergeCell ref="MVL93:MWS93"/>
    <mergeCell ref="MWT93:MWU93"/>
    <mergeCell ref="MWV93:MWW93"/>
    <mergeCell ref="MWX93:MWY93"/>
    <mergeCell ref="MXA93:MXB93"/>
    <mergeCell ref="MXC93:MXD93"/>
    <mergeCell ref="MXE93:MYL93"/>
    <mergeCell ref="MTH93:MTI93"/>
    <mergeCell ref="MTJ93:MTK93"/>
    <mergeCell ref="MTL93:MTM93"/>
    <mergeCell ref="MTO93:MTP93"/>
    <mergeCell ref="MTQ93:MTR93"/>
    <mergeCell ref="MTS93:MUZ93"/>
    <mergeCell ref="MVA93:MVB93"/>
    <mergeCell ref="MVC93:MVD93"/>
    <mergeCell ref="MVE93:MVF93"/>
    <mergeCell ref="MQC93:MQD93"/>
    <mergeCell ref="MQE93:MQF93"/>
    <mergeCell ref="MQG93:MRN93"/>
    <mergeCell ref="MRO93:MRP93"/>
    <mergeCell ref="MRQ93:MRR93"/>
    <mergeCell ref="MRS93:MRT93"/>
    <mergeCell ref="MRV93:MRW93"/>
    <mergeCell ref="MRX93:MRY93"/>
    <mergeCell ref="MRZ93:MTG93"/>
    <mergeCell ref="MOC93:MOD93"/>
    <mergeCell ref="MOE93:MOF93"/>
    <mergeCell ref="MOG93:MOH93"/>
    <mergeCell ref="MOJ93:MOK93"/>
    <mergeCell ref="MOL93:MOM93"/>
    <mergeCell ref="MON93:MPU93"/>
    <mergeCell ref="MPV93:MPW93"/>
    <mergeCell ref="MPX93:MPY93"/>
    <mergeCell ref="MPZ93:MQA93"/>
    <mergeCell ref="MKX93:MKY93"/>
    <mergeCell ref="MKZ93:MLA93"/>
    <mergeCell ref="MLB93:MMI93"/>
    <mergeCell ref="MMJ93:MMK93"/>
    <mergeCell ref="MML93:MMM93"/>
    <mergeCell ref="MMN93:MMO93"/>
    <mergeCell ref="MMQ93:MMR93"/>
    <mergeCell ref="MMS93:MMT93"/>
    <mergeCell ref="MMU93:MOB93"/>
    <mergeCell ref="MIX93:MIY93"/>
    <mergeCell ref="MIZ93:MJA93"/>
    <mergeCell ref="MJB93:MJC93"/>
    <mergeCell ref="MJE93:MJF93"/>
    <mergeCell ref="MJG93:MJH93"/>
    <mergeCell ref="MJI93:MKP93"/>
    <mergeCell ref="MKQ93:MKR93"/>
    <mergeCell ref="MKS93:MKT93"/>
    <mergeCell ref="MKU93:MKV93"/>
    <mergeCell ref="MFS93:MFT93"/>
    <mergeCell ref="MFU93:MFV93"/>
    <mergeCell ref="MFW93:MHD93"/>
    <mergeCell ref="MHE93:MHF93"/>
    <mergeCell ref="MHG93:MHH93"/>
    <mergeCell ref="MHI93:MHJ93"/>
    <mergeCell ref="MHL93:MHM93"/>
    <mergeCell ref="MHN93:MHO93"/>
    <mergeCell ref="MHP93:MIW93"/>
    <mergeCell ref="MDS93:MDT93"/>
    <mergeCell ref="MDU93:MDV93"/>
    <mergeCell ref="MDW93:MDX93"/>
    <mergeCell ref="MDZ93:MEA93"/>
    <mergeCell ref="MEB93:MEC93"/>
    <mergeCell ref="MED93:MFK93"/>
    <mergeCell ref="MFL93:MFM93"/>
    <mergeCell ref="MFN93:MFO93"/>
    <mergeCell ref="MFP93:MFQ93"/>
    <mergeCell ref="MAN93:MAO93"/>
    <mergeCell ref="MAP93:MAQ93"/>
    <mergeCell ref="MAR93:MBY93"/>
    <mergeCell ref="MBZ93:MCA93"/>
    <mergeCell ref="MCB93:MCC93"/>
    <mergeCell ref="MCD93:MCE93"/>
    <mergeCell ref="MCG93:MCH93"/>
    <mergeCell ref="MCI93:MCJ93"/>
    <mergeCell ref="MCK93:MDR93"/>
    <mergeCell ref="LYN93:LYO93"/>
    <mergeCell ref="LYP93:LYQ93"/>
    <mergeCell ref="LYR93:LYS93"/>
    <mergeCell ref="LYU93:LYV93"/>
    <mergeCell ref="LYW93:LYX93"/>
    <mergeCell ref="LYY93:MAF93"/>
    <mergeCell ref="MAG93:MAH93"/>
    <mergeCell ref="MAI93:MAJ93"/>
    <mergeCell ref="MAK93:MAL93"/>
    <mergeCell ref="LVI93:LVJ93"/>
    <mergeCell ref="LVK93:LVL93"/>
    <mergeCell ref="LVM93:LWT93"/>
    <mergeCell ref="LWU93:LWV93"/>
    <mergeCell ref="LWW93:LWX93"/>
    <mergeCell ref="LWY93:LWZ93"/>
    <mergeCell ref="LXB93:LXC93"/>
    <mergeCell ref="LXD93:LXE93"/>
    <mergeCell ref="LXF93:LYM93"/>
    <mergeCell ref="LTI93:LTJ93"/>
    <mergeCell ref="LTK93:LTL93"/>
    <mergeCell ref="LTM93:LTN93"/>
    <mergeCell ref="LTP93:LTQ93"/>
    <mergeCell ref="LTR93:LTS93"/>
    <mergeCell ref="LTT93:LVA93"/>
    <mergeCell ref="LVB93:LVC93"/>
    <mergeCell ref="LVD93:LVE93"/>
    <mergeCell ref="LVF93:LVG93"/>
    <mergeCell ref="LQD93:LQE93"/>
    <mergeCell ref="LQF93:LQG93"/>
    <mergeCell ref="LQH93:LRO93"/>
    <mergeCell ref="LRP93:LRQ93"/>
    <mergeCell ref="LRR93:LRS93"/>
    <mergeCell ref="LRT93:LRU93"/>
    <mergeCell ref="LRW93:LRX93"/>
    <mergeCell ref="LRY93:LRZ93"/>
    <mergeCell ref="LSA93:LTH93"/>
    <mergeCell ref="LOD93:LOE93"/>
    <mergeCell ref="LOF93:LOG93"/>
    <mergeCell ref="LOH93:LOI93"/>
    <mergeCell ref="LOK93:LOL93"/>
    <mergeCell ref="LOM93:LON93"/>
    <mergeCell ref="LOO93:LPV93"/>
    <mergeCell ref="LPW93:LPX93"/>
    <mergeCell ref="LPY93:LPZ93"/>
    <mergeCell ref="LQA93:LQB93"/>
    <mergeCell ref="LKY93:LKZ93"/>
    <mergeCell ref="LLA93:LLB93"/>
    <mergeCell ref="LLC93:LMJ93"/>
    <mergeCell ref="LMK93:LML93"/>
    <mergeCell ref="LMM93:LMN93"/>
    <mergeCell ref="LMO93:LMP93"/>
    <mergeCell ref="LMR93:LMS93"/>
    <mergeCell ref="LMT93:LMU93"/>
    <mergeCell ref="LMV93:LOC93"/>
    <mergeCell ref="LIY93:LIZ93"/>
    <mergeCell ref="LJA93:LJB93"/>
    <mergeCell ref="LJC93:LJD93"/>
    <mergeCell ref="LJF93:LJG93"/>
    <mergeCell ref="LJH93:LJI93"/>
    <mergeCell ref="LJJ93:LKQ93"/>
    <mergeCell ref="LKR93:LKS93"/>
    <mergeCell ref="LKT93:LKU93"/>
    <mergeCell ref="LKV93:LKW93"/>
    <mergeCell ref="LFT93:LFU93"/>
    <mergeCell ref="LFV93:LFW93"/>
    <mergeCell ref="LFX93:LHE93"/>
    <mergeCell ref="LHF93:LHG93"/>
    <mergeCell ref="LHH93:LHI93"/>
    <mergeCell ref="LHJ93:LHK93"/>
    <mergeCell ref="LHM93:LHN93"/>
    <mergeCell ref="LHO93:LHP93"/>
    <mergeCell ref="LHQ93:LIX93"/>
    <mergeCell ref="LDT93:LDU93"/>
    <mergeCell ref="LDV93:LDW93"/>
    <mergeCell ref="LDX93:LDY93"/>
    <mergeCell ref="LEA93:LEB93"/>
    <mergeCell ref="LEC93:LED93"/>
    <mergeCell ref="LEE93:LFL93"/>
    <mergeCell ref="LFM93:LFN93"/>
    <mergeCell ref="LFO93:LFP93"/>
    <mergeCell ref="LFQ93:LFR93"/>
    <mergeCell ref="LAO93:LAP93"/>
    <mergeCell ref="LAQ93:LAR93"/>
    <mergeCell ref="LAS93:LBZ93"/>
    <mergeCell ref="LCA93:LCB93"/>
    <mergeCell ref="LCC93:LCD93"/>
    <mergeCell ref="LCE93:LCF93"/>
    <mergeCell ref="LCH93:LCI93"/>
    <mergeCell ref="LCJ93:LCK93"/>
    <mergeCell ref="LCL93:LDS93"/>
    <mergeCell ref="KYO93:KYP93"/>
    <mergeCell ref="KYQ93:KYR93"/>
    <mergeCell ref="KYS93:KYT93"/>
    <mergeCell ref="KYV93:KYW93"/>
    <mergeCell ref="KYX93:KYY93"/>
    <mergeCell ref="KYZ93:LAG93"/>
    <mergeCell ref="LAH93:LAI93"/>
    <mergeCell ref="LAJ93:LAK93"/>
    <mergeCell ref="LAL93:LAM93"/>
    <mergeCell ref="KVJ93:KVK93"/>
    <mergeCell ref="KVL93:KVM93"/>
    <mergeCell ref="KVN93:KWU93"/>
    <mergeCell ref="KWV93:KWW93"/>
    <mergeCell ref="KWX93:KWY93"/>
    <mergeCell ref="KWZ93:KXA93"/>
    <mergeCell ref="KXC93:KXD93"/>
    <mergeCell ref="KXE93:KXF93"/>
    <mergeCell ref="KXG93:KYN93"/>
    <mergeCell ref="KTJ93:KTK93"/>
    <mergeCell ref="KTL93:KTM93"/>
    <mergeCell ref="KTN93:KTO93"/>
    <mergeCell ref="KTQ93:KTR93"/>
    <mergeCell ref="KTS93:KTT93"/>
    <mergeCell ref="KTU93:KVB93"/>
    <mergeCell ref="KVC93:KVD93"/>
    <mergeCell ref="KVE93:KVF93"/>
    <mergeCell ref="KVG93:KVH93"/>
    <mergeCell ref="KQE93:KQF93"/>
    <mergeCell ref="KQG93:KQH93"/>
    <mergeCell ref="KQI93:KRP93"/>
    <mergeCell ref="KRQ93:KRR93"/>
    <mergeCell ref="KRS93:KRT93"/>
    <mergeCell ref="KRU93:KRV93"/>
    <mergeCell ref="KRX93:KRY93"/>
    <mergeCell ref="KRZ93:KSA93"/>
    <mergeCell ref="KSB93:KTI93"/>
    <mergeCell ref="KOE93:KOF93"/>
    <mergeCell ref="KOG93:KOH93"/>
    <mergeCell ref="KOI93:KOJ93"/>
    <mergeCell ref="KOL93:KOM93"/>
    <mergeCell ref="KON93:KOO93"/>
    <mergeCell ref="KOP93:KPW93"/>
    <mergeCell ref="KPX93:KPY93"/>
    <mergeCell ref="KPZ93:KQA93"/>
    <mergeCell ref="KQB93:KQC93"/>
    <mergeCell ref="KKZ93:KLA93"/>
    <mergeCell ref="KLB93:KLC93"/>
    <mergeCell ref="KLD93:KMK93"/>
    <mergeCell ref="KML93:KMM93"/>
    <mergeCell ref="KMN93:KMO93"/>
    <mergeCell ref="KMP93:KMQ93"/>
    <mergeCell ref="KMS93:KMT93"/>
    <mergeCell ref="KMU93:KMV93"/>
    <mergeCell ref="KMW93:KOD93"/>
    <mergeCell ref="KIZ93:KJA93"/>
    <mergeCell ref="KJB93:KJC93"/>
    <mergeCell ref="KJD93:KJE93"/>
    <mergeCell ref="KJG93:KJH93"/>
    <mergeCell ref="KJI93:KJJ93"/>
    <mergeCell ref="KJK93:KKR93"/>
    <mergeCell ref="KKS93:KKT93"/>
    <mergeCell ref="KKU93:KKV93"/>
    <mergeCell ref="KKW93:KKX93"/>
    <mergeCell ref="KFU93:KFV93"/>
    <mergeCell ref="KFW93:KFX93"/>
    <mergeCell ref="KFY93:KHF93"/>
    <mergeCell ref="KHG93:KHH93"/>
    <mergeCell ref="KHI93:KHJ93"/>
    <mergeCell ref="KHK93:KHL93"/>
    <mergeCell ref="KHN93:KHO93"/>
    <mergeCell ref="KHP93:KHQ93"/>
    <mergeCell ref="KHR93:KIY93"/>
    <mergeCell ref="KDU93:KDV93"/>
    <mergeCell ref="KDW93:KDX93"/>
    <mergeCell ref="KDY93:KDZ93"/>
    <mergeCell ref="KEB93:KEC93"/>
    <mergeCell ref="KED93:KEE93"/>
    <mergeCell ref="KEF93:KFM93"/>
    <mergeCell ref="KFN93:KFO93"/>
    <mergeCell ref="KFP93:KFQ93"/>
    <mergeCell ref="KFR93:KFS93"/>
    <mergeCell ref="KAP93:KAQ93"/>
    <mergeCell ref="KAR93:KAS93"/>
    <mergeCell ref="KAT93:KCA93"/>
    <mergeCell ref="KCB93:KCC93"/>
    <mergeCell ref="KCD93:KCE93"/>
    <mergeCell ref="KCF93:KCG93"/>
    <mergeCell ref="KCI93:KCJ93"/>
    <mergeCell ref="KCK93:KCL93"/>
    <mergeCell ref="KCM93:KDT93"/>
    <mergeCell ref="JYP93:JYQ93"/>
    <mergeCell ref="JYR93:JYS93"/>
    <mergeCell ref="JYT93:JYU93"/>
    <mergeCell ref="JYW93:JYX93"/>
    <mergeCell ref="JYY93:JYZ93"/>
    <mergeCell ref="JZA93:KAH93"/>
    <mergeCell ref="KAI93:KAJ93"/>
    <mergeCell ref="KAK93:KAL93"/>
    <mergeCell ref="KAM93:KAN93"/>
    <mergeCell ref="JVK93:JVL93"/>
    <mergeCell ref="JVM93:JVN93"/>
    <mergeCell ref="JVO93:JWV93"/>
    <mergeCell ref="JWW93:JWX93"/>
    <mergeCell ref="JWY93:JWZ93"/>
    <mergeCell ref="JXA93:JXB93"/>
    <mergeCell ref="JXD93:JXE93"/>
    <mergeCell ref="JXF93:JXG93"/>
    <mergeCell ref="JXH93:JYO93"/>
    <mergeCell ref="JTK93:JTL93"/>
    <mergeCell ref="JTM93:JTN93"/>
    <mergeCell ref="JTO93:JTP93"/>
    <mergeCell ref="JTR93:JTS93"/>
    <mergeCell ref="JTT93:JTU93"/>
    <mergeCell ref="JTV93:JVC93"/>
    <mergeCell ref="JVD93:JVE93"/>
    <mergeCell ref="JVF93:JVG93"/>
    <mergeCell ref="JVH93:JVI93"/>
    <mergeCell ref="JQF93:JQG93"/>
    <mergeCell ref="JQH93:JQI93"/>
    <mergeCell ref="JQJ93:JRQ93"/>
    <mergeCell ref="JRR93:JRS93"/>
    <mergeCell ref="JRT93:JRU93"/>
    <mergeCell ref="JRV93:JRW93"/>
    <mergeCell ref="JRY93:JRZ93"/>
    <mergeCell ref="JSA93:JSB93"/>
    <mergeCell ref="JSC93:JTJ93"/>
    <mergeCell ref="JOF93:JOG93"/>
    <mergeCell ref="JOH93:JOI93"/>
    <mergeCell ref="JOJ93:JOK93"/>
    <mergeCell ref="JOM93:JON93"/>
    <mergeCell ref="JOO93:JOP93"/>
    <mergeCell ref="JOQ93:JPX93"/>
    <mergeCell ref="JPY93:JPZ93"/>
    <mergeCell ref="JQA93:JQB93"/>
    <mergeCell ref="JQC93:JQD93"/>
    <mergeCell ref="JLA93:JLB93"/>
    <mergeCell ref="JLC93:JLD93"/>
    <mergeCell ref="JLE93:JML93"/>
    <mergeCell ref="JMM93:JMN93"/>
    <mergeCell ref="JMO93:JMP93"/>
    <mergeCell ref="JMQ93:JMR93"/>
    <mergeCell ref="JMT93:JMU93"/>
    <mergeCell ref="JMV93:JMW93"/>
    <mergeCell ref="JMX93:JOE93"/>
    <mergeCell ref="JJA93:JJB93"/>
    <mergeCell ref="JJC93:JJD93"/>
    <mergeCell ref="JJE93:JJF93"/>
    <mergeCell ref="JJH93:JJI93"/>
    <mergeCell ref="JJJ93:JJK93"/>
    <mergeCell ref="JJL93:JKS93"/>
    <mergeCell ref="JKT93:JKU93"/>
    <mergeCell ref="JKV93:JKW93"/>
    <mergeCell ref="JKX93:JKY93"/>
    <mergeCell ref="JFV93:JFW93"/>
    <mergeCell ref="JFX93:JFY93"/>
    <mergeCell ref="JFZ93:JHG93"/>
    <mergeCell ref="JHH93:JHI93"/>
    <mergeCell ref="JHJ93:JHK93"/>
    <mergeCell ref="JHL93:JHM93"/>
    <mergeCell ref="JHO93:JHP93"/>
    <mergeCell ref="JHQ93:JHR93"/>
    <mergeCell ref="JHS93:JIZ93"/>
    <mergeCell ref="JDV93:JDW93"/>
    <mergeCell ref="JDX93:JDY93"/>
    <mergeCell ref="JDZ93:JEA93"/>
    <mergeCell ref="JEC93:JED93"/>
    <mergeCell ref="JEE93:JEF93"/>
    <mergeCell ref="JEG93:JFN93"/>
    <mergeCell ref="JFO93:JFP93"/>
    <mergeCell ref="JFQ93:JFR93"/>
    <mergeCell ref="JFS93:JFT93"/>
    <mergeCell ref="JAQ93:JAR93"/>
    <mergeCell ref="JAS93:JAT93"/>
    <mergeCell ref="JAU93:JCB93"/>
    <mergeCell ref="JCC93:JCD93"/>
    <mergeCell ref="JCE93:JCF93"/>
    <mergeCell ref="JCG93:JCH93"/>
    <mergeCell ref="JCJ93:JCK93"/>
    <mergeCell ref="JCL93:JCM93"/>
    <mergeCell ref="JCN93:JDU93"/>
    <mergeCell ref="IYQ93:IYR93"/>
    <mergeCell ref="IYS93:IYT93"/>
    <mergeCell ref="IYU93:IYV93"/>
    <mergeCell ref="IYX93:IYY93"/>
    <mergeCell ref="IYZ93:IZA93"/>
    <mergeCell ref="IZB93:JAI93"/>
    <mergeCell ref="JAJ93:JAK93"/>
    <mergeCell ref="JAL93:JAM93"/>
    <mergeCell ref="JAN93:JAO93"/>
    <mergeCell ref="IVL93:IVM93"/>
    <mergeCell ref="IVN93:IVO93"/>
    <mergeCell ref="IVP93:IWW93"/>
    <mergeCell ref="IWX93:IWY93"/>
    <mergeCell ref="IWZ93:IXA93"/>
    <mergeCell ref="IXB93:IXC93"/>
    <mergeCell ref="IXE93:IXF93"/>
    <mergeCell ref="IXG93:IXH93"/>
    <mergeCell ref="IXI93:IYP93"/>
    <mergeCell ref="ITL93:ITM93"/>
    <mergeCell ref="ITN93:ITO93"/>
    <mergeCell ref="ITP93:ITQ93"/>
    <mergeCell ref="ITS93:ITT93"/>
    <mergeCell ref="ITU93:ITV93"/>
    <mergeCell ref="ITW93:IVD93"/>
    <mergeCell ref="IVE93:IVF93"/>
    <mergeCell ref="IVG93:IVH93"/>
    <mergeCell ref="IVI93:IVJ93"/>
    <mergeCell ref="IQG93:IQH93"/>
    <mergeCell ref="IQI93:IQJ93"/>
    <mergeCell ref="IQK93:IRR93"/>
    <mergeCell ref="IRS93:IRT93"/>
    <mergeCell ref="IRU93:IRV93"/>
    <mergeCell ref="IRW93:IRX93"/>
    <mergeCell ref="IRZ93:ISA93"/>
    <mergeCell ref="ISB93:ISC93"/>
    <mergeCell ref="ISD93:ITK93"/>
    <mergeCell ref="IOG93:IOH93"/>
    <mergeCell ref="IOI93:IOJ93"/>
    <mergeCell ref="IOK93:IOL93"/>
    <mergeCell ref="ION93:IOO93"/>
    <mergeCell ref="IOP93:IOQ93"/>
    <mergeCell ref="IOR93:IPY93"/>
    <mergeCell ref="IPZ93:IQA93"/>
    <mergeCell ref="IQB93:IQC93"/>
    <mergeCell ref="IQD93:IQE93"/>
    <mergeCell ref="ILB93:ILC93"/>
    <mergeCell ref="ILD93:ILE93"/>
    <mergeCell ref="ILF93:IMM93"/>
    <mergeCell ref="IMN93:IMO93"/>
    <mergeCell ref="IMP93:IMQ93"/>
    <mergeCell ref="IMR93:IMS93"/>
    <mergeCell ref="IMU93:IMV93"/>
    <mergeCell ref="IMW93:IMX93"/>
    <mergeCell ref="IMY93:IOF93"/>
    <mergeCell ref="IJB93:IJC93"/>
    <mergeCell ref="IJD93:IJE93"/>
    <mergeCell ref="IJF93:IJG93"/>
    <mergeCell ref="IJI93:IJJ93"/>
    <mergeCell ref="IJK93:IJL93"/>
    <mergeCell ref="IJM93:IKT93"/>
    <mergeCell ref="IKU93:IKV93"/>
    <mergeCell ref="IKW93:IKX93"/>
    <mergeCell ref="IKY93:IKZ93"/>
    <mergeCell ref="IFW93:IFX93"/>
    <mergeCell ref="IFY93:IFZ93"/>
    <mergeCell ref="IGA93:IHH93"/>
    <mergeCell ref="IHI93:IHJ93"/>
    <mergeCell ref="IHK93:IHL93"/>
    <mergeCell ref="IHM93:IHN93"/>
    <mergeCell ref="IHP93:IHQ93"/>
    <mergeCell ref="IHR93:IHS93"/>
    <mergeCell ref="IHT93:IJA93"/>
    <mergeCell ref="IDW93:IDX93"/>
    <mergeCell ref="IDY93:IDZ93"/>
    <mergeCell ref="IEA93:IEB93"/>
    <mergeCell ref="IED93:IEE93"/>
    <mergeCell ref="IEF93:IEG93"/>
    <mergeCell ref="IEH93:IFO93"/>
    <mergeCell ref="IFP93:IFQ93"/>
    <mergeCell ref="IFR93:IFS93"/>
    <mergeCell ref="IFT93:IFU93"/>
    <mergeCell ref="IAR93:IAS93"/>
    <mergeCell ref="IAT93:IAU93"/>
    <mergeCell ref="IAV93:ICC93"/>
    <mergeCell ref="ICD93:ICE93"/>
    <mergeCell ref="ICF93:ICG93"/>
    <mergeCell ref="ICH93:ICI93"/>
    <mergeCell ref="ICK93:ICL93"/>
    <mergeCell ref="ICM93:ICN93"/>
    <mergeCell ref="ICO93:IDV93"/>
    <mergeCell ref="HYR93:HYS93"/>
    <mergeCell ref="HYT93:HYU93"/>
    <mergeCell ref="HYV93:HYW93"/>
    <mergeCell ref="HYY93:HYZ93"/>
    <mergeCell ref="HZA93:HZB93"/>
    <mergeCell ref="HZC93:IAJ93"/>
    <mergeCell ref="IAK93:IAL93"/>
    <mergeCell ref="IAM93:IAN93"/>
    <mergeCell ref="IAO93:IAP93"/>
    <mergeCell ref="HVM93:HVN93"/>
    <mergeCell ref="HVO93:HVP93"/>
    <mergeCell ref="HVQ93:HWX93"/>
    <mergeCell ref="HWY93:HWZ93"/>
    <mergeCell ref="HXA93:HXB93"/>
    <mergeCell ref="HXC93:HXD93"/>
    <mergeCell ref="HXF93:HXG93"/>
    <mergeCell ref="HXH93:HXI93"/>
    <mergeCell ref="HXJ93:HYQ93"/>
    <mergeCell ref="HTM93:HTN93"/>
    <mergeCell ref="HTO93:HTP93"/>
    <mergeCell ref="HTQ93:HTR93"/>
    <mergeCell ref="HTT93:HTU93"/>
    <mergeCell ref="HTV93:HTW93"/>
    <mergeCell ref="HTX93:HVE93"/>
    <mergeCell ref="HVF93:HVG93"/>
    <mergeCell ref="HVH93:HVI93"/>
    <mergeCell ref="HVJ93:HVK93"/>
    <mergeCell ref="HQH93:HQI93"/>
    <mergeCell ref="HQJ93:HQK93"/>
    <mergeCell ref="HQL93:HRS93"/>
    <mergeCell ref="HRT93:HRU93"/>
    <mergeCell ref="HRV93:HRW93"/>
    <mergeCell ref="HRX93:HRY93"/>
    <mergeCell ref="HSA93:HSB93"/>
    <mergeCell ref="HSC93:HSD93"/>
    <mergeCell ref="HSE93:HTL93"/>
    <mergeCell ref="HOH93:HOI93"/>
    <mergeCell ref="HOJ93:HOK93"/>
    <mergeCell ref="HOL93:HOM93"/>
    <mergeCell ref="HOO93:HOP93"/>
    <mergeCell ref="HOQ93:HOR93"/>
    <mergeCell ref="HOS93:HPZ93"/>
    <mergeCell ref="HQA93:HQB93"/>
    <mergeCell ref="HQC93:HQD93"/>
    <mergeCell ref="HQE93:HQF93"/>
    <mergeCell ref="HLC93:HLD93"/>
    <mergeCell ref="HLE93:HLF93"/>
    <mergeCell ref="HLG93:HMN93"/>
    <mergeCell ref="HMO93:HMP93"/>
    <mergeCell ref="HMQ93:HMR93"/>
    <mergeCell ref="HMS93:HMT93"/>
    <mergeCell ref="HMV93:HMW93"/>
    <mergeCell ref="HMX93:HMY93"/>
    <mergeCell ref="HMZ93:HOG93"/>
    <mergeCell ref="HJC93:HJD93"/>
    <mergeCell ref="HJE93:HJF93"/>
    <mergeCell ref="HJG93:HJH93"/>
    <mergeCell ref="HJJ93:HJK93"/>
    <mergeCell ref="HJL93:HJM93"/>
    <mergeCell ref="HJN93:HKU93"/>
    <mergeCell ref="HKV93:HKW93"/>
    <mergeCell ref="HKX93:HKY93"/>
    <mergeCell ref="HKZ93:HLA93"/>
    <mergeCell ref="HFX93:HFY93"/>
    <mergeCell ref="HFZ93:HGA93"/>
    <mergeCell ref="HGB93:HHI93"/>
    <mergeCell ref="HHJ93:HHK93"/>
    <mergeCell ref="HHL93:HHM93"/>
    <mergeCell ref="HHN93:HHO93"/>
    <mergeCell ref="HHQ93:HHR93"/>
    <mergeCell ref="HHS93:HHT93"/>
    <mergeCell ref="HHU93:HJB93"/>
    <mergeCell ref="HDX93:HDY93"/>
    <mergeCell ref="HDZ93:HEA93"/>
    <mergeCell ref="HEB93:HEC93"/>
    <mergeCell ref="HEE93:HEF93"/>
    <mergeCell ref="HEG93:HEH93"/>
    <mergeCell ref="HEI93:HFP93"/>
    <mergeCell ref="HFQ93:HFR93"/>
    <mergeCell ref="HFS93:HFT93"/>
    <mergeCell ref="HFU93:HFV93"/>
    <mergeCell ref="HAS93:HAT93"/>
    <mergeCell ref="HAU93:HAV93"/>
    <mergeCell ref="HAW93:HCD93"/>
    <mergeCell ref="HCE93:HCF93"/>
    <mergeCell ref="HCG93:HCH93"/>
    <mergeCell ref="HCI93:HCJ93"/>
    <mergeCell ref="HCL93:HCM93"/>
    <mergeCell ref="HCN93:HCO93"/>
    <mergeCell ref="HCP93:HDW93"/>
    <mergeCell ref="GYS93:GYT93"/>
    <mergeCell ref="GYU93:GYV93"/>
    <mergeCell ref="GYW93:GYX93"/>
    <mergeCell ref="GYZ93:GZA93"/>
    <mergeCell ref="GZB93:GZC93"/>
    <mergeCell ref="GZD93:HAK93"/>
    <mergeCell ref="HAL93:HAM93"/>
    <mergeCell ref="HAN93:HAO93"/>
    <mergeCell ref="HAP93:HAQ93"/>
    <mergeCell ref="GVN93:GVO93"/>
    <mergeCell ref="GVP93:GVQ93"/>
    <mergeCell ref="GVR93:GWY93"/>
    <mergeCell ref="GWZ93:GXA93"/>
    <mergeCell ref="GXB93:GXC93"/>
    <mergeCell ref="GXD93:GXE93"/>
    <mergeCell ref="GXG93:GXH93"/>
    <mergeCell ref="GXI93:GXJ93"/>
    <mergeCell ref="GXK93:GYR93"/>
    <mergeCell ref="GTN93:GTO93"/>
    <mergeCell ref="GTP93:GTQ93"/>
    <mergeCell ref="GTR93:GTS93"/>
    <mergeCell ref="GTU93:GTV93"/>
    <mergeCell ref="GTW93:GTX93"/>
    <mergeCell ref="GTY93:GVF93"/>
    <mergeCell ref="GVG93:GVH93"/>
    <mergeCell ref="GVI93:GVJ93"/>
    <mergeCell ref="GVK93:GVL93"/>
    <mergeCell ref="GQI93:GQJ93"/>
    <mergeCell ref="GQK93:GQL93"/>
    <mergeCell ref="GQM93:GRT93"/>
    <mergeCell ref="GRU93:GRV93"/>
    <mergeCell ref="GRW93:GRX93"/>
    <mergeCell ref="GRY93:GRZ93"/>
    <mergeCell ref="GSB93:GSC93"/>
    <mergeCell ref="GSD93:GSE93"/>
    <mergeCell ref="GSF93:GTM93"/>
    <mergeCell ref="GOI93:GOJ93"/>
    <mergeCell ref="GOK93:GOL93"/>
    <mergeCell ref="GOM93:GON93"/>
    <mergeCell ref="GOP93:GOQ93"/>
    <mergeCell ref="GOR93:GOS93"/>
    <mergeCell ref="GOT93:GQA93"/>
    <mergeCell ref="GQB93:GQC93"/>
    <mergeCell ref="GQD93:GQE93"/>
    <mergeCell ref="GQF93:GQG93"/>
    <mergeCell ref="GLD93:GLE93"/>
    <mergeCell ref="GLF93:GLG93"/>
    <mergeCell ref="GLH93:GMO93"/>
    <mergeCell ref="GMP93:GMQ93"/>
    <mergeCell ref="GMR93:GMS93"/>
    <mergeCell ref="GMT93:GMU93"/>
    <mergeCell ref="GMW93:GMX93"/>
    <mergeCell ref="GMY93:GMZ93"/>
    <mergeCell ref="GNA93:GOH93"/>
    <mergeCell ref="GJD93:GJE93"/>
    <mergeCell ref="GJF93:GJG93"/>
    <mergeCell ref="GJH93:GJI93"/>
    <mergeCell ref="GJK93:GJL93"/>
    <mergeCell ref="GJM93:GJN93"/>
    <mergeCell ref="GJO93:GKV93"/>
    <mergeCell ref="GKW93:GKX93"/>
    <mergeCell ref="GKY93:GKZ93"/>
    <mergeCell ref="GLA93:GLB93"/>
    <mergeCell ref="GFY93:GFZ93"/>
    <mergeCell ref="GGA93:GGB93"/>
    <mergeCell ref="GGC93:GHJ93"/>
    <mergeCell ref="GHK93:GHL93"/>
    <mergeCell ref="GHM93:GHN93"/>
    <mergeCell ref="GHO93:GHP93"/>
    <mergeCell ref="GHR93:GHS93"/>
    <mergeCell ref="GHT93:GHU93"/>
    <mergeCell ref="GHV93:GJC93"/>
    <mergeCell ref="GDY93:GDZ93"/>
    <mergeCell ref="GEA93:GEB93"/>
    <mergeCell ref="GEC93:GED93"/>
    <mergeCell ref="GEF93:GEG93"/>
    <mergeCell ref="GEH93:GEI93"/>
    <mergeCell ref="GEJ93:GFQ93"/>
    <mergeCell ref="GFR93:GFS93"/>
    <mergeCell ref="GFT93:GFU93"/>
    <mergeCell ref="GFV93:GFW93"/>
    <mergeCell ref="GAT93:GAU93"/>
    <mergeCell ref="GAV93:GAW93"/>
    <mergeCell ref="GAX93:GCE93"/>
    <mergeCell ref="GCF93:GCG93"/>
    <mergeCell ref="GCH93:GCI93"/>
    <mergeCell ref="GCJ93:GCK93"/>
    <mergeCell ref="GCM93:GCN93"/>
    <mergeCell ref="GCO93:GCP93"/>
    <mergeCell ref="GCQ93:GDX93"/>
    <mergeCell ref="FYT93:FYU93"/>
    <mergeCell ref="FYV93:FYW93"/>
    <mergeCell ref="FYX93:FYY93"/>
    <mergeCell ref="FZA93:FZB93"/>
    <mergeCell ref="FZC93:FZD93"/>
    <mergeCell ref="FZE93:GAL93"/>
    <mergeCell ref="GAM93:GAN93"/>
    <mergeCell ref="GAO93:GAP93"/>
    <mergeCell ref="GAQ93:GAR93"/>
    <mergeCell ref="FVO93:FVP93"/>
    <mergeCell ref="FVQ93:FVR93"/>
    <mergeCell ref="FVS93:FWZ93"/>
    <mergeCell ref="FXA93:FXB93"/>
    <mergeCell ref="FXC93:FXD93"/>
    <mergeCell ref="FXE93:FXF93"/>
    <mergeCell ref="FXH93:FXI93"/>
    <mergeCell ref="FXJ93:FXK93"/>
    <mergeCell ref="FXL93:FYS93"/>
    <mergeCell ref="FTO93:FTP93"/>
    <mergeCell ref="FTQ93:FTR93"/>
    <mergeCell ref="FTS93:FTT93"/>
    <mergeCell ref="FTV93:FTW93"/>
    <mergeCell ref="FTX93:FTY93"/>
    <mergeCell ref="FTZ93:FVG93"/>
    <mergeCell ref="FVH93:FVI93"/>
    <mergeCell ref="FVJ93:FVK93"/>
    <mergeCell ref="FVL93:FVM93"/>
    <mergeCell ref="FQJ93:FQK93"/>
    <mergeCell ref="FQL93:FQM93"/>
    <mergeCell ref="FQN93:FRU93"/>
    <mergeCell ref="FRV93:FRW93"/>
    <mergeCell ref="FRX93:FRY93"/>
    <mergeCell ref="FRZ93:FSA93"/>
    <mergeCell ref="FSC93:FSD93"/>
    <mergeCell ref="FSE93:FSF93"/>
    <mergeCell ref="FSG93:FTN93"/>
    <mergeCell ref="FOJ93:FOK93"/>
    <mergeCell ref="FOL93:FOM93"/>
    <mergeCell ref="FON93:FOO93"/>
    <mergeCell ref="FOQ93:FOR93"/>
    <mergeCell ref="FOS93:FOT93"/>
    <mergeCell ref="FOU93:FQB93"/>
    <mergeCell ref="FQC93:FQD93"/>
    <mergeCell ref="FQE93:FQF93"/>
    <mergeCell ref="FQG93:FQH93"/>
    <mergeCell ref="FLE93:FLF93"/>
    <mergeCell ref="FLG93:FLH93"/>
    <mergeCell ref="FLI93:FMP93"/>
    <mergeCell ref="FMQ93:FMR93"/>
    <mergeCell ref="FMS93:FMT93"/>
    <mergeCell ref="FMU93:FMV93"/>
    <mergeCell ref="FMX93:FMY93"/>
    <mergeCell ref="FMZ93:FNA93"/>
    <mergeCell ref="FNB93:FOI93"/>
    <mergeCell ref="FJE93:FJF93"/>
    <mergeCell ref="FJG93:FJH93"/>
    <mergeCell ref="FJI93:FJJ93"/>
    <mergeCell ref="FJL93:FJM93"/>
    <mergeCell ref="FJN93:FJO93"/>
    <mergeCell ref="FJP93:FKW93"/>
    <mergeCell ref="FKX93:FKY93"/>
    <mergeCell ref="FKZ93:FLA93"/>
    <mergeCell ref="FLB93:FLC93"/>
    <mergeCell ref="FFZ93:FGA93"/>
    <mergeCell ref="FGB93:FGC93"/>
    <mergeCell ref="FGD93:FHK93"/>
    <mergeCell ref="FHL93:FHM93"/>
    <mergeCell ref="FHN93:FHO93"/>
    <mergeCell ref="FHP93:FHQ93"/>
    <mergeCell ref="FHS93:FHT93"/>
    <mergeCell ref="FHU93:FHV93"/>
    <mergeCell ref="FHW93:FJD93"/>
    <mergeCell ref="FDZ93:FEA93"/>
    <mergeCell ref="FEB93:FEC93"/>
    <mergeCell ref="FED93:FEE93"/>
    <mergeCell ref="FEG93:FEH93"/>
    <mergeCell ref="FEI93:FEJ93"/>
    <mergeCell ref="FEK93:FFR93"/>
    <mergeCell ref="FFS93:FFT93"/>
    <mergeCell ref="FFU93:FFV93"/>
    <mergeCell ref="FFW93:FFX93"/>
    <mergeCell ref="FAU93:FAV93"/>
    <mergeCell ref="FAW93:FAX93"/>
    <mergeCell ref="FAY93:FCF93"/>
    <mergeCell ref="FCG93:FCH93"/>
    <mergeCell ref="FCI93:FCJ93"/>
    <mergeCell ref="FCK93:FCL93"/>
    <mergeCell ref="FCN93:FCO93"/>
    <mergeCell ref="FCP93:FCQ93"/>
    <mergeCell ref="FCR93:FDY93"/>
    <mergeCell ref="EYU93:EYV93"/>
    <mergeCell ref="EYW93:EYX93"/>
    <mergeCell ref="EYY93:EYZ93"/>
    <mergeCell ref="EZB93:EZC93"/>
    <mergeCell ref="EZD93:EZE93"/>
    <mergeCell ref="EZF93:FAM93"/>
    <mergeCell ref="FAN93:FAO93"/>
    <mergeCell ref="FAP93:FAQ93"/>
    <mergeCell ref="FAR93:FAS93"/>
    <mergeCell ref="EVP93:EVQ93"/>
    <mergeCell ref="EVR93:EVS93"/>
    <mergeCell ref="EVT93:EXA93"/>
    <mergeCell ref="EXB93:EXC93"/>
    <mergeCell ref="EXD93:EXE93"/>
    <mergeCell ref="EXF93:EXG93"/>
    <mergeCell ref="EXI93:EXJ93"/>
    <mergeCell ref="EXK93:EXL93"/>
    <mergeCell ref="EXM93:EYT93"/>
    <mergeCell ref="ETP93:ETQ93"/>
    <mergeCell ref="ETR93:ETS93"/>
    <mergeCell ref="ETT93:ETU93"/>
    <mergeCell ref="ETW93:ETX93"/>
    <mergeCell ref="ETY93:ETZ93"/>
    <mergeCell ref="EUA93:EVH93"/>
    <mergeCell ref="EVI93:EVJ93"/>
    <mergeCell ref="EVK93:EVL93"/>
    <mergeCell ref="EVM93:EVN93"/>
    <mergeCell ref="EQK93:EQL93"/>
    <mergeCell ref="EQM93:EQN93"/>
    <mergeCell ref="EQO93:ERV93"/>
    <mergeCell ref="ERW93:ERX93"/>
    <mergeCell ref="ERY93:ERZ93"/>
    <mergeCell ref="ESA93:ESB93"/>
    <mergeCell ref="ESD93:ESE93"/>
    <mergeCell ref="ESF93:ESG93"/>
    <mergeCell ref="ESH93:ETO93"/>
    <mergeCell ref="EOK93:EOL93"/>
    <mergeCell ref="EOM93:EON93"/>
    <mergeCell ref="EOO93:EOP93"/>
    <mergeCell ref="EOR93:EOS93"/>
    <mergeCell ref="EOT93:EOU93"/>
    <mergeCell ref="EOV93:EQC93"/>
    <mergeCell ref="EQD93:EQE93"/>
    <mergeCell ref="EQF93:EQG93"/>
    <mergeCell ref="EQH93:EQI93"/>
    <mergeCell ref="ELF93:ELG93"/>
    <mergeCell ref="ELH93:ELI93"/>
    <mergeCell ref="ELJ93:EMQ93"/>
    <mergeCell ref="EMR93:EMS93"/>
    <mergeCell ref="EMT93:EMU93"/>
    <mergeCell ref="EMV93:EMW93"/>
    <mergeCell ref="EMY93:EMZ93"/>
    <mergeCell ref="ENA93:ENB93"/>
    <mergeCell ref="ENC93:EOJ93"/>
    <mergeCell ref="EJF93:EJG93"/>
    <mergeCell ref="EJH93:EJI93"/>
    <mergeCell ref="EJJ93:EJK93"/>
    <mergeCell ref="EJM93:EJN93"/>
    <mergeCell ref="EJO93:EJP93"/>
    <mergeCell ref="EJQ93:EKX93"/>
    <mergeCell ref="EKY93:EKZ93"/>
    <mergeCell ref="ELA93:ELB93"/>
    <mergeCell ref="ELC93:ELD93"/>
    <mergeCell ref="EGA93:EGB93"/>
    <mergeCell ref="EGC93:EGD93"/>
    <mergeCell ref="EGE93:EHL93"/>
    <mergeCell ref="EHM93:EHN93"/>
    <mergeCell ref="EHO93:EHP93"/>
    <mergeCell ref="EHQ93:EHR93"/>
    <mergeCell ref="EHT93:EHU93"/>
    <mergeCell ref="EHV93:EHW93"/>
    <mergeCell ref="EHX93:EJE93"/>
    <mergeCell ref="EEA93:EEB93"/>
    <mergeCell ref="EEC93:EED93"/>
    <mergeCell ref="EEE93:EEF93"/>
    <mergeCell ref="EEH93:EEI93"/>
    <mergeCell ref="EEJ93:EEK93"/>
    <mergeCell ref="EEL93:EFS93"/>
    <mergeCell ref="EFT93:EFU93"/>
    <mergeCell ref="EFV93:EFW93"/>
    <mergeCell ref="EFX93:EFY93"/>
    <mergeCell ref="EAV93:EAW93"/>
    <mergeCell ref="EAX93:EAY93"/>
    <mergeCell ref="EAZ93:ECG93"/>
    <mergeCell ref="ECH93:ECI93"/>
    <mergeCell ref="ECJ93:ECK93"/>
    <mergeCell ref="ECL93:ECM93"/>
    <mergeCell ref="ECO93:ECP93"/>
    <mergeCell ref="ECQ93:ECR93"/>
    <mergeCell ref="ECS93:EDZ93"/>
    <mergeCell ref="DYV93:DYW93"/>
    <mergeCell ref="DYX93:DYY93"/>
    <mergeCell ref="DYZ93:DZA93"/>
    <mergeCell ref="DZC93:DZD93"/>
    <mergeCell ref="DZE93:DZF93"/>
    <mergeCell ref="DZG93:EAN93"/>
    <mergeCell ref="EAO93:EAP93"/>
    <mergeCell ref="EAQ93:EAR93"/>
    <mergeCell ref="EAS93:EAT93"/>
    <mergeCell ref="DVQ93:DVR93"/>
    <mergeCell ref="DVS93:DVT93"/>
    <mergeCell ref="DVU93:DXB93"/>
    <mergeCell ref="DXC93:DXD93"/>
    <mergeCell ref="DXE93:DXF93"/>
    <mergeCell ref="DXG93:DXH93"/>
    <mergeCell ref="DXJ93:DXK93"/>
    <mergeCell ref="DXL93:DXM93"/>
    <mergeCell ref="DXN93:DYU93"/>
    <mergeCell ref="DTQ93:DTR93"/>
    <mergeCell ref="DTS93:DTT93"/>
    <mergeCell ref="DTU93:DTV93"/>
    <mergeCell ref="DTX93:DTY93"/>
    <mergeCell ref="DTZ93:DUA93"/>
    <mergeCell ref="DUB93:DVI93"/>
    <mergeCell ref="DVJ93:DVK93"/>
    <mergeCell ref="DVL93:DVM93"/>
    <mergeCell ref="DVN93:DVO93"/>
    <mergeCell ref="DQL93:DQM93"/>
    <mergeCell ref="DQN93:DQO93"/>
    <mergeCell ref="DQP93:DRW93"/>
    <mergeCell ref="DRX93:DRY93"/>
    <mergeCell ref="DRZ93:DSA93"/>
    <mergeCell ref="DSB93:DSC93"/>
    <mergeCell ref="DSE93:DSF93"/>
    <mergeCell ref="DSG93:DSH93"/>
    <mergeCell ref="DSI93:DTP93"/>
    <mergeCell ref="DOL93:DOM93"/>
    <mergeCell ref="DON93:DOO93"/>
    <mergeCell ref="DOP93:DOQ93"/>
    <mergeCell ref="DOS93:DOT93"/>
    <mergeCell ref="DOU93:DOV93"/>
    <mergeCell ref="DOW93:DQD93"/>
    <mergeCell ref="DQE93:DQF93"/>
    <mergeCell ref="DQG93:DQH93"/>
    <mergeCell ref="DQI93:DQJ93"/>
    <mergeCell ref="DLG93:DLH93"/>
    <mergeCell ref="DLI93:DLJ93"/>
    <mergeCell ref="DLK93:DMR93"/>
    <mergeCell ref="DMS93:DMT93"/>
    <mergeCell ref="DMU93:DMV93"/>
    <mergeCell ref="DMW93:DMX93"/>
    <mergeCell ref="DMZ93:DNA93"/>
    <mergeCell ref="DNB93:DNC93"/>
    <mergeCell ref="DND93:DOK93"/>
    <mergeCell ref="DJG93:DJH93"/>
    <mergeCell ref="DJI93:DJJ93"/>
    <mergeCell ref="DJK93:DJL93"/>
    <mergeCell ref="DJN93:DJO93"/>
    <mergeCell ref="DJP93:DJQ93"/>
    <mergeCell ref="DJR93:DKY93"/>
    <mergeCell ref="DKZ93:DLA93"/>
    <mergeCell ref="DLB93:DLC93"/>
    <mergeCell ref="DLD93:DLE93"/>
    <mergeCell ref="DGB93:DGC93"/>
    <mergeCell ref="DGD93:DGE93"/>
    <mergeCell ref="DGF93:DHM93"/>
    <mergeCell ref="DHN93:DHO93"/>
    <mergeCell ref="DHP93:DHQ93"/>
    <mergeCell ref="DHR93:DHS93"/>
    <mergeCell ref="DHU93:DHV93"/>
    <mergeCell ref="DHW93:DHX93"/>
    <mergeCell ref="DHY93:DJF93"/>
    <mergeCell ref="DEB93:DEC93"/>
    <mergeCell ref="DED93:DEE93"/>
    <mergeCell ref="DEF93:DEG93"/>
    <mergeCell ref="DEI93:DEJ93"/>
    <mergeCell ref="DEK93:DEL93"/>
    <mergeCell ref="DEM93:DFT93"/>
    <mergeCell ref="DFU93:DFV93"/>
    <mergeCell ref="DFW93:DFX93"/>
    <mergeCell ref="DFY93:DFZ93"/>
    <mergeCell ref="DAW93:DAX93"/>
    <mergeCell ref="DAY93:DAZ93"/>
    <mergeCell ref="DBA93:DCH93"/>
    <mergeCell ref="DCI93:DCJ93"/>
    <mergeCell ref="DCK93:DCL93"/>
    <mergeCell ref="DCM93:DCN93"/>
    <mergeCell ref="DCP93:DCQ93"/>
    <mergeCell ref="DCR93:DCS93"/>
    <mergeCell ref="DCT93:DEA93"/>
    <mergeCell ref="CYW93:CYX93"/>
    <mergeCell ref="CYY93:CYZ93"/>
    <mergeCell ref="CZA93:CZB93"/>
    <mergeCell ref="CZD93:CZE93"/>
    <mergeCell ref="CZF93:CZG93"/>
    <mergeCell ref="CZH93:DAO93"/>
    <mergeCell ref="DAP93:DAQ93"/>
    <mergeCell ref="DAR93:DAS93"/>
    <mergeCell ref="DAT93:DAU93"/>
    <mergeCell ref="CVR93:CVS93"/>
    <mergeCell ref="CVT93:CVU93"/>
    <mergeCell ref="CVV93:CXC93"/>
    <mergeCell ref="CXD93:CXE93"/>
    <mergeCell ref="CXF93:CXG93"/>
    <mergeCell ref="CXH93:CXI93"/>
    <mergeCell ref="CXK93:CXL93"/>
    <mergeCell ref="CXM93:CXN93"/>
    <mergeCell ref="CXO93:CYV93"/>
    <mergeCell ref="CTR93:CTS93"/>
    <mergeCell ref="CTT93:CTU93"/>
    <mergeCell ref="CTV93:CTW93"/>
    <mergeCell ref="CTY93:CTZ93"/>
    <mergeCell ref="CUA93:CUB93"/>
    <mergeCell ref="CUC93:CVJ93"/>
    <mergeCell ref="CVK93:CVL93"/>
    <mergeCell ref="CVM93:CVN93"/>
    <mergeCell ref="CVO93:CVP93"/>
    <mergeCell ref="CQM93:CQN93"/>
    <mergeCell ref="CQO93:CQP93"/>
    <mergeCell ref="CQQ93:CRX93"/>
    <mergeCell ref="CRY93:CRZ93"/>
    <mergeCell ref="CSA93:CSB93"/>
    <mergeCell ref="CSC93:CSD93"/>
    <mergeCell ref="CSF93:CSG93"/>
    <mergeCell ref="CSH93:CSI93"/>
    <mergeCell ref="CSJ93:CTQ93"/>
    <mergeCell ref="COM93:CON93"/>
    <mergeCell ref="COO93:COP93"/>
    <mergeCell ref="COQ93:COR93"/>
    <mergeCell ref="COT93:COU93"/>
    <mergeCell ref="COV93:COW93"/>
    <mergeCell ref="COX93:CQE93"/>
    <mergeCell ref="CQF93:CQG93"/>
    <mergeCell ref="CQH93:CQI93"/>
    <mergeCell ref="CQJ93:CQK93"/>
    <mergeCell ref="CLH93:CLI93"/>
    <mergeCell ref="CLJ93:CLK93"/>
    <mergeCell ref="CLL93:CMS93"/>
    <mergeCell ref="CMT93:CMU93"/>
    <mergeCell ref="CMV93:CMW93"/>
    <mergeCell ref="CMX93:CMY93"/>
    <mergeCell ref="CNA93:CNB93"/>
    <mergeCell ref="CNC93:CND93"/>
    <mergeCell ref="CNE93:COL93"/>
    <mergeCell ref="CJH93:CJI93"/>
    <mergeCell ref="CJJ93:CJK93"/>
    <mergeCell ref="CJL93:CJM93"/>
    <mergeCell ref="CJO93:CJP93"/>
    <mergeCell ref="CJQ93:CJR93"/>
    <mergeCell ref="CJS93:CKZ93"/>
    <mergeCell ref="CLA93:CLB93"/>
    <mergeCell ref="CLC93:CLD93"/>
    <mergeCell ref="CLE93:CLF93"/>
    <mergeCell ref="CGC93:CGD93"/>
    <mergeCell ref="CGE93:CGF93"/>
    <mergeCell ref="CGG93:CHN93"/>
    <mergeCell ref="CHO93:CHP93"/>
    <mergeCell ref="CHQ93:CHR93"/>
    <mergeCell ref="CHS93:CHT93"/>
    <mergeCell ref="CHV93:CHW93"/>
    <mergeCell ref="CHX93:CHY93"/>
    <mergeCell ref="CHZ93:CJG93"/>
    <mergeCell ref="CEC93:CED93"/>
    <mergeCell ref="CEE93:CEF93"/>
    <mergeCell ref="CEG93:CEH93"/>
    <mergeCell ref="CEJ93:CEK93"/>
    <mergeCell ref="CEL93:CEM93"/>
    <mergeCell ref="CEN93:CFU93"/>
    <mergeCell ref="CFV93:CFW93"/>
    <mergeCell ref="CFX93:CFY93"/>
    <mergeCell ref="CFZ93:CGA93"/>
    <mergeCell ref="CAX93:CAY93"/>
    <mergeCell ref="CAZ93:CBA93"/>
    <mergeCell ref="CBB93:CCI93"/>
    <mergeCell ref="CCJ93:CCK93"/>
    <mergeCell ref="CCL93:CCM93"/>
    <mergeCell ref="CCN93:CCO93"/>
    <mergeCell ref="CCQ93:CCR93"/>
    <mergeCell ref="CCS93:CCT93"/>
    <mergeCell ref="CCU93:CEB93"/>
    <mergeCell ref="BYX93:BYY93"/>
    <mergeCell ref="BYZ93:BZA93"/>
    <mergeCell ref="BZB93:BZC93"/>
    <mergeCell ref="BZE93:BZF93"/>
    <mergeCell ref="BZG93:BZH93"/>
    <mergeCell ref="BZI93:CAP93"/>
    <mergeCell ref="CAQ93:CAR93"/>
    <mergeCell ref="CAS93:CAT93"/>
    <mergeCell ref="CAU93:CAV93"/>
    <mergeCell ref="BVS93:BVT93"/>
    <mergeCell ref="BVU93:BVV93"/>
    <mergeCell ref="BVW93:BXD93"/>
    <mergeCell ref="BXE93:BXF93"/>
    <mergeCell ref="BXG93:BXH93"/>
    <mergeCell ref="BXI93:BXJ93"/>
    <mergeCell ref="BXL93:BXM93"/>
    <mergeCell ref="BXN93:BXO93"/>
    <mergeCell ref="BXP93:BYW93"/>
    <mergeCell ref="BTS93:BTT93"/>
    <mergeCell ref="BTU93:BTV93"/>
    <mergeCell ref="BTW93:BTX93"/>
    <mergeCell ref="BTZ93:BUA93"/>
    <mergeCell ref="BUB93:BUC93"/>
    <mergeCell ref="BUD93:BVK93"/>
    <mergeCell ref="BVL93:BVM93"/>
    <mergeCell ref="BVN93:BVO93"/>
    <mergeCell ref="BVP93:BVQ93"/>
    <mergeCell ref="BQN93:BQO93"/>
    <mergeCell ref="BQP93:BQQ93"/>
    <mergeCell ref="BQR93:BRY93"/>
    <mergeCell ref="BRZ93:BSA93"/>
    <mergeCell ref="BSB93:BSC93"/>
    <mergeCell ref="BSD93:BSE93"/>
    <mergeCell ref="BSG93:BSH93"/>
    <mergeCell ref="BSI93:BSJ93"/>
    <mergeCell ref="BSK93:BTR93"/>
    <mergeCell ref="BON93:BOO93"/>
    <mergeCell ref="BOP93:BOQ93"/>
    <mergeCell ref="BOR93:BOS93"/>
    <mergeCell ref="BOU93:BOV93"/>
    <mergeCell ref="BOW93:BOX93"/>
    <mergeCell ref="BOY93:BQF93"/>
    <mergeCell ref="BQG93:BQH93"/>
    <mergeCell ref="BQI93:BQJ93"/>
    <mergeCell ref="BQK93:BQL93"/>
    <mergeCell ref="BLI93:BLJ93"/>
    <mergeCell ref="BLK93:BLL93"/>
    <mergeCell ref="BLM93:BMT93"/>
    <mergeCell ref="BMU93:BMV93"/>
    <mergeCell ref="BMW93:BMX93"/>
    <mergeCell ref="BMY93:BMZ93"/>
    <mergeCell ref="BNB93:BNC93"/>
    <mergeCell ref="BND93:BNE93"/>
    <mergeCell ref="BNF93:BOM93"/>
    <mergeCell ref="BJI93:BJJ93"/>
    <mergeCell ref="BJK93:BJL93"/>
    <mergeCell ref="BJM93:BJN93"/>
    <mergeCell ref="BJP93:BJQ93"/>
    <mergeCell ref="BJR93:BJS93"/>
    <mergeCell ref="BJT93:BLA93"/>
    <mergeCell ref="BLB93:BLC93"/>
    <mergeCell ref="BLD93:BLE93"/>
    <mergeCell ref="BLF93:BLG93"/>
    <mergeCell ref="BGD93:BGE93"/>
    <mergeCell ref="BGF93:BGG93"/>
    <mergeCell ref="BGH93:BHO93"/>
    <mergeCell ref="BHP93:BHQ93"/>
    <mergeCell ref="BHR93:BHS93"/>
    <mergeCell ref="BHT93:BHU93"/>
    <mergeCell ref="BHW93:BHX93"/>
    <mergeCell ref="BHY93:BHZ93"/>
    <mergeCell ref="BIA93:BJH93"/>
    <mergeCell ref="BED93:BEE93"/>
    <mergeCell ref="BEF93:BEG93"/>
    <mergeCell ref="BEH93:BEI93"/>
    <mergeCell ref="BEK93:BEL93"/>
    <mergeCell ref="BEM93:BEN93"/>
    <mergeCell ref="BEO93:BFV93"/>
    <mergeCell ref="BFW93:BFX93"/>
    <mergeCell ref="BFY93:BFZ93"/>
    <mergeCell ref="BGA93:BGB93"/>
    <mergeCell ref="BAY93:BAZ93"/>
    <mergeCell ref="BBA93:BBB93"/>
    <mergeCell ref="BBC93:BCJ93"/>
    <mergeCell ref="BCK93:BCL93"/>
    <mergeCell ref="BCM93:BCN93"/>
    <mergeCell ref="BCO93:BCP93"/>
    <mergeCell ref="BCR93:BCS93"/>
    <mergeCell ref="BCT93:BCU93"/>
    <mergeCell ref="BCV93:BEC93"/>
    <mergeCell ref="AYY93:AYZ93"/>
    <mergeCell ref="AZA93:AZB93"/>
    <mergeCell ref="AZC93:AZD93"/>
    <mergeCell ref="AZF93:AZG93"/>
    <mergeCell ref="AZH93:AZI93"/>
    <mergeCell ref="AZJ93:BAQ93"/>
    <mergeCell ref="BAR93:BAS93"/>
    <mergeCell ref="BAT93:BAU93"/>
    <mergeCell ref="BAV93:BAW93"/>
    <mergeCell ref="AVT93:AVU93"/>
    <mergeCell ref="AVV93:AVW93"/>
    <mergeCell ref="AVX93:AXE93"/>
    <mergeCell ref="AXF93:AXG93"/>
    <mergeCell ref="AXH93:AXI93"/>
    <mergeCell ref="AXJ93:AXK93"/>
    <mergeCell ref="AXM93:AXN93"/>
    <mergeCell ref="AXO93:AXP93"/>
    <mergeCell ref="AXQ93:AYX93"/>
    <mergeCell ref="ATT93:ATU93"/>
    <mergeCell ref="ATV93:ATW93"/>
    <mergeCell ref="ATX93:ATY93"/>
    <mergeCell ref="AUA93:AUB93"/>
    <mergeCell ref="AUC93:AUD93"/>
    <mergeCell ref="AUE93:AVL93"/>
    <mergeCell ref="AVM93:AVN93"/>
    <mergeCell ref="AVO93:AVP93"/>
    <mergeCell ref="AVQ93:AVR93"/>
    <mergeCell ref="AQO93:AQP93"/>
    <mergeCell ref="AQQ93:AQR93"/>
    <mergeCell ref="AQS93:ARZ93"/>
    <mergeCell ref="ASA93:ASB93"/>
    <mergeCell ref="ASC93:ASD93"/>
    <mergeCell ref="ASE93:ASF93"/>
    <mergeCell ref="ASH93:ASI93"/>
    <mergeCell ref="ASJ93:ASK93"/>
    <mergeCell ref="ASL93:ATS93"/>
    <mergeCell ref="AOO93:AOP93"/>
    <mergeCell ref="AOQ93:AOR93"/>
    <mergeCell ref="AOS93:AOT93"/>
    <mergeCell ref="AOV93:AOW93"/>
    <mergeCell ref="AOX93:AOY93"/>
    <mergeCell ref="AOZ93:AQG93"/>
    <mergeCell ref="AQH93:AQI93"/>
    <mergeCell ref="AQJ93:AQK93"/>
    <mergeCell ref="AQL93:AQM93"/>
    <mergeCell ref="ALJ93:ALK93"/>
    <mergeCell ref="ALL93:ALM93"/>
    <mergeCell ref="ALN93:AMU93"/>
    <mergeCell ref="AMV93:AMW93"/>
    <mergeCell ref="AMX93:AMY93"/>
    <mergeCell ref="AMZ93:ANA93"/>
    <mergeCell ref="ANC93:AND93"/>
    <mergeCell ref="ANE93:ANF93"/>
    <mergeCell ref="ANG93:AON93"/>
    <mergeCell ref="AJJ93:AJK93"/>
    <mergeCell ref="AJL93:AJM93"/>
    <mergeCell ref="AJN93:AJO93"/>
    <mergeCell ref="AJQ93:AJR93"/>
    <mergeCell ref="AJS93:AJT93"/>
    <mergeCell ref="AJU93:ALB93"/>
    <mergeCell ref="ALC93:ALD93"/>
    <mergeCell ref="ALE93:ALF93"/>
    <mergeCell ref="ALG93:ALH93"/>
    <mergeCell ref="AGE93:AGF93"/>
    <mergeCell ref="AGG93:AGH93"/>
    <mergeCell ref="AGI93:AHP93"/>
    <mergeCell ref="AHQ93:AHR93"/>
    <mergeCell ref="AHS93:AHT93"/>
    <mergeCell ref="AHU93:AHV93"/>
    <mergeCell ref="AHX93:AHY93"/>
    <mergeCell ref="AHZ93:AIA93"/>
    <mergeCell ref="AIB93:AJI93"/>
    <mergeCell ref="AEE93:AEF93"/>
    <mergeCell ref="AEG93:AEH93"/>
    <mergeCell ref="AEI93:AEJ93"/>
    <mergeCell ref="AEL93:AEM93"/>
    <mergeCell ref="AEN93:AEO93"/>
    <mergeCell ref="AEP93:AFW93"/>
    <mergeCell ref="AFX93:AFY93"/>
    <mergeCell ref="AFZ93:AGA93"/>
    <mergeCell ref="AGB93:AGC93"/>
    <mergeCell ref="AAZ93:ABA93"/>
    <mergeCell ref="ABB93:ABC93"/>
    <mergeCell ref="ABD93:ACK93"/>
    <mergeCell ref="ACL93:ACM93"/>
    <mergeCell ref="ACN93:ACO93"/>
    <mergeCell ref="ACP93:ACQ93"/>
    <mergeCell ref="ACS93:ACT93"/>
    <mergeCell ref="ACU93:ACV93"/>
    <mergeCell ref="ACW93:AED93"/>
    <mergeCell ref="YZ93:ZA93"/>
    <mergeCell ref="ZB93:ZC93"/>
    <mergeCell ref="ZD93:ZE93"/>
    <mergeCell ref="ZG93:ZH93"/>
    <mergeCell ref="ZI93:ZJ93"/>
    <mergeCell ref="ZK93:AAR93"/>
    <mergeCell ref="AAS93:AAT93"/>
    <mergeCell ref="AAU93:AAV93"/>
    <mergeCell ref="AAW93:AAX93"/>
    <mergeCell ref="VU93:VV93"/>
    <mergeCell ref="VW93:VX93"/>
    <mergeCell ref="VY93:XF93"/>
    <mergeCell ref="XG93:XH93"/>
    <mergeCell ref="XI93:XJ93"/>
    <mergeCell ref="XK93:XL93"/>
    <mergeCell ref="XN93:XO93"/>
    <mergeCell ref="XP93:XQ93"/>
    <mergeCell ref="XR93:YY93"/>
    <mergeCell ref="TU93:TV93"/>
    <mergeCell ref="TW93:TX93"/>
    <mergeCell ref="TY93:TZ93"/>
    <mergeCell ref="UB93:UC93"/>
    <mergeCell ref="UD93:UE93"/>
    <mergeCell ref="UF93:VM93"/>
    <mergeCell ref="VN93:VO93"/>
    <mergeCell ref="VP93:VQ93"/>
    <mergeCell ref="VR93:VS93"/>
    <mergeCell ref="QP93:QQ93"/>
    <mergeCell ref="QR93:QS93"/>
    <mergeCell ref="QT93:SA93"/>
    <mergeCell ref="SB93:SC93"/>
    <mergeCell ref="SD93:SE93"/>
    <mergeCell ref="SF93:SG93"/>
    <mergeCell ref="SI93:SJ93"/>
    <mergeCell ref="SK93:SL93"/>
    <mergeCell ref="SM93:TT93"/>
    <mergeCell ref="OP93:OQ93"/>
    <mergeCell ref="OR93:OS93"/>
    <mergeCell ref="OT93:OU93"/>
    <mergeCell ref="OW93:OX93"/>
    <mergeCell ref="OY93:OZ93"/>
    <mergeCell ref="PA93:QH93"/>
    <mergeCell ref="QI93:QJ93"/>
    <mergeCell ref="QK93:QL93"/>
    <mergeCell ref="QM93:QN93"/>
    <mergeCell ref="LK93:LL93"/>
    <mergeCell ref="LM93:LN93"/>
    <mergeCell ref="LO93:MV93"/>
    <mergeCell ref="MW93:MX93"/>
    <mergeCell ref="MY93:MZ93"/>
    <mergeCell ref="NA93:NB93"/>
    <mergeCell ref="ND93:NE93"/>
    <mergeCell ref="NF93:NG93"/>
    <mergeCell ref="NH93:OO93"/>
    <mergeCell ref="JK93:JL93"/>
    <mergeCell ref="JM93:JN93"/>
    <mergeCell ref="JO93:JP93"/>
    <mergeCell ref="JR93:JS93"/>
    <mergeCell ref="JT93:JU93"/>
    <mergeCell ref="JV93:LC93"/>
    <mergeCell ref="LD93:LE93"/>
    <mergeCell ref="LF93:LG93"/>
    <mergeCell ref="LH93:LI93"/>
    <mergeCell ref="GF93:GG93"/>
    <mergeCell ref="GH93:GI93"/>
    <mergeCell ref="GJ93:HQ93"/>
    <mergeCell ref="HR93:HS93"/>
    <mergeCell ref="HT93:HU93"/>
    <mergeCell ref="HV93:HW93"/>
    <mergeCell ref="HY93:HZ93"/>
    <mergeCell ref="IA93:IB93"/>
    <mergeCell ref="IC93:JJ93"/>
    <mergeCell ref="EF93:EG93"/>
    <mergeCell ref="EH93:EI93"/>
    <mergeCell ref="EJ93:EK93"/>
    <mergeCell ref="EM93:EN93"/>
    <mergeCell ref="EO93:EP93"/>
    <mergeCell ref="EQ93:FX93"/>
    <mergeCell ref="FY93:FZ93"/>
    <mergeCell ref="GA93:GB93"/>
    <mergeCell ref="GC93:GD93"/>
    <mergeCell ref="BA93:BB93"/>
    <mergeCell ref="BC93:BD93"/>
    <mergeCell ref="BE93:CL93"/>
    <mergeCell ref="CM93:CN93"/>
    <mergeCell ref="CO93:CP93"/>
    <mergeCell ref="CQ93:CR93"/>
    <mergeCell ref="CT93:CU93"/>
    <mergeCell ref="CV93:CW93"/>
    <mergeCell ref="CX93:EE93"/>
    <mergeCell ref="AT93:AU93"/>
    <mergeCell ref="AV93:AW93"/>
    <mergeCell ref="AX93:AY93"/>
    <mergeCell ref="A170:H170"/>
    <mergeCell ref="I170:O170"/>
    <mergeCell ref="P170:V170"/>
    <mergeCell ref="W170:AC170"/>
    <mergeCell ref="AD170:AJ170"/>
    <mergeCell ref="AK170:AM170"/>
    <mergeCell ref="AN170:AP170"/>
    <mergeCell ref="AQ170:AS170"/>
    <mergeCell ref="AF163:AJ163"/>
    <mergeCell ref="AK163:AO163"/>
    <mergeCell ref="A165:H165"/>
    <mergeCell ref="I165:O165"/>
    <mergeCell ref="P165:V165"/>
    <mergeCell ref="W165:AC165"/>
    <mergeCell ref="A166:H166"/>
    <mergeCell ref="I166:O166"/>
    <mergeCell ref="P166:V166"/>
    <mergeCell ref="W166:AC166"/>
    <mergeCell ref="AD166:AJ166"/>
    <mergeCell ref="AK166:AM166"/>
    <mergeCell ref="A195:H195"/>
    <mergeCell ref="I195:O195"/>
    <mergeCell ref="P195:V195"/>
    <mergeCell ref="W195:AC195"/>
    <mergeCell ref="AD194:AJ194"/>
    <mergeCell ref="AK194:AM194"/>
    <mergeCell ref="AN194:AP194"/>
    <mergeCell ref="A193:H193"/>
    <mergeCell ref="A171:H171"/>
    <mergeCell ref="I171:O171"/>
    <mergeCell ref="P171:V171"/>
    <mergeCell ref="W171:AC171"/>
    <mergeCell ref="AD171:AJ171"/>
    <mergeCell ref="AK171:AM171"/>
    <mergeCell ref="AN171:AP171"/>
    <mergeCell ref="A167:H167"/>
    <mergeCell ref="I167:O167"/>
    <mergeCell ref="P167:V167"/>
    <mergeCell ref="W167:AC167"/>
    <mergeCell ref="AD167:AJ167"/>
    <mergeCell ref="AK167:AM167"/>
    <mergeCell ref="AN167:AP167"/>
    <mergeCell ref="A168:H168"/>
    <mergeCell ref="I168:O168"/>
    <mergeCell ref="P168:V168"/>
    <mergeCell ref="P186:V186"/>
    <mergeCell ref="W186:AC186"/>
    <mergeCell ref="AD186:AJ186"/>
    <mergeCell ref="AK186:AM186"/>
    <mergeCell ref="AN186:AP186"/>
    <mergeCell ref="AK183:AM183"/>
    <mergeCell ref="A185:H185"/>
    <mergeCell ref="A199:H199"/>
    <mergeCell ref="I199:O199"/>
    <mergeCell ref="P199:V199"/>
    <mergeCell ref="W199:AC199"/>
    <mergeCell ref="A198:H198"/>
    <mergeCell ref="A206:J206"/>
    <mergeCell ref="A201:H201"/>
    <mergeCell ref="I201:O201"/>
    <mergeCell ref="P201:V201"/>
    <mergeCell ref="W201:AC201"/>
    <mergeCell ref="I198:O198"/>
    <mergeCell ref="P198:V198"/>
    <mergeCell ref="W198:AC198"/>
    <mergeCell ref="AD198:AS198"/>
    <mergeCell ref="AD199:AS199"/>
    <mergeCell ref="A204:J204"/>
    <mergeCell ref="K204:Q204"/>
    <mergeCell ref="R204:X204"/>
    <mergeCell ref="Y204:AE204"/>
    <mergeCell ref="AF204:AL204"/>
    <mergeCell ref="AM204:AS204"/>
    <mergeCell ref="A205:J205"/>
    <mergeCell ref="A188:H188"/>
    <mergeCell ref="AN191:AP191"/>
    <mergeCell ref="W191:AC191"/>
    <mergeCell ref="AD191:AJ191"/>
    <mergeCell ref="AK191:AM191"/>
    <mergeCell ref="A189:H189"/>
    <mergeCell ref="I189:O189"/>
    <mergeCell ref="P189:V189"/>
    <mergeCell ref="W189:AC189"/>
    <mergeCell ref="AD189:AJ189"/>
    <mergeCell ref="AK189:AM189"/>
    <mergeCell ref="A190:H190"/>
    <mergeCell ref="I190:O190"/>
    <mergeCell ref="P190:V190"/>
    <mergeCell ref="W190:AC190"/>
    <mergeCell ref="AD190:AJ190"/>
    <mergeCell ref="AK190:AM190"/>
    <mergeCell ref="AN189:AP189"/>
    <mergeCell ref="I185:O185"/>
    <mergeCell ref="P185:V185"/>
    <mergeCell ref="W185:AC185"/>
    <mergeCell ref="AD185:AJ185"/>
    <mergeCell ref="AK185:AM185"/>
    <mergeCell ref="AQ189:AS189"/>
    <mergeCell ref="AN183:AP183"/>
    <mergeCell ref="AQ183:AS183"/>
    <mergeCell ref="A184:H184"/>
    <mergeCell ref="I184:O184"/>
    <mergeCell ref="A194:H194"/>
    <mergeCell ref="I194:O194"/>
    <mergeCell ref="P194:V194"/>
    <mergeCell ref="W194:AC194"/>
    <mergeCell ref="A192:H192"/>
    <mergeCell ref="I192:O192"/>
    <mergeCell ref="P192:V192"/>
    <mergeCell ref="W192:AC192"/>
    <mergeCell ref="AD192:AJ192"/>
    <mergeCell ref="AK192:AM192"/>
    <mergeCell ref="I188:O188"/>
    <mergeCell ref="P188:V188"/>
    <mergeCell ref="W188:AC188"/>
    <mergeCell ref="AD188:AJ188"/>
    <mergeCell ref="AK188:AM188"/>
    <mergeCell ref="A191:H191"/>
    <mergeCell ref="I191:O191"/>
    <mergeCell ref="P191:V191"/>
    <mergeCell ref="A186:H186"/>
    <mergeCell ref="I186:O186"/>
    <mergeCell ref="I193:O193"/>
    <mergeCell ref="P193:V193"/>
    <mergeCell ref="W180:AC180"/>
    <mergeCell ref="AD180:AJ180"/>
    <mergeCell ref="AK180:AM180"/>
    <mergeCell ref="AN180:AP180"/>
    <mergeCell ref="AQ180:AS180"/>
    <mergeCell ref="A179:H179"/>
    <mergeCell ref="I179:O179"/>
    <mergeCell ref="P179:V179"/>
    <mergeCell ref="W179:AC179"/>
    <mergeCell ref="AD179:AJ179"/>
    <mergeCell ref="AK179:AM179"/>
    <mergeCell ref="AN181:AP181"/>
    <mergeCell ref="AQ181:AS181"/>
    <mergeCell ref="AQ188:AS188"/>
    <mergeCell ref="A187:H187"/>
    <mergeCell ref="I187:O187"/>
    <mergeCell ref="P187:V187"/>
    <mergeCell ref="W187:AC187"/>
    <mergeCell ref="AD187:AJ187"/>
    <mergeCell ref="AK187:AM187"/>
    <mergeCell ref="AQ187:AS187"/>
    <mergeCell ref="P184:V184"/>
    <mergeCell ref="W184:AC184"/>
    <mergeCell ref="AD184:AJ184"/>
    <mergeCell ref="AK184:AM184"/>
    <mergeCell ref="AN184:AP184"/>
    <mergeCell ref="AQ184:AS184"/>
    <mergeCell ref="A183:H183"/>
    <mergeCell ref="I183:O183"/>
    <mergeCell ref="P183:V183"/>
    <mergeCell ref="W183:AC183"/>
    <mergeCell ref="AD183:AJ183"/>
    <mergeCell ref="A182:H182"/>
    <mergeCell ref="I182:O182"/>
    <mergeCell ref="P182:V182"/>
    <mergeCell ref="W182:AC182"/>
    <mergeCell ref="AD182:AJ182"/>
    <mergeCell ref="AK182:AM182"/>
    <mergeCell ref="AN182:AP182"/>
    <mergeCell ref="AQ182:AS182"/>
    <mergeCell ref="A181:H181"/>
    <mergeCell ref="I181:O181"/>
    <mergeCell ref="P181:V181"/>
    <mergeCell ref="W181:AC181"/>
    <mergeCell ref="AD181:AJ181"/>
    <mergeCell ref="AK181:AM181"/>
    <mergeCell ref="A177:H177"/>
    <mergeCell ref="I177:O177"/>
    <mergeCell ref="P177:V177"/>
    <mergeCell ref="A178:H178"/>
    <mergeCell ref="I178:O178"/>
    <mergeCell ref="P178:V178"/>
    <mergeCell ref="W178:AC178"/>
    <mergeCell ref="W177:AC177"/>
    <mergeCell ref="AD177:AJ177"/>
    <mergeCell ref="AD178:AJ178"/>
    <mergeCell ref="AK178:AM178"/>
    <mergeCell ref="AN178:AP178"/>
    <mergeCell ref="AQ178:AS178"/>
    <mergeCell ref="AN179:AP179"/>
    <mergeCell ref="AQ179:AS179"/>
    <mergeCell ref="A180:H180"/>
    <mergeCell ref="I180:O180"/>
    <mergeCell ref="P180:V180"/>
    <mergeCell ref="W193:AC193"/>
    <mergeCell ref="BI45:BK45"/>
    <mergeCell ref="BL45:BN45"/>
    <mergeCell ref="AU45:AV45"/>
    <mergeCell ref="BB45:BC45"/>
    <mergeCell ref="BD45:BF45"/>
    <mergeCell ref="BG45:BH45"/>
    <mergeCell ref="BG46:BH46"/>
    <mergeCell ref="BI46:BK46"/>
    <mergeCell ref="BL46:BN46"/>
    <mergeCell ref="AU46:AV46"/>
    <mergeCell ref="BB46:BC46"/>
    <mergeCell ref="BD46:BF46"/>
    <mergeCell ref="A218:J218"/>
    <mergeCell ref="K218:Q218"/>
    <mergeCell ref="R218:X218"/>
    <mergeCell ref="Y218:AE218"/>
    <mergeCell ref="AF218:AL218"/>
    <mergeCell ref="AM218:AS218"/>
    <mergeCell ref="A217:J217"/>
    <mergeCell ref="K217:Q217"/>
    <mergeCell ref="R217:X217"/>
    <mergeCell ref="Y217:AE217"/>
    <mergeCell ref="AF217:AL217"/>
    <mergeCell ref="AM217:AS217"/>
    <mergeCell ref="A163:E163"/>
    <mergeCell ref="F163:K163"/>
    <mergeCell ref="L163:P163"/>
    <mergeCell ref="Q163:U163"/>
    <mergeCell ref="AA163:AE163"/>
    <mergeCell ref="AN166:AP166"/>
    <mergeCell ref="AQ166:AS166"/>
    <mergeCell ref="AD165:AS165"/>
    <mergeCell ref="W168:AC168"/>
    <mergeCell ref="AD168:AJ168"/>
    <mergeCell ref="AK168:AM168"/>
    <mergeCell ref="AN168:AP168"/>
    <mergeCell ref="AQ168:AS168"/>
    <mergeCell ref="A169:H169"/>
    <mergeCell ref="I169:O169"/>
    <mergeCell ref="P169:V169"/>
    <mergeCell ref="W169:AC169"/>
    <mergeCell ref="AD169:AJ169"/>
    <mergeCell ref="AK169:AM169"/>
    <mergeCell ref="AN169:AP169"/>
    <mergeCell ref="AQ169:AS169"/>
    <mergeCell ref="AQ171:AS171"/>
    <mergeCell ref="AQ167:AS167"/>
    <mergeCell ref="A172:H172"/>
    <mergeCell ref="I172:O172"/>
    <mergeCell ref="P172:V172"/>
    <mergeCell ref="W172:AC172"/>
    <mergeCell ref="AD172:AJ172"/>
    <mergeCell ref="AK172:AM172"/>
    <mergeCell ref="AN172:AP172"/>
    <mergeCell ref="AQ172:AS172"/>
    <mergeCell ref="A173:H173"/>
    <mergeCell ref="I173:O173"/>
    <mergeCell ref="P173:V173"/>
    <mergeCell ref="W173:AC173"/>
    <mergeCell ref="AD173:AJ173"/>
    <mergeCell ref="AK173:AM173"/>
    <mergeCell ref="AN173:AP173"/>
    <mergeCell ref="AQ173:AS173"/>
    <mergeCell ref="A174:H174"/>
    <mergeCell ref="I174:O174"/>
    <mergeCell ref="P174:V174"/>
    <mergeCell ref="W174:AC174"/>
    <mergeCell ref="AD174:AJ174"/>
    <mergeCell ref="AK174:AM174"/>
    <mergeCell ref="AN174:AP174"/>
    <mergeCell ref="AQ174:AS174"/>
    <mergeCell ref="AQ175:AS175"/>
    <mergeCell ref="A176:H176"/>
    <mergeCell ref="I176:O176"/>
    <mergeCell ref="P176:V176"/>
    <mergeCell ref="W176:AC176"/>
    <mergeCell ref="AD176:AJ176"/>
    <mergeCell ref="AK176:AM176"/>
    <mergeCell ref="AN176:AP176"/>
    <mergeCell ref="AQ176:AS176"/>
    <mergeCell ref="A175:H175"/>
    <mergeCell ref="I175:O175"/>
    <mergeCell ref="P175:V175"/>
    <mergeCell ref="W175:AC175"/>
    <mergeCell ref="AD175:AJ175"/>
    <mergeCell ref="AK175:AM175"/>
    <mergeCell ref="AN175:AP175"/>
    <mergeCell ref="AK177:AM177"/>
    <mergeCell ref="AN177:AP177"/>
    <mergeCell ref="AQ177:AS177"/>
    <mergeCell ref="AQ194:AS194"/>
    <mergeCell ref="AD195:AJ195"/>
    <mergeCell ref="AK195:AM195"/>
    <mergeCell ref="AN195:AP195"/>
    <mergeCell ref="AQ195:AS195"/>
    <mergeCell ref="AN192:AP192"/>
    <mergeCell ref="AQ192:AS192"/>
    <mergeCell ref="AD193:AJ193"/>
    <mergeCell ref="AK193:AM193"/>
    <mergeCell ref="AN193:AP193"/>
    <mergeCell ref="AQ193:AS193"/>
    <mergeCell ref="AN190:AP190"/>
    <mergeCell ref="AQ190:AS190"/>
    <mergeCell ref="AN185:AP185"/>
    <mergeCell ref="AQ185:AS185"/>
    <mergeCell ref="AD200:AS200"/>
    <mergeCell ref="AD201:AS201"/>
    <mergeCell ref="AQ186:AS186"/>
    <mergeCell ref="AN188:AP188"/>
    <mergeCell ref="AN187:AP187"/>
    <mergeCell ref="AQ191:AS191"/>
    <mergeCell ref="K205:Q205"/>
    <mergeCell ref="R205:X205"/>
    <mergeCell ref="Y205:AE205"/>
    <mergeCell ref="AF205:AL205"/>
    <mergeCell ref="AM205:AS205"/>
    <mergeCell ref="A200:H200"/>
    <mergeCell ref="I200:O200"/>
    <mergeCell ref="P200:V200"/>
    <mergeCell ref="W200:AC200"/>
    <mergeCell ref="AM207:AS207"/>
    <mergeCell ref="A208:J208"/>
    <mergeCell ref="K208:Q208"/>
    <mergeCell ref="R208:X208"/>
    <mergeCell ref="Y208:AE208"/>
    <mergeCell ref="AF208:AL208"/>
    <mergeCell ref="AM208:AS208"/>
    <mergeCell ref="A209:J209"/>
    <mergeCell ref="K209:Q209"/>
    <mergeCell ref="R209:X209"/>
    <mergeCell ref="Y209:AE209"/>
    <mergeCell ref="AF209:AL209"/>
    <mergeCell ref="AM209:AS209"/>
    <mergeCell ref="K206:Q206"/>
    <mergeCell ref="R206:X206"/>
    <mergeCell ref="Y206:AE206"/>
    <mergeCell ref="AF206:AL206"/>
    <mergeCell ref="AM206:AS206"/>
    <mergeCell ref="A207:J207"/>
    <mergeCell ref="K207:Q207"/>
    <mergeCell ref="R207:X207"/>
    <mergeCell ref="Y207:AE207"/>
    <mergeCell ref="AF207:AL207"/>
    <mergeCell ref="A210:J210"/>
    <mergeCell ref="K210:Q210"/>
    <mergeCell ref="R210:X210"/>
    <mergeCell ref="Y210:AE210"/>
    <mergeCell ref="AF210:AL210"/>
    <mergeCell ref="AM210:AS210"/>
    <mergeCell ref="A211:J211"/>
    <mergeCell ref="K211:Q211"/>
    <mergeCell ref="R211:X211"/>
    <mergeCell ref="Y211:AE211"/>
    <mergeCell ref="AF211:AL211"/>
    <mergeCell ref="AM211:AS211"/>
    <mergeCell ref="A212:J212"/>
    <mergeCell ref="K212:Q212"/>
    <mergeCell ref="R212:X212"/>
    <mergeCell ref="Y212:AE212"/>
    <mergeCell ref="AF212:AL212"/>
    <mergeCell ref="AM212:AS212"/>
    <mergeCell ref="A213:J213"/>
    <mergeCell ref="K213:Q213"/>
    <mergeCell ref="R213:X213"/>
    <mergeCell ref="Y213:AE213"/>
    <mergeCell ref="AF213:AL213"/>
    <mergeCell ref="AM213:AS213"/>
    <mergeCell ref="A216:J216"/>
    <mergeCell ref="K216:Q216"/>
    <mergeCell ref="R216:X216"/>
    <mergeCell ref="Y216:AE216"/>
    <mergeCell ref="AF216:AL216"/>
    <mergeCell ref="AM216:AS216"/>
    <mergeCell ref="A214:J214"/>
    <mergeCell ref="K214:Q214"/>
    <mergeCell ref="R214:X214"/>
    <mergeCell ref="Y214:AE214"/>
    <mergeCell ref="AF214:AL214"/>
    <mergeCell ref="AM214:AS214"/>
    <mergeCell ref="A215:J215"/>
    <mergeCell ref="K215:Q215"/>
    <mergeCell ref="R215:X215"/>
    <mergeCell ref="Y215:AE215"/>
    <mergeCell ref="AF215:AL215"/>
    <mergeCell ref="AM215:AS215"/>
  </mergeCells>
  <conditionalFormatting sqref="E112:G112">
    <cfRule type="cellIs" dxfId="0" priority="1" stopIfTrue="1" operator="notEqual">
      <formula>24</formula>
    </cfRule>
  </conditionalFormatting>
  <dataValidations count="248">
    <dataValidation allowBlank="1" showInputMessage="1" showErrorMessage="1" prompt="All activites which are refered to as rig repair or down time as specified in the drilling contract, e.g.: DRW, PMP, POW, TDS, OTH, HPS, SCE." sqref="AU116:AU117 AU114" xr:uid="{F68075B9-44F0-410A-9BF1-C951303AEB22}"/>
    <dataValidation allowBlank="1" showInputMessage="1" showErrorMessage="1" prompt="All activites which are refered to as rig service as specified in the drilling contract, e.g.: DRW, PMP, POW, TDS, OTH, S/C, HPS, SCE." sqref="AU118" xr:uid="{1C1D51B3-E224-460F-8914-94E6CC0C8B28}"/>
    <dataValidation allowBlank="1" showInputMessage="1" showErrorMessage="1" prompt="All activities related to suspension if they are not part of another, more specific operation, e.g.: P/J, BHA, TRI, W/E." sqref="AU119" xr:uid="{D82CE5D6-B2E8-4332-8A01-2048B448C3E8}"/>
    <dataValidation allowBlank="1" showInputMessage="1" showErrorMessage="1" prompt="activities related to surveying (for example a run with MWD only for surveying, and no drilling intended). In case of wireline, again, only survey taken:  R/U, WLR, R/D. Combined logging runs will be refered to as logging runs. " sqref="AU120" xr:uid="{508CCB4E-C925-424F-9F48-F3274814A454}"/>
    <dataValidation allowBlank="1" showInputMessage="1" showErrorMessage="1" prompt="All activites related to well testing e.g.: P/J, R/U, BHA, TRI, W/E, F/W, F/T, E/C, S/O, CIR." sqref="AU121" xr:uid="{03A5F50C-4C6D-4B50-AA9C-D28437D9A320}"/>
    <dataValidation allowBlank="1" showInputMessage="1" showErrorMessage="1" prompt="All activities related to a well control situation (kick control). A well control situation may interrupt an ongoing run until resuming intended activites. " sqref="AU122 AU112" xr:uid="{4709AFCD-7F6E-48C0-BBDF-D9830240783F}"/>
    <dataValidation allowBlank="1" showInputMessage="1" showErrorMessage="1" prompt="All activities which are not related to other operations and can be considered as result of wait on cement, e.g.: P/H, INV, L/D, P/U, F/T, OTH. Note: activites such as N/D, CCA, WHW are to be seperated and belong to BOP. " sqref="AU123" xr:uid="{22F470BF-CF57-4FEA-980C-C9E831DADB27}"/>
    <dataValidation allowBlank="1" showInputMessage="1" showErrorMessage="1" prompt="All activites carried out during waiting on equipment." sqref="AU124" xr:uid="{6E8A03A6-C6D0-4B64-B5CC-8384913EEE0E}"/>
    <dataValidation allowBlank="1" showInputMessage="1" showErrorMessage="1" prompt="All activites carried out during waiting on order." sqref="AU125" xr:uid="{A5DE4356-68FF-4496-BF85-1E645D215996}"/>
    <dataValidation allowBlank="1" showInputMessage="1" showErrorMessage="1" prompt="All activites carried out during waiting on weather.." sqref="AU126" xr:uid="{DF9D57BC-8516-4C79-B637-B64FCCFBA257}"/>
    <dataValidation allowBlank="1" showInputMessage="1" showErrorMessage="1" prompt="Activites not directly related to a particular run but to the entire operation. For expl: P/U, R/B, L/D drill pipe. Note: A run must have a specified purpous downhole. RIH drill pipe to L/D same is to be considered as W/S. Safety string is WCO." sqref="AU127" xr:uid="{34342757-2C11-4865-A973-935725014222}"/>
    <dataValidation allowBlank="1" showInputMessage="1" showErrorMessage="1" prompt="for repair and service" sqref="AW120 AW111" xr:uid="{14C91E3C-E321-4F15-8EA9-28C3D7BBA012}"/>
    <dataValidation allowBlank="1" showInputMessage="1" showErrorMessage="1" prompt="e.g. incident investigation such as accidents which require rig shut down or limited operation." sqref="AW121" xr:uid="{DB0DBD42-7474-4D10-949C-114AEB7D668B}"/>
    <dataValidation allowBlank="1" showInputMessage="1" showErrorMessage="1" prompt="all preperation work such as cleaning rig floor, change floor tools,..which are not rig up (installation of tools for cementing, logging, casing running,..)" sqref="AW131" xr:uid="{1AF34CF3-5155-481A-8708-138FAB5CA718}"/>
    <dataValidation allowBlank="1" showInputMessage="1" showErrorMessage="1" prompt="Set Packer, unset packer, cut casing, engauge fish, set liner hanger" sqref="AW149" xr:uid="{CC943EE1-0E22-467B-9F16-E4062D0B2119}"/>
    <dataValidation allowBlank="1" showErrorMessage="1" prompt="Actual Measured Depth Top of Formation" sqref="AS129" xr:uid="{CE205A85-5E88-49EE-A697-C35D3A2B2ADD}"/>
    <dataValidation allowBlank="1" showErrorMessage="1" prompt="Prognosed Measured Depth Top of Formation" sqref="AO129" xr:uid="{1A667983-7C85-4A8D-BBA5-7196D452FF88}"/>
    <dataValidation type="whole" operator="greaterThanOrEqual" allowBlank="1" showInputMessage="1" showErrorMessage="1" sqref="A38:A39 AE137:AP137 A48:B50 A45:B46 A41:A42" xr:uid="{34D4BA1E-76F7-4439-9D01-815A2DEC7765}">
      <formula1>0</formula1>
    </dataValidation>
    <dataValidation allowBlank="1" showInputMessage="1" showErrorMessage="1" promptTitle="Section" prompt="Current or Last Open Hole Section at Midnight_x000a_" sqref="AJ149 AJ3 AJ87" xr:uid="{44105278-D05E-4626-BA34-4C5EA02F435A}"/>
    <dataValidation allowBlank="1" showInputMessage="1" showErrorMessage="1" promptTitle="Date" prompt="Date of Report (0:00 to 24:00 hrs)" sqref="AJ147 AJ1:AO1 AJ85:AO85" xr:uid="{3E1C83B4-7BD3-47B5-8491-1ACBEE175C45}"/>
    <dataValidation allowBlank="1" showErrorMessage="1" sqref="AN149:AN150 AF8:AG8 AE18 AH18 AN3:AO4 AS8 AO8 AJ8:AK8 AN87:AO88" xr:uid="{0D6F184A-DE60-4D40-9382-8009BDB5E13C}"/>
    <dataValidation allowBlank="1" showInputMessage="1" showErrorMessage="1" promptTitle="MDBRL" prompt="Measured Depth of Well below Reference Level at Midnight in Meters" sqref="AJ150 AJ4 AJ88" xr:uid="{66F3B005-F3C0-42CD-B886-4DB144D3A5B3}"/>
    <dataValidation allowBlank="1" showInputMessage="1" showErrorMessage="1" prompt="MAXIMUM GAS Reading during reporting period (24hrs)" sqref="S130:T130" xr:uid="{F1240A90-A7B9-4A08-9D92-C83C80E2B334}"/>
    <dataValidation allowBlank="1" showInputMessage="1" showErrorMessage="1" prompt="BACKGROUND GAS Reading during reporting period (24hrs)" sqref="S131:T131" xr:uid="{577345AB-5221-4100-82F7-FEF79588B1CE}"/>
    <dataValidation allowBlank="1" showInputMessage="1" showErrorMessage="1" prompt="TRIP GAS Reading during reporting period (24hrs)" sqref="S132:T132" xr:uid="{41C39C75-7A4B-43B1-B1D8-6E103336C2FE}"/>
    <dataValidation allowBlank="1" showInputMessage="1" showErrorMessage="1" prompt="CONNECTION GAS Reading during reporting period (24hrs)" sqref="S133:T133" xr:uid="{BF082EA0-D020-48F3-96EB-AA0E0DD2EDCE}"/>
    <dataValidation allowBlank="1" showInputMessage="1" showErrorMessage="1" prompt="PRIMARY TARGET: Name, Prognosed and Actual Depth of top" sqref="Z130:AC130" xr:uid="{617072EF-3B0F-4632-8CBE-49648145CD33}"/>
    <dataValidation allowBlank="1" showInputMessage="1" showErrorMessage="1" prompt="SECONDARY TARGET: Name, Prognosed and Actual Depth of top" sqref="Z131:AC131" xr:uid="{88AA6D27-22B7-4B3B-911C-38E5E5352ED1}"/>
    <dataValidation allowBlank="1" showInputMessage="1" showErrorMessage="1" prompt="CURRENT FORMATION: Name, Prognosed and Actual Depth of top" sqref="Z132:AC132" xr:uid="{792E4E28-14ED-4DF0-AABF-D2E8EAA13F76}"/>
    <dataValidation allowBlank="1" showInputMessage="1" showErrorMessage="1" prompt="NEXT FORMATION: Name, Prognosed and Actual Depth of top" sqref="Z133:AC133" xr:uid="{240251DD-E6D1-42D0-8086-5BBC23C94E02}"/>
    <dataValidation allowBlank="1" showInputMessage="1" showErrorMessage="1" prompt="Prognosed Measured Depth Top of Formation" sqref="AL129:AN129" xr:uid="{52AD6669-3D13-4ADF-B23C-1A534A25A214}"/>
    <dataValidation allowBlank="1" showInputMessage="1" showErrorMessage="1" prompt="Actual Measured Depth Top of Formation" sqref="AP129:AR129" xr:uid="{F7456539-D238-4257-8345-60BEBE81F114}"/>
    <dataValidation allowBlank="1" showInputMessage="1" showErrorMessage="1" prompt="Automatically Calculated" sqref="AQ137:AS137 BA98:BB99 X13:AA13 AP2:AS2 A113:A114 F121 E121:E122 G115:G122 E115:F120 E92:G112" xr:uid="{7EA5552D-986D-4C9C-BD62-150B60DF1041}"/>
    <dataValidation type="list" allowBlank="1" showInputMessage="1" showErrorMessage="1" sqref="N154 N158 H156 E7:I7" xr:uid="{F043C31A-804D-49CF-8AA5-7C9C3026F8AE}">
      <formula1>$AT$7:$AT$12</formula1>
    </dataValidation>
    <dataValidation allowBlank="1" showInputMessage="1" showErrorMessage="1" prompt="Insert Unit of Issues of Interest_x000a__x000a_example: (Barite)  t" sqref="D145:E145 AI145:AJ145 AD145:AE145 Y145:Z145 T145:U145 O145:P145 J145:K145" xr:uid="{C27F7554-E0F7-4CDF-89EB-67DB60A2A158}"/>
    <dataValidation allowBlank="1" showInputMessage="1" showErrorMessage="1" prompt="Insert Issues of Interest with unit_x000a__x000a_Barite " sqref="A145:C145 AF145:AH145 AA145:AC145 V145:X145 Q145:S145 L145:N145 F145:I145" xr:uid="{01A759A9-A76C-42BE-97FE-B39321AFFB0C}"/>
    <dataValidation allowBlank="1" showErrorMessage="1" prompt="Diesel Stock at Mightnight" sqref="AN145:AO145 AR145:AS145" xr:uid="{E8D38171-A1D2-48D2-AD86-E91C486B4A3D}"/>
    <dataValidation allowBlank="1" showInputMessage="1" showErrorMessage="1" prompt="Diesel Stock at Mightnight" sqref="AK145:AM145" xr:uid="{2E4C2C0C-2BFC-4DCF-B110-6C77B40FCA23}"/>
    <dataValidation allowBlank="1" showInputMessage="1" showErrorMessage="1" prompt="CUMULATIVE CONSUMED DIESEL during reporting period (24 hrs)" sqref="AP145" xr:uid="{3FD344B3-A5E8-4A66-A33F-F5528A925C56}"/>
    <dataValidation allowBlank="1" showInputMessage="1" showErrorMessage="1" prompt="Drillpipe racked back in the derrick " sqref="A51:AS51" xr:uid="{2E3BE11C-F348-400D-B56A-3DC01D44A5F0}"/>
    <dataValidation allowBlank="1" showErrorMessage="1" promptTitle="No - Run Number" prompt="RUN: RIH string (with or without BHA) with purpous to do something in hole. String on surface (e.g. bit above RT), or change to BHA -&gt; new run (even if same BHA is run). for example: singer run for cementing, logging run, bit run, open DP mud cond run.." sqref="A52 AB52:AS52 R52:Z52 P52 E52:N52" xr:uid="{FB4700A4-FDF6-4466-96DD-9F3FFF7F5349}"/>
    <dataValidation allowBlank="1" showInputMessage="1" showErrorMessage="1" prompt="Type of Connection " sqref="S18:U18" xr:uid="{53088139-25E1-421F-949D-565F0679FD7E}"/>
    <dataValidation type="time" operator="greaterThanOrEqual" allowBlank="1" showInputMessage="1" showErrorMessage="1" sqref="AR7:AS7" xr:uid="{86A387D3-53F6-49EF-A9B6-D64105C266BC}">
      <formula1>0</formula1>
    </dataValidation>
    <dataValidation allowBlank="1" showInputMessage="1" showErrorMessage="1" promptTitle="TOL" prompt="Top of Liner" sqref="V18" xr:uid="{E3E3E1DC-0047-44DE-9359-DA0C47F1CB62}"/>
    <dataValidation allowBlank="1" showErrorMessage="1" promptTitle="Bent" prompt="Bent setting of motor oder bent sub" sqref="AP44" xr:uid="{6972ECFD-7402-4AF4-857D-D275939EE196}"/>
    <dataValidation allowBlank="1" showErrorMessage="1" promptTitle="Up" prompt="pull to activate jar on up stroke " sqref="T44" xr:uid="{0A6F35DF-1CCC-46B0-A9FE-62203C085905}"/>
    <dataValidation allowBlank="1" showErrorMessage="1" promptTitle="WOB" prompt="Representative weight on bit throughout period of reporting (24 hrs) (only one value)._x000a_" sqref="AI40" xr:uid="{4DB449DF-0C4C-405D-8737-34547D797AF8}"/>
    <dataValidation allowBlank="1" showErrorMessage="1" promptTitle="ROP" prompt="Average Rate of Penetration during Run" sqref="Z40" xr:uid="{162E6118-D15A-4C14-863C-D409F2066E7F}"/>
    <dataValidation allowBlank="1" showErrorMessage="1" promptTitle="Cum [hr]" prompt="Cumulative drilling hrs on bottom during this Run" sqref="U40" xr:uid="{BD05B2A4-9433-43FD-9C4B-95E445945743}"/>
    <dataValidation allowBlank="1" showErrorMessage="1" promptTitle="Cum " prompt="Cumulative Meters Drilled during Run" sqref="Q40" xr:uid="{08BCE3A9-1260-467F-A17F-72A9BB340AA0}"/>
    <dataValidation allowBlank="1" showErrorMessage="1" promptTitle="Out " prompt="Well Depth at the end of the run (does not account for previous runs of the bit)" sqref="M40" xr:uid="{D7E94CF6-5152-4F51-B23B-815F9738D58B}"/>
    <dataValidation allowBlank="1" showErrorMessage="1" promptTitle="In" prompt="Well Depth at the beginning of the run (does not account for previous runs of the bit)" sqref="I40" xr:uid="{3FF7CF8A-5974-44B4-9A89-23E41A04CB42}"/>
    <dataValidation allowBlank="1" showErrorMessage="1" promptTitle="Jets[1/32in]" prompt="Format:_x000a_NumberXSize, NumberXSize_x000a_for Example: _x000a_3x12, 4x13, 5x14" sqref="AD37" xr:uid="{CBD102EC-8643-4CC0-A675-A3478E1FF251}"/>
    <dataValidation allowBlank="1" showErrorMessage="1" promptTitle="TFA [in2]" prompt="Total Flow Area" sqref="AI37" xr:uid="{C39D73C9-691B-468F-A67F-BB236958510C}"/>
    <dataValidation allowBlank="1" showErrorMessage="1" promptTitle="Wt b/jar" prompt="Weight of given BHA below jar in Air" sqref="AO35:AP35" xr:uid="{6724122F-DFB5-4B62-942C-4FE53ACCFD42}"/>
    <dataValidation allowBlank="1" showErrorMessage="1" promptTitle="Length" prompt="Length of given BHA" sqref="AO33:AP33" xr:uid="{44330ED0-C8E6-477D-AB38-C75BAA1F47D7}"/>
    <dataValidation allowBlank="1" showErrorMessage="1" promptTitle="TOC" prompt="Top of Cement in Annulus of respective Casing" sqref="AB18" xr:uid="{DEE83FD9-7C61-4B80-AFA1-25917AFDB671}"/>
    <dataValidation allowBlank="1" showErrorMessage="1" promptTitle="Incl. " prompt="Inclination of Well Path taken at given Measured Depth" sqref="AK18 AN18" xr:uid="{743FAF59-90D0-4819-9ACB-5ACE81CECFA0}"/>
    <dataValidation allowBlank="1" showErrorMessage="1" promptTitle="LTI free [d]" prompt="Days from Last LTI to Report Date" sqref="AA12" xr:uid="{8A53B0C3-4504-4468-AD87-7C7372A83BDB}"/>
    <dataValidation operator="greaterThanOrEqual" allowBlank="1" showInputMessage="1" showErrorMessage="1" sqref="V19:V24 D23:H23 M22:O22 B64:D64 A56:D56 A59:A71 B62:D62 B59:D59" xr:uid="{DF763168-AC25-4532-92CB-775A8A171A1A}"/>
    <dataValidation type="decimal" operator="greaterThanOrEqual" allowBlank="1" showErrorMessage="1" prompt="Automatically Calculated" sqref="A13:F13 K13:O13 AC27:AE30" xr:uid="{512620BD-03E7-45D0-A404-7FDA295E06BB}">
      <formula1>0</formula1>
    </dataValidation>
    <dataValidation type="decimal" allowBlank="1" showInputMessage="1" showErrorMessage="1" sqref="AP3:AS3" xr:uid="{918A5ABE-3DAA-4429-818E-012B2BF389BB}">
      <formula1>0</formula1>
      <formula2>3000</formula2>
    </dataValidation>
    <dataValidation type="list" allowBlank="1" showInputMessage="1" showErrorMessage="1" sqref="AY16" xr:uid="{E2335DCB-0805-4B24-B72A-A09E331DFD8E}">
      <formula1>$AY$17:$AY$18</formula1>
    </dataValidation>
    <dataValidation type="list" allowBlank="1" showInputMessage="1" showErrorMessage="1" sqref="AY13" xr:uid="{CACEC2E2-FC2B-4813-A677-516C3ECBAF66}">
      <formula1>$AY$14:$AY$15</formula1>
    </dataValidation>
    <dataValidation type="list" allowBlank="1" showInputMessage="1" showErrorMessage="1" sqref="AY9" xr:uid="{C0B49D07-0ED1-471E-A1EC-2974160CD07C}">
      <formula1>$AY$10:$AY$12</formula1>
    </dataValidation>
    <dataValidation type="list" allowBlank="1" showInputMessage="1" showErrorMessage="1" sqref="AY6" xr:uid="{62FB3813-D887-4265-A70D-CD3A8195A1AE}">
      <formula1>$AY$7:$AY$8</formula1>
    </dataValidation>
    <dataValidation type="list" allowBlank="1" showInputMessage="1" showErrorMessage="1" sqref="AY3" xr:uid="{C000BF15-0EAD-47BA-856C-DCAAE4B87A99}">
      <formula1>$AY$4:$AY$5</formula1>
    </dataValidation>
    <dataValidation type="list" allowBlank="1" showInputMessage="1" showErrorMessage="1" sqref="P3:AE4" xr:uid="{9A843859-5BE3-4573-B999-BA38A7A7835B}">
      <formula1>$AT$3:$AT$5</formula1>
    </dataValidation>
    <dataValidation type="list" allowBlank="1" showInputMessage="1" showErrorMessage="1" sqref="Y9" xr:uid="{77302723-D0AD-42C3-A609-49FCAA373A5A}">
      <formula1>$AT$14:$AT$16</formula1>
    </dataValidation>
    <dataValidation allowBlank="1" showInputMessage="1" showErrorMessage="1" promptTitle="RT [m]" prompt="Rotary table above Ground Level (GL) in meter" sqref="AD8" xr:uid="{02B57B9E-5985-48AC-80A9-5CA0994BE162}"/>
    <dataValidation allowBlank="1" showInputMessage="1" showErrorMessage="1" promptTitle="GL [m]" prompt="Ground Level above Mean Sea Level [MSL]" sqref="AH8" xr:uid="{889D098C-65AC-4329-887A-D5F4211A480B}"/>
    <dataValidation allowBlank="1" showInputMessage="1" showErrorMessage="1" promptTitle="pl MD [m]" prompt="Planned Measured Depth from Reference Level in meter" sqref="AL8" xr:uid="{8678D473-041E-4CD1-B419-BE566B01D5A6}"/>
    <dataValidation allowBlank="1" showInputMessage="1" showErrorMessage="1" promptTitle="pl TVD [m]" prompt="Planned True Vertical Depth from Reference Level in meter" sqref="AP8" xr:uid="{125629F3-3737-4A0C-9BEC-82F32AA8AF19}"/>
    <dataValidation allowBlank="1" showInputMessage="1" showErrorMessage="1" promptTitle="Reference" prompt="Reference level for all depth data in the report_x000a_e.g.: rotary table RT,ground level GL or mean sea level MSL" sqref="Y8" xr:uid="{01A5C74F-1F7F-4313-BAE6-A18487EC82A9}"/>
    <dataValidation allowBlank="1" showInputMessage="1" showErrorMessage="1" promptTitle="Cum. D/time" prompt="Cumulative downtime (e.g. rig repair) throughout operation" sqref="O12" xr:uid="{4BD8384F-F1A3-4C57-AA13-E369FAF9DFA6}"/>
    <dataValidation allowBlank="1" showInputMessage="1" showErrorMessage="1" promptTitle="[m/d]" prompt="Drilled meters during reported 24:00 hrs_x000a_(does not include meter drilled from next day 0:00 to 6:00 hrs)" sqref="A12" xr:uid="{B0B017EA-F529-44D5-9542-44AE75FBFBBA}"/>
    <dataValidation allowBlank="1" showInputMessage="1" showErrorMessage="1" promptTitle="[hrs/d]" prompt="Actual drilling on bottom time in hrs" sqref="D12" xr:uid="{D6130341-C2C9-4302-BB28-02455EB53C34}"/>
    <dataValidation allowBlank="1" showInputMessage="1" showErrorMessage="1" promptTitle="D/time" prompt="downtime (e.g.: rig repair) during the reported 24 hrs._x000a_Note: downtime during reported 6 hrs of next day (0:00 to 6:00 hrs section) may not be included." sqref="K12" xr:uid="{CD515180-2BFB-4007-A434-5B504D3BBAE2}"/>
    <dataValidation allowBlank="1" showInputMessage="1" showErrorMessage="1" promptTitle="LTI" prompt="Loss time incident" sqref="T11:AA11" xr:uid="{86F6DBBE-226A-4F89-B2C3-ACBFEBE5F334}"/>
    <dataValidation allowBlank="1" showInputMessage="1" showErrorMessage="1" promptTitle="LTI free [d]" prompt="Days from Last LTI to Report Date" sqref="X12" xr:uid="{BB364A27-7B8A-444C-B1BC-CE310E495061}"/>
    <dataValidation allowBlank="1" showInputMessage="1" showErrorMessage="1" promptTitle="Kick" prompt="Date of Last Kick Drill" sqref="AB12:AE12" xr:uid="{052D0D50-D8CE-4A9B-845D-5329C0BEBEFE}"/>
    <dataValidation allowBlank="1" showInputMessage="1" showErrorMessage="1" promptTitle="Fire" prompt="Date of Last Fire Drill" sqref="AF12:AI12" xr:uid="{9741FBD4-AB10-4CBA-A6BD-33DE65469E4B}"/>
    <dataValidation allowBlank="1" showInputMessage="1" showErrorMessage="1" promptTitle="Medevac" prompt="Date of Last Medical Evacuation Drill" sqref="AJ12:AN12" xr:uid="{7B9A2730-F052-4E25-9837-F525E4681491}"/>
    <dataValidation allowBlank="1" showInputMessage="1" showErrorMessage="1" promptTitle="Safety Mtg" prompt="Date of Last Safety Meeting" sqref="AO12:AS12" xr:uid="{CF987F17-C796-431F-95E3-86CA420ED195}"/>
    <dataValidation allowBlank="1" showInputMessage="1" showErrorMessage="1" promptTitle="24 hr Summary" prompt="Short description of operations of  reported 24 hrs (0:00 to 6:00 is not included)" sqref="A15" xr:uid="{7E641BAB-6370-4A69-98B0-860C31F9096B}"/>
    <dataValidation allowBlank="1" showInputMessage="1" showErrorMessage="1" promptTitle="24 hr Plan" prompt="Planned operations of next 24 hrs inlcuding basic and relevant planning data such as depth (D/A to 1200 m; or RIH 9 5/8&quot; CSG to 2000 m)." sqref="A16:F16 G15:G16" xr:uid="{02FDC3B7-1159-44B7-917F-5B8216136264}"/>
    <dataValidation allowBlank="1" showInputMessage="1" showErrorMessage="1" promptTitle="TVD" prompt="True vertical depth of reference point for FIT/LOT (e.g. Casing shoe depth). Used for calculation of MAASP." sqref="Z30:AB30" xr:uid="{F93AEA81-9B63-425D-9D15-E94FB75B68AA}"/>
    <dataValidation allowBlank="1" showInputMessage="1" showErrorMessage="1" promptTitle="MW " prompt="Mud Weight when SCR was taken_x000a_" sqref="J26 L26" xr:uid="{207975C2-68DA-4534-A67C-30A0C5DD6AEA}"/>
    <dataValidation allowBlank="1" showInputMessage="1" showErrorMessage="1" promptTitle="SCR" prompt="Slow Circulation Rate_x000a_" sqref="A26:I26" xr:uid="{63E29C36-680A-4B24-A411-A565FD2D83BA}"/>
    <dataValidation allowBlank="1" showInputMessage="1" showErrorMessage="1" promptTitle="Depth" prompt="Measured Depth of String (e.g. Bit) when SCR was taken" sqref="R26 U26" xr:uid="{6F669401-CE19-44B1-ADA0-5A650A6304C5}"/>
    <dataValidation allowBlank="1" showInputMessage="1" showErrorMessage="1" promptTitle="spm" prompt="Strokes per Minute of Mud Pump at which SCR was taken" sqref="C28:D30 L28:M30 T28:U30" xr:uid="{87017959-F0B8-4984-B7E9-DF7F3A211E30}"/>
    <dataValidation allowBlank="1" showInputMessage="1" showErrorMessage="1" promptTitle="psi/bar" prompt="Corresponding Pressure at given spm. (e.g. taken at remote choke pannel)" sqref="H28:I30 X28:Y30 P28:Q30" xr:uid="{77360515-BE32-41DE-AE57-69AEDA8F0DB4}"/>
    <dataValidation allowBlank="1" showInputMessage="1" showErrorMessage="1" promptTitle="BOP Configuration" prompt="Consists of:_x000a_Type, Pressure rating, Ram Setting, Last Pressure test:_x000a__x000a_Ann (Annular), 3M, N/A, 20070101_x000a_U Ram (Upper Ram) 5M, 5&quot;, 20070101_x000a_M Ram Mid  Ram) 5M, 5&quot;, 20070101_x000a_L Ram Lower Ram) 5M, 5&quot;, 20070101" sqref="AH26:AO26" xr:uid="{20D3EC8C-AE11-4375-A98C-61319C221BB5}"/>
    <dataValidation allowBlank="1" showInputMessage="1" showErrorMessage="1" promptTitle="Last P/T" prompt="Date of Last Pressure Test of respective Preventer" sqref="AP26:AS26" xr:uid="{AE774164-DCAD-4727-9791-811657C6AEF7}"/>
    <dataValidation allowBlank="1" showInputMessage="1" showErrorMessage="1" promptTitle="FIT/LOT" prompt="Data of Last FIT (Formation Integrity Test) or LOT (Leak off Test)" sqref="Z26:AG26" xr:uid="{3EB463FB-BD5C-4C79-9B86-82AE13136DA8}"/>
    <dataValidation allowBlank="1" showInputMessage="1" showErrorMessage="1" promptTitle="MAASP" prompt="Maxumum Allowable Annulus Surface Pressure:_x000a_in psi based on current mud weight (Mud Section)" sqref="Z27:AB27" xr:uid="{F931D9BD-C33A-4489-BA91-AF472E7978D1}"/>
    <dataValidation allowBlank="1" showInputMessage="1" showErrorMessage="1" promptTitle="rev/gal" prompt="Revolutions per gallon flow rate (as per manufactor)" sqref="AQ44:AS44" xr:uid="{88F98A85-94DC-439D-846D-99025FA89465}"/>
    <dataValidation allowBlank="1" showInputMessage="1" showErrorMessage="1" promptTitle="Krev" prompt="Kilo revolutiuons: Cumulative revolutions of bit on bottom in 1000 revolutions during this run" sqref="AB40" xr:uid="{77338F4C-5D47-439B-8147-20AA4BA99FAD}"/>
    <dataValidation allowBlank="1" showInputMessage="1" showErrorMessage="1" promptTitle="WOB" prompt="Representative weight on bit throughout period of reporting (24 hrs) (only one value)._x000a_" sqref="AF40" xr:uid="{E2CA6E16-CEB0-4671-AFA8-ACE8B8344EC4}"/>
    <dataValidation allowBlank="1" showInputMessage="1" showErrorMessage="1" promptTitle="RPM mot" prompt="Representative RPM provided by downhole motor throughout reporting period (24hrs)" sqref="AK40:AN40" xr:uid="{517AA527-A2E0-429E-A7F5-D6B666767FC5}"/>
    <dataValidation allowBlank="1" showInputMessage="1" showErrorMessage="1" prompt="Representative RPM provided by TDS/RT throughout reporting period (24hrs)" sqref="AO40:AS40" xr:uid="{3373BCBE-9C57-4D68-9334-89784D68BB16}"/>
    <dataValidation allowBlank="1" showInputMessage="1" showErrorMessage="1" promptTitle="Bit No - Bit Number" prompt="Running bit number. _x000a_if bit is re-run:_x000a_bit number 1, first re run: 1 RR1_x000a_bit number 1, second re run: 1 RR 2 " sqref="C40 C37" xr:uid="{15C81BD2-4B83-43D0-94EB-BA692016D085}"/>
    <dataValidation allowBlank="1" showInputMessage="1" showErrorMessage="1" promptTitle="Length" prompt="Length of given BHA" sqref="AK33" xr:uid="{1D0A5B76-D12D-410A-B837-A96D930B41A8}"/>
    <dataValidation allowBlank="1" showInputMessage="1" showErrorMessage="1" promptTitle="Wt" prompt="Weight of given BHA in Air" sqref="AK34:AN34" xr:uid="{3BFB0BE3-C0D1-4939-9754-689E8D753AB9}"/>
    <dataValidation allowBlank="1" showInputMessage="1" showErrorMessage="1" promptTitle="Manf" prompt="Bit Manufactor" sqref="K37" xr:uid="{F9DAB40D-3A8B-4EA0-A5EC-521BCE8815A4}"/>
    <dataValidation allowBlank="1" showInputMessage="1" showErrorMessage="1" promptTitle="Jets[1/32in]" prompt="Format:_x000a_NumberXSize, NumberXSize_x000a_for Example: _x000a_3x12, 4x13, 5x14" sqref="Z37" xr:uid="{7F236DB1-7706-46E9-B97C-DB8C4CC975AC}"/>
    <dataValidation allowBlank="1" showInputMessage="1" showErrorMessage="1" promptTitle="TFA [in2]" prompt="Total Flow Area" sqref="AG37" xr:uid="{BEA8B53B-1250-44D1-9043-23B4A6DCA786}"/>
    <dataValidation allowBlank="1" showInputMessage="1" showErrorMessage="1" promptTitle="Condition" prompt="Bit Condition according to IADC Dull greading:_x000a_Inner-Outer-Dull-Location-Bearing-Gage-Other Dull-Reason Pulled_x000a__x000a_for Example:_x000a_1-1-WT-A-E-I-NO-PR_x000a_" sqref="AK37" xr:uid="{9EBF48C5-20EB-4B20-BD69-72FEF1AF850F}"/>
    <dataValidation allowBlank="1" showInputMessage="1" showErrorMessage="1" promptTitle="In" prompt="Well Depth at the beginning of the run (does not account for previous runs of the bit)" sqref="F40:G40" xr:uid="{B019FDC0-BB12-4FB3-BB8E-24851B7CD660}"/>
    <dataValidation allowBlank="1" showInputMessage="1" showErrorMessage="1" promptTitle="Out " prompt="Well Depth at the end of the run (does not account for previous runs of the bit)" sqref="K40" xr:uid="{F009A981-AC77-46C2-AAE5-BC40D22C48CD}"/>
    <dataValidation allowBlank="1" showInputMessage="1" showErrorMessage="1" promptTitle="Cum " prompt="Cumulative Meters Drilled during Run" sqref="O40" xr:uid="{1A111DCE-B661-4919-A35A-55E8EF046BAC}"/>
    <dataValidation allowBlank="1" showInputMessage="1" showErrorMessage="1" promptTitle="Cum [hr]" prompt="Cumulative drilling hrs on bottom during this Run" sqref="S40" xr:uid="{F0D3CAB7-A93A-4F78-8B22-D38EEA2975A7}"/>
    <dataValidation allowBlank="1" showInputMessage="1" showErrorMessage="1" promptTitle="ROP" prompt="Average Rate of Penetration during Run" sqref="W40" xr:uid="{9739FF0B-4C0C-4D8A-9323-406B3690FE61}"/>
    <dataValidation allowBlank="1" showInputMessage="1" showErrorMessage="1" promptTitle="Jar" prompt="Type of Jar (Hydro/Mech,....)" sqref="C44:I44" xr:uid="{25CAE4E8-6422-4F8E-B520-47A53A79B62C}"/>
    <dataValidation allowBlank="1" showInputMessage="1" showErrorMessage="1" promptTitle="[hrs]" prompt="Cumulative Overall Running hours (incl hrs from all previous runs up to last inspection/redressing)" sqref="P44 AL44" xr:uid="{14DC340D-C49E-4483-961F-83CDE4356F4B}"/>
    <dataValidation allowBlank="1" showInputMessage="1" showErrorMessage="1" promptTitle="Motor" prompt="Type of Motor incl Rotor/Stator relation, if applicable" sqref="Z44" xr:uid="{26FD88D5-F92E-4D99-9F13-158DA76E16E4}"/>
    <dataValidation allowBlank="1" showInputMessage="1" showErrorMessage="1" promptTitle="Bent" prompt="Bent setting of motor oder bent sub" sqref="AN44" xr:uid="{BDE2D4BE-3C74-4216-971A-FFB038B26762}"/>
    <dataValidation allowBlank="1" showInputMessage="1" showErrorMessage="1" promptTitle="Up" prompt="pull to activate jar on up stroke " sqref="R44" xr:uid="{4495DEB3-352E-49FE-8833-ED17D815DD4C}"/>
    <dataValidation allowBlank="1" showInputMessage="1" showErrorMessage="1" promptTitle="Wt b/jar" prompt="Weight of given BHA below jar in Air" sqref="AK35:AN35" xr:uid="{68BE9110-7CD0-4A94-ADE3-BF625E7AFAAF}"/>
    <dataValidation allowBlank="1" showInputMessage="1" showErrorMessage="1" promptTitle="Type" sqref="A18:C18" xr:uid="{81B98D86-6C96-40F1-A1F4-AE977A069A36}"/>
    <dataValidation allowBlank="1" showInputMessage="1" showErrorMessage="1" promptTitle="TOC" prompt="Top of Cement in Annulus of respective Casing" sqref="Y18" xr:uid="{2047B93A-15F8-43AE-86B0-15FD9174FDBC}"/>
    <dataValidation allowBlank="1" showInputMessage="1" showErrorMessage="1" promptTitle="Incl. " prompt="Inclination of Well Path taken at given Measured Depth" sqref="AI18" xr:uid="{44FC8D07-8018-42D6-9797-C9AFD353D96A}"/>
    <dataValidation allowBlank="1" showInputMessage="1" showErrorMessage="1" promptTitle="TVD" prompt="True Vertical Depth of Survey Point" sqref="AF18" xr:uid="{5D4AE8D1-499E-4CCF-A8E0-754A1B8C7727}"/>
    <dataValidation allowBlank="1" showInputMessage="1" showErrorMessage="1" promptTitle="MD" prompt="Measured Depth of Survey Point" sqref="AC18" xr:uid="{654E12E2-BD9D-42F0-A13B-253C407D14B3}"/>
    <dataValidation allowBlank="1" showInputMessage="1" showErrorMessage="1" promptTitle="Type" prompt="Type of Survey Used (drop down list)" sqref="AO18:AS18" xr:uid="{18700295-7F20-4B70-9D6C-4B315B5CDFF0}"/>
    <dataValidation allowBlank="1" showInputMessage="1" showErrorMessage="1" promptTitle="BOP/WH/HP System" prompt="All work carried out on the high pressure system of a rig (BOP, well head and lines) e.g.: J/P,N/U, N/D, CCA, P/T, CRA, WB" sqref="AU98" xr:uid="{BFAD867E-352D-48D0-80EF-107BE5D51D3D}"/>
    <dataValidation allowBlank="1" showInputMessage="1" showErrorMessage="1" prompt="All activities to run a casing or liner e.g.: P/J, R/U and R/D casing running equipment, C/H, TRI (RIH or POOH casing string), WAS (circulate down csg string), W/E (set liner hanger/LH packer), CIR (pump down setting ball) and P/T casing." sqref="AU99" xr:uid="{80652E66-09D5-409D-B744-00E38560EB09}"/>
    <dataValidation allowBlank="1" showInputMessage="1" showErrorMessage="1" prompt="All activities to condition mud and/or wellbore: ensure wellbore condition before logging, change mud system, increase MW and also to dress off cement if no formation should be drilled e.g.: P/J, R/U, BHA, TRI, REA, WAS, C/M, C/P, C/H, and TRT" sqref="AU100" xr:uid="{2F43C37E-922E-436D-8BB0-D1B7281D1DD8}"/>
    <dataValidation allowBlank="1" showInputMessage="1" showErrorMessage="1" prompt="All work related to coring run, e.g.: P/J, BHA, TRI, C/H, CIR, REA, WAS, D/F, L/D." sqref="AU102" xr:uid="{E4C8A150-AD17-4675-9B89-DFD452797296}"/>
    <dataValidation allowBlank="1" showInputMessage="1" showErrorMessage="1" prompt="All work related to drilling run e.g. P/J, BHA, E/C, F/T, F/C, TRI, REA, WAS, C/H, C/S, C/M, C/P, D/C, D/F, D/S, DIR, F/T, LOT, L/D, LWD, T/S, W/T, OPH." sqref="AU103" xr:uid="{69A3600A-81EB-4777-A92E-DB7AB91EEA32}"/>
    <dataValidation allowBlank="1" showInputMessage="1" showErrorMessage="1" prompt="All work related to evaluation of  hole condition, check TOL, TOC, search for casing leak,..) e.g.: BHA, TRI, W/E, CIR. (Note: does not include logging)" sqref="AU105" xr:uid="{F4859DBA-BE38-4B94-AB5B-161F1352FD05}"/>
    <dataValidation allowBlank="1" showInputMessage="1" showErrorMessage="1" prompt="All work related to fishing operation (incl. evaluation such as lead impression block), e.g.: P/J, E/C, F/T, TRI, W/E, W/P, CIR, M/C, M/O." sqref="AU106" xr:uid="{51788339-FFEA-48DC-A450-09FF4B5E0539}"/>
    <dataValidation allowBlank="1" showInputMessage="1" showErrorMessage="1" prompt="All work related to formation treatment such as acidizing, fracturing, gravel pack,… e.g. P/J, BHA, TRI, W/E, " sqref="AU107" xr:uid="{B7C4B199-5171-4577-83B8-35296935E57E}"/>
    <dataValidation allowBlank="1" showInputMessage="1" showErrorMessage="1" prompt="All HSE related activities: DRI, S/M, INV, TRA." sqref="AU108" xr:uid="{345CCA2C-F155-4F29-8192-1D21015E7ECC}"/>
    <dataValidation allowBlank="1" showInputMessage="1" showErrorMessage="1" prompt="Logging related activities e.g.: R/U, TRI, RUN, TCL, WLR, C/T, R/D Note: Logging run should broken down in R/U, RUN (TCL, WLR), C/T, RUN, R/D" sqref="AU109" xr:uid="{7F84344A-911D-401D-B674-B742C4CEA221}"/>
    <dataValidation allowBlank="1" showInputMessage="1" showErrorMessage="1" prompt="All activities related to perforation if they are not part of an entire test run, e.g.: P/J, BHA, TRI, W/E." sqref="AU113 AU115" xr:uid="{E241324D-05C7-454E-8E78-2B207EBAC96E}"/>
    <dataValidation allowBlank="1" showInputMessage="1" showErrorMessage="1" promptTitle="down " prompt="load to activate jar on down stroke " sqref="X44 V44" xr:uid="{490ED49F-1662-4702-AAF0-51429CB8ABB5}"/>
    <dataValidation type="date" operator="greaterThanOrEqual" allowBlank="1" showInputMessage="1" showErrorMessage="1" sqref="AN7:AQ7 T13:W13" xr:uid="{612B9211-A7EF-495A-83BC-6E003E21A93C}">
      <formula1>36161</formula1>
    </dataValidation>
    <dataValidation allowBlank="1" showInputMessage="1" showErrorMessage="1" promptTitle="hrs (of Spud)" prompt="Time of Spud" sqref="AR6:AS6" xr:uid="{50AD6D7A-F3CA-4ABB-8D07-AAEF919F9B06}"/>
    <dataValidation allowBlank="1" showInputMessage="1" showErrorMessage="1" promptTitle="Spud Date" prompt="Spud Date is defined as the date when first formation is drilled. Note: Drilling of mouse/rat hole is not considered as drilling. " sqref="AN6:AQ6" xr:uid="{8B77A688-A26E-4C93-B7A4-9F563EA677DC}"/>
    <dataValidation allowBlank="1" showInputMessage="1" showErrorMessage="1" promptTitle="Classification of well" prompt="EXP for exploration well_x000a_APR for appraisal well_x000a_DEV for development well" sqref="E6:I6" xr:uid="{5E4C1D39-15B2-43BA-B3F9-CC92E5CE1C6A}"/>
    <dataValidation allowBlank="1" showErrorMessage="1" promptTitle="Dia" prompt="Diameter of Casing in Inch" sqref="F18:G18" xr:uid="{3915A88A-C06C-40C6-95A3-E93EDF380791}"/>
    <dataValidation allowBlank="1" showInputMessage="1" showErrorMessage="1" promptTitle="MD" prompt="Measured Depth of Casing (e.g. Casing Shoe) from Reference Level" sqref="I18" xr:uid="{191C9226-B4BE-491C-913A-A59C059D5E10}"/>
    <dataValidation allowBlank="1" showInputMessage="1" showErrorMessage="1" promptTitle="Dia" prompt="Diameter of Casing in Inch" sqref="D18" xr:uid="{F7C486AC-71C0-434C-9D65-F1EC24FC8C7A}"/>
    <dataValidation allowBlank="1" showInputMessage="1" showErrorMessage="1" promptTitle="Wt" prompt="Weight of Casing in ppf" sqref="M18" xr:uid="{13B168A9-6068-4B1F-88BF-6F80EF1418BD}"/>
    <dataValidation allowBlank="1" showInputMessage="1" showErrorMessage="1" promptTitle="Grade" prompt="Steel Grade of Casing" sqref="P18" xr:uid="{0522F3AF-8507-4DED-B6C5-A688888B1788}"/>
    <dataValidation allowBlank="1" showErrorMessage="1" promptTitle="DH Losses" prompt="Down Hole Losses" sqref="AR82:AS82" xr:uid="{CCAE5CC8-B305-48B8-9D46-82020A3D8A4A}"/>
    <dataValidation allowBlank="1" showErrorMessage="1" promptTitle="SF Losses" prompt="Surface Losses" sqref="AL82:AM82" xr:uid="{358F5ED6-34DC-47B7-B835-11F2FED265DE}"/>
    <dataValidation allowBlank="1" showErrorMessage="1" promptTitle="YP" prompt="Latest avaliable YIELD POINT during reporting period (24hrs)" sqref="Y78:AA78" xr:uid="{6B49C014-AB62-49D4-AF6D-D0D9ADEE36A1}"/>
    <dataValidation allowBlank="1" showErrorMessage="1" promptTitle="PV" prompt="Latest avaliable PLASTIC VISCOSITY during reporting period (24hrs)" sqref="U78:V78" xr:uid="{E7B98926-0A1F-4654-9AF1-8B12AA526C48}"/>
    <dataValidation allowBlank="1" showErrorMessage="1" prompt="Latest avaliable Funnel Viscosity during reporting period (24hrs)" sqref="P78:Q78" xr:uid="{A975D38C-6508-433A-851E-F35439E3F42D}"/>
    <dataValidation allowBlank="1" showErrorMessage="1" promptTitle="MW" prompt="Latest avaliable Mud weight during reporting period (24hrs)" sqref="K78:L78" xr:uid="{A2EC0AD4-D774-4F5E-BD73-36A0AC5C04AB}"/>
    <dataValidation allowBlank="1" showErrorMessage="1" promptTitle="DC crit" prompt="Critical velocity (change of flow regime) around largest diameter." sqref="AQ74:AS74" xr:uid="{58E8046F-54E1-4C4A-AF6E-DEDE64CE959B}"/>
    <dataValidation allowBlank="1" showErrorMessage="1" promptTitle="DP" prompt="Annular velocity of mud around smalest diameter (e.g. DP)" sqref="AK74:AM74" xr:uid="{2BA48F0E-49AB-412F-B8A2-F93962EDF9A2}"/>
    <dataValidation allowBlank="1" showErrorMessage="1" promptTitle="DC" prompt="Annular velocity of mud around larges diamtert (e.g.DC)" sqref="AF74:AH74" xr:uid="{5ABC4548-07C9-4236-8C11-56EF5F77FBB2}"/>
    <dataValidation allowBlank="1" showErrorMessage="1" promptTitle="hhp" prompt="Hydraulic horse power in % of total pressure loss (e.g. SPP)" sqref="AC74" xr:uid="{7C12A96B-E252-4B23-9723-FECF7D2A5A3C}"/>
    <dataValidation allowBlank="1" showErrorMessage="1" promptTitle="Jet vel" prompt="Fluid velocity at nozzles" sqref="X74:Y74" xr:uid="{DE78668D-3FAC-4D77-9F43-C0E44DE2A7ED}"/>
    <dataValidation allowBlank="1" showErrorMessage="1" promptTitle="dp mot" prompt="Pressure drop across motor under operating condition (e.g. difference between on bottom (at above mentioned WOB) pressure and off bottom pressure)" sqref="P74:Q74" xr:uid="{6DC747D3-9F34-4E42-B5E5-9827B1C95E27}"/>
    <dataValidation allowBlank="1" showErrorMessage="1" promptTitle="Rate " prompt="Representative flow rate throughout reporting period (24hrs). Only one value!_x000a_" sqref="K74:L74" xr:uid="{843D0284-C094-4BC6-990B-D4730553E5A1}"/>
    <dataValidation type="decimal" operator="greaterThanOrEqual" allowBlank="1" showErrorMessage="1" sqref="A81:AS81" xr:uid="{906E71A5-A3A6-4F97-A0E5-2BD734CDA799}">
      <formula1>0</formula1>
    </dataValidation>
    <dataValidation type="decimal" operator="greaterThanOrEqual" allowBlank="1" showErrorMessage="1" promptTitle="Shaker " prompt="Screen setting on respective shale shaker:_x000a_&quot;number of screens&quot; x &quot;mesh size&quot;_x000a_example: 2x80, 3x120 _x000a_" sqref="W79:AP79" xr:uid="{2C2D450F-2C0C-4B09-8FF9-469BC3B7C769}">
      <formula1>0</formula1>
    </dataValidation>
    <dataValidation allowBlank="1" showInputMessage="1" showErrorMessage="1" promptTitle="Pressure" prompt="Actual SPP (Stand Pipe Pressure) at given flow rate" sqref="C74" xr:uid="{67CCA639-ABEF-4DD0-ADDA-145160AFBAE3}"/>
    <dataValidation allowBlank="1" showInputMessage="1" showErrorMessage="1" promptTitle="No - Run Number" prompt="RUN: RIH string (with or without BHA) with purpous to do something in hole. String on surface (e.g. bit above RT), or change to BHA -&gt; new run (even if same BHA is run). for example: singer run for cementing, logging run, bit run, open DP mud cond run.." sqref="A74 A47 A40 A44" xr:uid="{F3F7B741-6DC2-4A50-B068-CBAD7F4A5DE1}"/>
    <dataValidation allowBlank="1" showInputMessage="1" showErrorMessage="1" promptTitle="Rate " prompt="Representative flow rate throughout reporting period (24hrs). Only one value!_x000a_" sqref="I74" xr:uid="{5FBC9091-DD77-4A7A-A653-ED35FE923F43}"/>
    <dataValidation allowBlank="1" showInputMessage="1" showErrorMessage="1" promptTitle="dp mot" prompt="Pressure drop across motor under operating condition (e.g. difference between on bottom (at above mentioned WOB) pressure and off bottom pressure)" sqref="M74" xr:uid="{765CC8DE-3867-478F-995E-CA8A91179A79}"/>
    <dataValidation allowBlank="1" showInputMessage="1" showErrorMessage="1" promptTitle="hsi" prompt="Hydraulic horse power per square inch " sqref="R74:T74" xr:uid="{F142BDFC-1A39-4732-8C1C-A6D0427FCCAD}"/>
    <dataValidation allowBlank="1" showInputMessage="1" showErrorMessage="1" promptTitle="Jet vel" prompt="Fluid velocity at nozzles" sqref="U74" xr:uid="{5CF53383-F886-43ED-99F0-E6A3CA66B202}"/>
    <dataValidation allowBlank="1" showInputMessage="1" showErrorMessage="1" promptTitle="hhp" prompt="Hydraulic horse power in % of total pressure loss (e.g. SPP)" sqref="Z74" xr:uid="{1C365CD3-DB98-49C6-ABBA-D77A02C403EE}"/>
    <dataValidation allowBlank="1" showInputMessage="1" showErrorMessage="1" promptTitle="DC" prompt="Annular velocity of mud around larges diamtert (e.g.DC)" sqref="AD74" xr:uid="{62F60425-EBA5-4008-8042-ECE6D19C9B0F}"/>
    <dataValidation allowBlank="1" showInputMessage="1" showErrorMessage="1" promptTitle="DP" prompt="Annular velocity of mud around smalest diameter (e.g. DP)" sqref="AI74" xr:uid="{E25C5633-F318-4FE8-B432-F55535393377}"/>
    <dataValidation allowBlank="1" showInputMessage="1" showErrorMessage="1" promptTitle="DC crit" prompt="Critical velocity (change of flow regime) around largest diameter." sqref="AN74" xr:uid="{34273A7A-1B90-4E3E-8B02-B18267337853}"/>
    <dataValidation allowBlank="1" showInputMessage="1" showErrorMessage="1" prompt="Latest avaliable LOW GRAVITY SOLIDS CONTENT during reporting period (24hrs)" sqref="AO80" xr:uid="{DC2A424F-0306-403C-A5DC-29CF6424D865}"/>
    <dataValidation allowBlank="1" showInputMessage="1" showErrorMessage="1" prompt="Latest avaliable HIGH GRAVITY SOLIDS CONTENT during reporting period (24hrs)" sqref="AJ80" xr:uid="{B79B62D8-4A44-4232-A18F-14EF07064618}"/>
    <dataValidation allowBlank="1" showInputMessage="1" showErrorMessage="1" prompt="Latest avaliable SAND FRACTION during reporting period (24hrs)" sqref="AE80" xr:uid="{708DECF9-2E65-4CC0-9FAA-8FBCE7C91FDB}"/>
    <dataValidation allowBlank="1" showInputMessage="1" showErrorMessage="1" prompt="Latest avaliable CONTENT OF DRILLING SOLIDS during reporting period (24hrs)" sqref="Z80" xr:uid="{4F4734A1-CBAE-423E-A29D-3B0F84B0D257}"/>
    <dataValidation allowBlank="1" showInputMessage="1" showErrorMessage="1" prompt="Latest avaliable MUD TEMPERATURE (e.g. T out at flow line)  during reporting period (24hrs)" sqref="U80" xr:uid="{F1BFAF5A-5616-42CA-8F08-331295F46DC0}"/>
    <dataValidation allowBlank="1" showInputMessage="1" showErrorMessage="1" prompt="Latest avaliable Cl- CONCENTRATION during reporting period (24hrs)" sqref="K80" xr:uid="{1CA05EA0-0B89-4B22-90CE-0B1CB8BBB5B5}"/>
    <dataValidation allowBlank="1" showInputMessage="1" showErrorMessage="1" prompt="Latest avaliable METHYLENE BLUE VALUE during reporting period (24hrs)" sqref="E80" xr:uid="{086B2ABB-611E-4C4C-B18C-BA71990E4AC4}"/>
    <dataValidation allowBlank="1" showInputMessage="1" showErrorMessage="1" prompt="Latest avaliable FLITER CAKE during reporting period (24hrs)" sqref="AP78" xr:uid="{91DD819F-0F11-4B3A-A7BC-E524017B8397}"/>
    <dataValidation allowBlank="1" showInputMessage="1" showErrorMessage="1" prompt="Latest avaliable FLUID LOSS during reporting period (24hrs)" sqref="AL78" xr:uid="{553EA58C-ED77-4B76-ADAD-6204F151C72E}"/>
    <dataValidation allowBlank="1" showInputMessage="1" showErrorMessage="1" prompt="Latest avaliable GELS STRENGTH (10s/10min READINGS) during reporting period (24hrs)" sqref="AF78" xr:uid="{BC5EEA1F-9E90-4A66-922B-F21B6C3321AC}"/>
    <dataValidation allowBlank="1" showInputMessage="1" showErrorMessage="1" prompt="Latest avaliable pH VALUE during reporting period (24hrs)" sqref="A80" xr:uid="{9324D2B8-D15D-4246-B5D6-36A2B636988B}"/>
    <dataValidation allowBlank="1" showInputMessage="1" showErrorMessage="1" promptTitle="Shaker " prompt="Screen setting on respective shale shaker:_x000a_&quot;number of screens&quot; x &quot;mesh size&quot;_x000a_example: 2x80, 3x120 _x000a_" sqref="A82 R82 J82" xr:uid="{A0A9790C-74D3-4B34-A5C8-625DBA067DAB}"/>
    <dataValidation allowBlank="1" showInputMessage="1" showErrorMessage="1" promptTitle="MW" prompt="Latest avaliable Mud weight during reporting period (24hrs)" sqref="H78:J78" xr:uid="{AC9D9CCA-AEAC-481B-AA7D-BA14BBFF6C9A}"/>
    <dataValidation allowBlank="1" showInputMessage="1" showErrorMessage="1" prompt="Latest avaliable Funnel Viscosity during reporting period (24hrs)" sqref="M78:O78" xr:uid="{50DDD6E9-60D3-47EE-9D8B-228AFED367F4}"/>
    <dataValidation allowBlank="1" showInputMessage="1" showErrorMessage="1" promptTitle="PV" prompt="Latest avaliable PLASTIC VISCOSITY during reporting period (24hrs)" sqref="R78:T78" xr:uid="{93987495-4BC0-4DD8-ABDC-9B754AE43014}"/>
    <dataValidation allowBlank="1" showInputMessage="1" showErrorMessage="1" promptTitle="YP" prompt="Latest avaliable YIELD POINT during reporting period (24hrs)" sqref="W78:X78" xr:uid="{337F1C86-0FF0-491A-AF9F-3170B6326112}"/>
    <dataValidation allowBlank="1" showInputMessage="1" showErrorMessage="1" prompt="Latest avaliable 6/3 READINGS during reporting period (24hrs)" sqref="AB78" xr:uid="{EDD879F3-F023-4A1C-B19E-0BAA6D44C34B}"/>
    <dataValidation allowBlank="1" showInputMessage="1" showErrorMessage="1" promptTitle="Time" prompt="Timeformat: hh:mm_x000a_from 0:00 to 24:00 hrs (this will change automaticaly to 0:00 next day)" sqref="A91:B91" xr:uid="{3918E8B1-4224-4EC4-8592-96F979367654}"/>
    <dataValidation allowBlank="1" showInputMessage="1" showErrorMessage="1" prompt="Timeformat: hh:mm_x000a_from 0:00 to 24:00 hrs (this will change automaticaly to 0:00 next day)" sqref="C91:D91" xr:uid="{21C44493-CE85-4AA3-A932-9330A9950515}"/>
    <dataValidation allowBlank="1" showInputMessage="1" showErrorMessage="1" promptTitle="ROP" prompt="Average rate of penetration over 24 hrs._x000a_(e.g.: [m/d] / [hrs/d] ) or [ft/d]/hrs/d]_x000a_Note: Automatically Calculated from previous data_x000a_NOTE: UNITS MUST BE CONSISTENT!!!!!" sqref="G12" xr:uid="{1CE2EDC0-F064-46E8-8914-3F1C674430CE}"/>
    <dataValidation operator="greaterThanOrEqual" allowBlank="1" showInputMessage="1" showErrorMessage="1" prompt="Automatically Calculated" sqref="G13" xr:uid="{9EFED1E4-8641-4990-BD4E-596D7BE4F89B}"/>
    <dataValidation allowBlank="1" showInputMessage="1" showErrorMessage="1" promptTitle="Cum Losses" prompt="Cumulative Losses in the well" sqref="AN82:AQ82" xr:uid="{16989C15-71CB-42D8-8155-B4F54889D4DB}"/>
    <dataValidation allowBlank="1" showInputMessage="1" showErrorMessage="1" promptTitle="DH Losses" prompt="Downhole Losses" sqref="AH82:AK82" xr:uid="{D6C61E44-2AC9-48AF-8858-3750A955095E}"/>
    <dataValidation allowBlank="1" showInputMessage="1" showErrorMessage="1" promptTitle="SF Losses" prompt="Surface losses_x000a_" sqref="Z82:AD82" xr:uid="{C4C2C600-133D-4FFD-A618-19FDDF1ED8AB}"/>
    <dataValidation allowBlank="1" showInputMessage="1" showErrorMessage="1" prompt="activities  to set, retrieve or work equipment (e.g. packer, retrieve  liner hanger, cut casing,…) e.g.: BHA, F/T, E/C, TRI, CIR, W/E" sqref="AU104" xr:uid="{AD9E6D99-E518-419E-B393-1D1001AAF0C3}"/>
    <dataValidation allowBlank="1" showInputMessage="1" showErrorMessage="1" prompt="Latest avaliable K+ CONCENTRATION during reporting period (24hrs)" sqref="P80" xr:uid="{A6634607-3086-417A-A401-50A4D28D36DD}"/>
    <dataValidation type="list" allowBlank="1" showInputMessage="1" showErrorMessage="1" sqref="AY40" xr:uid="{3FC5A6E9-5B1E-4DDB-ADF3-01687EAFAC3B}">
      <formula1>$AY$41:$AY$44</formula1>
    </dataValidation>
    <dataValidation type="list" allowBlank="1" showInputMessage="1" showErrorMessage="1" sqref="AY45" xr:uid="{71188648-511D-4F59-A190-D310069AFB23}">
      <formula1>$AY$46:$AY$48</formula1>
    </dataValidation>
    <dataValidation type="list" allowBlank="1" showInputMessage="1" showErrorMessage="1" sqref="H107:I108 H122:I122" xr:uid="{073601D5-2FD6-4E14-9175-88EF2941C1BF}">
      <formula1>$AT$91:$AT$120</formula1>
    </dataValidation>
    <dataValidation type="list" allowBlank="1" showInputMessage="1" showErrorMessage="1" sqref="J121:K122 J107:K107" xr:uid="{2E904DDB-384A-4A82-B7FD-ECED81347F0D}">
      <formula1>$AV$91:$AV$148</formula1>
    </dataValidation>
    <dataValidation type="list" allowBlank="1" showInputMessage="1" showErrorMessage="1" sqref="J108:K109" xr:uid="{E65D0C6B-3F41-494A-9DB3-B165268B5451}">
      <formula1>$AV$98:$AV$153</formula1>
    </dataValidation>
    <dataValidation type="list" allowBlank="1" showInputMessage="1" showErrorMessage="1" sqref="AY99" xr:uid="{9DD619F2-E6F6-439E-BF51-F114EF64F16E}">
      <formula1>$AY$100:$AY$101</formula1>
    </dataValidation>
    <dataValidation type="list" allowBlank="1" showInputMessage="1" showErrorMessage="1" sqref="J110 J111:K111" xr:uid="{B7F0FA7C-98FD-46E5-AD62-A1246AF200EE}">
      <formula1>$AV$98:$AV$155</formula1>
    </dataValidation>
    <dataValidation type="list" allowBlank="1" showInputMessage="1" showErrorMessage="1" sqref="H109:H110 H111:I111 H121" xr:uid="{1D8631F5-DC1F-47BC-8487-8854F395FE02}">
      <formula1>$AT$98:$AT$127</formula1>
    </dataValidation>
    <dataValidation type="list" allowBlank="1" showInputMessage="1" showErrorMessage="1" sqref="AY58" xr:uid="{7FA99357-B548-4484-8280-4578BC5CA8FE}">
      <formula1>$AY$59:$AY$74</formula1>
    </dataValidation>
    <dataValidation allowBlank="1" showInputMessage="1" showErrorMessage="1" prompt="All activities which cannot be specified under avaliable operations." sqref="AU111" xr:uid="{0B67CDB1-CB93-4738-90ED-349AFC1E7D2F}"/>
    <dataValidation allowBlank="1" showInputMessage="1" showErrorMessage="1" prompt="All activities related to milling operations excluding fishing related milling operations (milling for side track, bridge plug milling,…) e.g.: P/J, BHA, F/T, TRI, W/E, M/C, M/O, CIR" sqref="AU110" xr:uid="{9E3E7809-B2AD-43B8-AE5B-A26D62CAA7D5}"/>
    <dataValidation allowBlank="1" showInputMessage="1" showErrorMessage="1" prompt="All work related to installation of completion , e.g.: P/J, R/U, BHA, E/C, F/T, TRI, W/E" sqref="AU101" xr:uid="{F2D787AD-9F3D-4545-9123-A5E55FC3B008}"/>
    <dataValidation allowBlank="1" showInputMessage="1" showErrorMessage="1" promptTitle="No -  Run Number" prompt="RUN: RIH string (with or without BHA) with purpous to do something in hole. String on surface (e.g. bit above RT), or change to BHA -&gt; new run (even if same BHA is run). for example: singer run for cementing, logging run, bit run, open DP mud cond run.." sqref="A37" xr:uid="{08A1F663-4BF0-4AF7-9F91-DE65DCAD36DC}"/>
    <dataValidation type="list" allowBlank="1" showInputMessage="1" showErrorMessage="1" sqref="AO19:AO25" xr:uid="{CB13B1E7-7730-49F3-82E5-4594D778D0A3}">
      <formula1>$AT$21:$AT$25</formula1>
    </dataValidation>
    <dataValidation type="list" allowBlank="1" showInputMessage="1" showErrorMessage="1" promptTitle="Last LTI" prompt="Date of last LTI or Start of Work of Contractor/Operation" sqref="T12:W12" xr:uid="{9167014A-3AB4-4259-9700-F1AC9BD241A9}">
      <formula1>$AT$18:$AT$19</formula1>
    </dataValidation>
    <dataValidation type="list" allowBlank="1" showInputMessage="1" showErrorMessage="1" sqref="AY19" xr:uid="{63F7EF46-F613-4B6E-B3D1-C93D905B5005}">
      <formula1>$AY$20:$AY$21</formula1>
    </dataValidation>
    <dataValidation type="list" allowBlank="1" showInputMessage="1" showErrorMessage="1" sqref="AY22" xr:uid="{6068FEA0-1192-4740-B5F3-B872C6F849A6}">
      <formula1>$AY$23:$AY$25</formula1>
    </dataValidation>
    <dataValidation type="list" allowBlank="1" showInputMessage="1" showErrorMessage="1" sqref="AY26" xr:uid="{B39BC0B9-1A27-4FD7-A797-D0826BF73481}">
      <formula1>$AY$27:$AY$29</formula1>
    </dataValidation>
    <dataValidation type="list" allowBlank="1" showInputMessage="1" showErrorMessage="1" sqref="AY30" xr:uid="{1F3036DF-E120-4DD3-8D4F-F0CCB9502CE5}">
      <formula1>$AY$31:$AY$34</formula1>
    </dataValidation>
    <dataValidation type="list" allowBlank="1" showInputMessage="1" showErrorMessage="1" sqref="AY50" xr:uid="{00CFE68A-B16F-4A8A-92F5-997D83C657D3}">
      <formula1>$AY$51:$AY$53</formula1>
    </dataValidation>
    <dataValidation type="list" allowBlank="1" showInputMessage="1" showErrorMessage="1" sqref="AY79" xr:uid="{2350A052-0B81-4D44-A064-5DA6458127D6}">
      <formula1>$AY$80:$AY$81</formula1>
    </dataValidation>
    <dataValidation type="list" allowBlank="1" showInputMessage="1" showErrorMessage="1" sqref="AY82" xr:uid="{EC2BAD5B-FCE6-4AEE-982C-7313D4D42F16}">
      <formula1>$AY$83:$AY$84</formula1>
    </dataValidation>
    <dataValidation type="list" allowBlank="1" showInputMessage="1" showErrorMessage="1" sqref="AY85" xr:uid="{47FD36A2-BAEA-4B4B-A6BA-FB57E40AE979}">
      <formula1>$AY$86:$AY$87</formula1>
    </dataValidation>
    <dataValidation type="list" allowBlank="1" showInputMessage="1" showErrorMessage="1" sqref="AY88" xr:uid="{170C5171-6CE3-4466-8AB4-B8F7D5EDF584}">
      <formula1>$AY$89:$AY$90</formula1>
    </dataValidation>
    <dataValidation type="list" allowBlank="1" showInputMessage="1" showErrorMessage="1" sqref="AY91" xr:uid="{CF2B22E7-E6D2-4049-BF5F-B544D2AF7FCD}">
      <formula1>$AY$92:$AY$95</formula1>
    </dataValidation>
    <dataValidation type="list" allowBlank="1" showInputMessage="1" showErrorMessage="1" sqref="AY102" xr:uid="{B235FC78-E244-4714-9B66-5792F76510EB}">
      <formula1>$AY$103:$AY$107</formula1>
    </dataValidation>
    <dataValidation type="list" allowBlank="1" showInputMessage="1" showErrorMessage="1" sqref="AY108" xr:uid="{321F6D80-C7BB-450F-AE41-803BD6459680}">
      <formula1>$AY$109:$AY$117</formula1>
    </dataValidation>
    <dataValidation type="date" operator="greaterThan" allowBlank="1" showInputMessage="1" showErrorMessage="1" sqref="AB13:AS13 AP27:AS30" xr:uid="{71869BB6-53C6-44FE-BB7B-AAB5780BDC24}">
      <formula1>36161</formula1>
    </dataValidation>
    <dataValidation type="list" allowBlank="1" showInputMessage="1" showErrorMessage="1" sqref="A19:C24" xr:uid="{05FB4C25-E0EF-4876-9C26-A82A00A5BF0A}">
      <formula1>$AT$27:$AT$32</formula1>
    </dataValidation>
    <dataValidation type="whole" operator="greaterThan" allowBlank="1" showInputMessage="1" showErrorMessage="1" sqref="A33:B35" xr:uid="{79CEB64C-F221-43A9-BB2E-C266D43410AB}">
      <formula1>0</formula1>
    </dataValidation>
    <dataValidation allowBlank="1" showErrorMessage="1" promptTitle="Wt" prompt="Weight of given BHA in Air" sqref="AO34:AP34" xr:uid="{EEACAF2E-D3B2-4E3E-9B78-19E39419FC26}"/>
    <dataValidation type="list" allowBlank="1" showInputMessage="1" showErrorMessage="1" sqref="AY75" xr:uid="{9433B23A-113C-408C-AEF0-1B62F01426E8}">
      <formula1>$AY$76:$AY$78</formula1>
    </dataValidation>
    <dataValidation type="date" operator="greaterThanOrEqual" allowBlank="1" showInputMessage="1" showErrorMessage="1" prompt="_x000a_" sqref="AP1:AS1" xr:uid="{8A1C3D70-E075-4537-A849-7C99486C5003}">
      <formula1>1</formula1>
    </dataValidation>
    <dataValidation type="list" allowBlank="1" showInputMessage="1" showErrorMessage="1" sqref="AY96" xr:uid="{D1927104-DA34-42EC-9691-4583D335B985}">
      <formula1>$AY$97:$AY$98</formula1>
    </dataValidation>
    <dataValidation operator="greaterThanOrEqual" allowBlank="1" showInputMessage="1" sqref="D19:H22" xr:uid="{146407B7-31E7-47E5-8F8B-D44421768095}"/>
    <dataValidation type="decimal" operator="greaterThanOrEqual" allowBlank="1" showInputMessage="1" showErrorMessage="1" sqref="W130:Y133 K41:AS42 AP4:AS4 Y19:Y24 C75:C76 N26:Q26 E28:E30 A28:B30 J28:K30 N28:O30 D76:H76 S9 I75:AS76 V28:W30 AG38:AG39 F38:G39 V26:Y26 AQ33:AS35 M23:M24 I19:I24 AD9:AS9 E53:E55 P45:P46 AL45:AL46 AN45:AS46 AL130:AS133 M19:M20 R28:S30 F41:G42 H79 V45:Y46 V48:X50 D24 E9:M9 AQ48:AS50 AC19:AN25 AH83:AS83 M79:V79 R45:R46" xr:uid="{6601CF42-CE4F-4125-B9B1-F7F0E198A710}">
      <formula1>0</formula1>
    </dataValidation>
    <dataValidation type="list" allowBlank="1" showInputMessage="1" showErrorMessage="1" sqref="A136:C137 Q136:S137" xr:uid="{98890BCD-C9B8-4B08-A074-8DA89A84C188}">
      <formula1>$AT$137:$AT$145</formula1>
    </dataValidation>
    <dataValidation allowBlank="1" showInputMessage="1" showErrorMessage="1" promptTitle="Warning message" prompt="The warning meassage will appear if total hrs (sum of above hrs) differ from 24.00. " sqref="H112:AS112" xr:uid="{0E950630-35F6-4E40-B56E-EB050BA745B0}"/>
    <dataValidation allowBlank="1" showErrorMessage="1" prompt="Automatically Calculated" sqref="A127:AS127" xr:uid="{DC7303AB-67E5-46BC-AD7A-EE80E2FD372A}"/>
    <dataValidation type="list" allowBlank="1" showInputMessage="1" showErrorMessage="1" sqref="AY118" xr:uid="{1B99F33E-4518-4221-B955-74AB6BD58CD9}">
      <formula1>$AY$119:$AY$120</formula1>
    </dataValidation>
    <dataValidation type="list" allowBlank="1" showInputMessage="1" showErrorMessage="1" sqref="J102:K102 J104:K106" xr:uid="{EE36A9B6-A60A-4A95-8487-3929D8FC43F2}">
      <formula1>$AV$97:$AV$157</formula1>
    </dataValidation>
    <dataValidation type="list" allowBlank="1" showInputMessage="1" showErrorMessage="1" sqref="AY35" xr:uid="{CC4B46A9-1C0D-4698-A9CC-3A03214EAF7E}">
      <formula1>#REF!</formula1>
    </dataValidation>
    <dataValidation type="list" allowBlank="1" showInputMessage="1" showErrorMessage="1" sqref="H118:I119" xr:uid="{0997891A-F6C0-4CD0-980E-2D610B6F046F}">
      <formula1>$AT$100:$AT$130</formula1>
    </dataValidation>
    <dataValidation type="list" allowBlank="1" showInputMessage="1" showErrorMessage="1" sqref="J118:K119" xr:uid="{C6D740B3-477F-4A97-A69C-EEE805D89667}">
      <formula1>$AV$100:$AV$159</formula1>
    </dataValidation>
    <dataValidation type="list" allowBlank="1" showInputMessage="1" showErrorMessage="1" sqref="J120:K120" xr:uid="{62BF95FF-CB37-4B0F-B977-90219A073613}">
      <formula1>$AV$97:$AV$158</formula1>
    </dataValidation>
    <dataValidation type="list" allowBlank="1" showInputMessage="1" showErrorMessage="1" sqref="H105:I106" xr:uid="{7C7CE4D3-4EF1-4884-8E44-8CD6478ADDC0}">
      <formula1>$AT$89:$AT$119</formula1>
    </dataValidation>
    <dataValidation type="list" allowBlank="1" showInputMessage="1" showErrorMessage="1" sqref="H103:I103 H98:I98" xr:uid="{FCBEDAD1-B014-4A10-BD17-43E9622733ED}">
      <formula1>$AT$88:$AT$128</formula1>
    </dataValidation>
    <dataValidation type="list" allowBlank="1" showInputMessage="1" showErrorMessage="1" sqref="J99:K101 J116:K117" xr:uid="{3F8731EB-946B-49EB-8F8D-01BCDE02C126}">
      <formula1>$AV$92:$AV$144</formula1>
    </dataValidation>
    <dataValidation type="list" allowBlank="1" showInputMessage="1" showErrorMessage="1" sqref="H99:H101 H116:H117" xr:uid="{67775E80-C2B9-477D-A078-E742E031BE86}">
      <formula1>$AT$92:$AT$118</formula1>
    </dataValidation>
    <dataValidation type="list" allowBlank="1" showInputMessage="1" showErrorMessage="1" sqref="J93:J94 J115:K115 K94 J92:K92" xr:uid="{153DE936-B395-4F65-A6BB-AA9A7CA2BBC0}">
      <formula1>$AV$93:$AV$154</formula1>
    </dataValidation>
    <dataValidation type="list" allowBlank="1" showInputMessage="1" showErrorMessage="1" sqref="J97:K98" xr:uid="{1E8F01E9-12C0-426E-9EB6-221AEED6021A}">
      <formula1>$AV$96:$AV$155</formula1>
    </dataValidation>
  </dataValidations>
  <pageMargins left="0.7" right="0.7" top="0.75" bottom="0.75" header="0.3" footer="0.3"/>
  <drawing r:id="rId1"/>
  <legacyDrawing r:id="rId2"/>
  <controls>
    <mc:AlternateContent xmlns:mc="http://schemas.openxmlformats.org/markup-compatibility/2006">
      <mc:Choice Requires="x14">
        <control shapeId="1026" r:id="rId3" name="CommandButton1">
          <controlPr defaultSize="0" autoLine="0" r:id="rId4">
            <anchor moveWithCells="1">
              <from>
                <xdr:col>3</xdr:col>
                <xdr:colOff>215900</xdr:colOff>
                <xdr:row>0</xdr:row>
                <xdr:rowOff>19050</xdr:rowOff>
              </from>
              <to>
                <xdr:col>7</xdr:col>
                <xdr:colOff>88900</xdr:colOff>
                <xdr:row>4</xdr:row>
                <xdr:rowOff>12700</xdr:rowOff>
              </to>
            </anchor>
          </controlPr>
        </control>
      </mc:Choice>
      <mc:Fallback>
        <control shapeId="1026"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582AA-E8E8-406A-B335-EF760437276C}">
  <sheetPr codeName="Sheet14">
    <tabColor theme="9" tint="0.39997558519241921"/>
  </sheetPr>
  <dimension ref="A1:V22"/>
  <sheetViews>
    <sheetView showGridLines="0" workbookViewId="0">
      <selection activeCell="B5" sqref="B5"/>
    </sheetView>
  </sheetViews>
  <sheetFormatPr defaultRowHeight="14.5" x14ac:dyDescent="0.35"/>
  <cols>
    <col min="3" max="3" width="7.08984375" customWidth="1"/>
    <col min="9" max="10" width="8.7265625" customWidth="1"/>
  </cols>
  <sheetData>
    <row r="1" spans="1:22" x14ac:dyDescent="0.35">
      <c r="A1" s="58"/>
      <c r="B1" s="58"/>
      <c r="C1" s="58"/>
      <c r="D1" s="58"/>
      <c r="E1" s="58"/>
      <c r="F1" s="58"/>
      <c r="G1" s="58"/>
      <c r="H1" s="58"/>
      <c r="I1" s="58"/>
      <c r="J1" s="58"/>
      <c r="K1" s="58"/>
      <c r="L1" s="58"/>
      <c r="M1" s="58"/>
      <c r="N1" s="58"/>
      <c r="O1" s="58"/>
      <c r="P1" s="58"/>
      <c r="Q1" s="58"/>
      <c r="R1" s="58"/>
      <c r="S1" s="58"/>
      <c r="T1" s="58"/>
      <c r="U1" s="58"/>
      <c r="V1" s="58"/>
    </row>
    <row r="2" spans="1:22" x14ac:dyDescent="0.35">
      <c r="A2" s="58"/>
      <c r="B2" s="58"/>
      <c r="C2" s="58"/>
      <c r="D2" s="58"/>
      <c r="E2" s="58"/>
      <c r="F2" s="58"/>
      <c r="G2" s="58"/>
      <c r="H2" s="58"/>
      <c r="I2" s="58"/>
      <c r="J2" s="58"/>
      <c r="K2" s="58"/>
      <c r="L2" s="58"/>
      <c r="M2" s="58"/>
      <c r="N2" s="58"/>
      <c r="O2" s="58"/>
      <c r="P2" s="58"/>
      <c r="Q2" s="58"/>
      <c r="R2" s="58"/>
      <c r="S2" s="58"/>
      <c r="T2" s="58"/>
      <c r="U2" s="58"/>
      <c r="V2" s="58"/>
    </row>
    <row r="3" spans="1:22" x14ac:dyDescent="0.35">
      <c r="A3" s="58"/>
      <c r="B3" s="58"/>
      <c r="C3" s="58"/>
      <c r="D3" s="58"/>
      <c r="E3" s="58"/>
      <c r="F3" s="58"/>
      <c r="G3" s="58"/>
      <c r="H3" s="58"/>
      <c r="I3" s="58"/>
      <c r="J3" s="58"/>
      <c r="K3" s="58"/>
      <c r="L3" s="58"/>
      <c r="M3" s="58"/>
      <c r="N3" s="58"/>
      <c r="O3" s="58"/>
      <c r="P3" s="58"/>
      <c r="Q3" s="58"/>
      <c r="R3" s="58"/>
      <c r="S3" s="58"/>
      <c r="T3" s="58"/>
      <c r="U3" s="58"/>
      <c r="V3" s="58"/>
    </row>
    <row r="4" spans="1:22" x14ac:dyDescent="0.35">
      <c r="A4" s="58"/>
      <c r="B4" s="58"/>
      <c r="C4" s="58"/>
      <c r="D4" s="58"/>
      <c r="E4" s="58"/>
      <c r="F4" s="58"/>
      <c r="G4" s="58"/>
      <c r="H4" s="58"/>
      <c r="I4" s="58"/>
      <c r="J4" s="58"/>
      <c r="K4" s="58"/>
      <c r="L4" s="58"/>
      <c r="M4" s="58"/>
      <c r="N4" s="58"/>
      <c r="O4" s="58"/>
      <c r="P4" s="58"/>
      <c r="Q4" s="58"/>
      <c r="R4" s="58"/>
      <c r="S4" s="58"/>
      <c r="T4" s="58"/>
      <c r="U4" s="58"/>
      <c r="V4" s="58"/>
    </row>
    <row r="5" spans="1:22" x14ac:dyDescent="0.35">
      <c r="A5" s="58"/>
      <c r="B5" s="58"/>
      <c r="C5" s="58"/>
      <c r="D5" s="58"/>
      <c r="E5" s="58"/>
      <c r="F5" s="58"/>
      <c r="G5" s="58"/>
      <c r="H5" s="58"/>
      <c r="I5" s="58"/>
      <c r="J5" s="58"/>
      <c r="K5" s="58"/>
      <c r="L5" s="58"/>
      <c r="M5" s="58"/>
      <c r="N5" s="58"/>
      <c r="O5" s="58"/>
      <c r="P5" s="58"/>
      <c r="Q5" s="58"/>
      <c r="R5" s="58"/>
      <c r="S5" s="58"/>
      <c r="T5" s="58"/>
      <c r="U5" s="58"/>
      <c r="V5" s="58"/>
    </row>
    <row r="6" spans="1:22" x14ac:dyDescent="0.35">
      <c r="A6" s="58"/>
      <c r="B6" s="58"/>
      <c r="C6" s="58"/>
      <c r="D6" s="58"/>
      <c r="E6" s="58"/>
      <c r="F6" s="58"/>
      <c r="G6" s="58"/>
      <c r="H6" s="58"/>
      <c r="I6" s="58"/>
      <c r="J6" s="58"/>
      <c r="K6" s="58"/>
      <c r="L6" s="58"/>
      <c r="M6" s="58"/>
      <c r="N6" s="58"/>
      <c r="O6" s="58"/>
      <c r="P6" s="58"/>
      <c r="Q6" s="58"/>
      <c r="R6" s="58"/>
      <c r="S6" s="58"/>
      <c r="T6" s="58"/>
      <c r="U6" s="58"/>
      <c r="V6" s="58"/>
    </row>
    <row r="7" spans="1:22" x14ac:dyDescent="0.35">
      <c r="A7" s="58"/>
      <c r="B7" s="58"/>
      <c r="C7" s="58"/>
      <c r="D7" s="58"/>
      <c r="E7" s="58"/>
      <c r="F7" s="58"/>
      <c r="G7" s="58"/>
      <c r="H7" s="58"/>
      <c r="I7" s="58"/>
      <c r="J7" s="58"/>
      <c r="K7" s="58"/>
      <c r="L7" s="58"/>
      <c r="M7" s="58"/>
      <c r="N7" s="58"/>
      <c r="O7" s="58"/>
      <c r="P7" s="58"/>
      <c r="Q7" s="58"/>
      <c r="R7" s="58"/>
      <c r="S7" s="58"/>
      <c r="T7" s="58"/>
      <c r="U7" s="58"/>
      <c r="V7" s="58"/>
    </row>
    <row r="8" spans="1:22" x14ac:dyDescent="0.35">
      <c r="A8" s="58"/>
      <c r="B8" s="58"/>
      <c r="C8" s="58"/>
      <c r="D8" s="58"/>
      <c r="E8" s="58"/>
      <c r="F8" s="58"/>
      <c r="G8" s="58"/>
      <c r="H8" s="58"/>
      <c r="I8" s="58"/>
      <c r="J8" s="58"/>
      <c r="K8" s="58"/>
      <c r="L8" s="58"/>
      <c r="M8" s="58"/>
      <c r="N8" s="58"/>
      <c r="O8" s="58"/>
      <c r="P8" s="58"/>
      <c r="Q8" s="58"/>
      <c r="R8" s="58"/>
      <c r="S8" s="58"/>
      <c r="T8" s="58"/>
      <c r="U8" s="58"/>
      <c r="V8" s="58"/>
    </row>
    <row r="9" spans="1:22" x14ac:dyDescent="0.35">
      <c r="A9" s="58"/>
      <c r="B9" s="58"/>
      <c r="C9" s="58"/>
      <c r="D9" s="58"/>
      <c r="E9" s="58"/>
      <c r="F9" s="58"/>
      <c r="G9" s="58"/>
      <c r="H9" s="58"/>
      <c r="I9" s="58"/>
      <c r="J9" s="58"/>
      <c r="K9" s="58"/>
      <c r="L9" s="58"/>
      <c r="M9" s="58"/>
      <c r="N9" s="58"/>
      <c r="O9" s="58"/>
      <c r="P9" s="58"/>
      <c r="Q9" s="58"/>
      <c r="R9" s="58"/>
      <c r="S9" s="58"/>
      <c r="T9" s="58"/>
      <c r="U9" s="58"/>
      <c r="V9" s="58"/>
    </row>
    <row r="10" spans="1:22" x14ac:dyDescent="0.35">
      <c r="A10" s="58"/>
      <c r="B10" s="58"/>
      <c r="C10" s="58"/>
      <c r="D10" s="58"/>
      <c r="E10" s="58"/>
      <c r="F10" s="58"/>
      <c r="G10" s="58"/>
      <c r="H10" s="58"/>
      <c r="I10" s="58"/>
      <c r="J10" s="58"/>
      <c r="K10" s="58"/>
      <c r="L10" s="58"/>
      <c r="M10" s="58"/>
      <c r="N10" s="58"/>
      <c r="O10" s="58"/>
      <c r="P10" s="58"/>
      <c r="Q10" s="58"/>
      <c r="R10" s="58"/>
      <c r="S10" s="58"/>
      <c r="T10" s="58"/>
      <c r="U10" s="58"/>
      <c r="V10" s="58"/>
    </row>
    <row r="11" spans="1:22" x14ac:dyDescent="0.35">
      <c r="A11" s="58"/>
      <c r="B11" s="58"/>
      <c r="C11" s="58"/>
      <c r="D11" s="58"/>
      <c r="E11" s="58"/>
      <c r="F11" s="58"/>
      <c r="G11" s="58"/>
      <c r="H11" s="58"/>
      <c r="I11" s="58"/>
      <c r="J11" s="58"/>
      <c r="K11" s="58"/>
      <c r="L11" s="58"/>
      <c r="M11" s="58"/>
      <c r="N11" s="58"/>
      <c r="O11" s="58"/>
      <c r="P11" s="58"/>
      <c r="Q11" s="58"/>
      <c r="R11" s="58"/>
      <c r="S11" s="58"/>
      <c r="T11" s="58"/>
      <c r="U11" s="58"/>
      <c r="V11" s="58"/>
    </row>
    <row r="12" spans="1:22" x14ac:dyDescent="0.35">
      <c r="A12" s="58"/>
      <c r="B12" s="58"/>
      <c r="C12" s="58"/>
      <c r="D12" s="58"/>
      <c r="E12" s="58"/>
      <c r="F12" s="58"/>
      <c r="G12" s="58"/>
      <c r="H12" s="58"/>
      <c r="I12" s="58"/>
      <c r="J12" s="58"/>
      <c r="K12" s="58"/>
      <c r="L12" s="58"/>
      <c r="M12" s="58"/>
      <c r="N12" s="58"/>
      <c r="O12" s="58"/>
      <c r="P12" s="58"/>
      <c r="Q12" s="58"/>
      <c r="R12" s="58"/>
      <c r="S12" s="58"/>
      <c r="T12" s="58"/>
      <c r="U12" s="58"/>
      <c r="V12" s="58"/>
    </row>
    <row r="13" spans="1:22" x14ac:dyDescent="0.35">
      <c r="A13" s="58"/>
      <c r="B13" s="58"/>
      <c r="C13" s="58"/>
      <c r="D13" s="58"/>
      <c r="E13" s="58"/>
      <c r="F13" s="58"/>
      <c r="G13" s="58"/>
      <c r="H13" s="58"/>
      <c r="I13" s="58"/>
      <c r="J13" s="58"/>
      <c r="K13" s="58"/>
      <c r="L13" s="58"/>
      <c r="M13" s="58"/>
      <c r="N13" s="58"/>
      <c r="O13" s="58"/>
      <c r="P13" s="58"/>
      <c r="Q13" s="58"/>
      <c r="R13" s="58"/>
      <c r="S13" s="58"/>
      <c r="T13" s="58"/>
      <c r="U13" s="58"/>
      <c r="V13" s="58"/>
    </row>
    <row r="14" spans="1:22" x14ac:dyDescent="0.35">
      <c r="A14" s="58"/>
      <c r="B14" s="58"/>
      <c r="C14" s="58"/>
      <c r="D14" s="58"/>
      <c r="E14" s="58"/>
      <c r="F14" s="58"/>
      <c r="G14" s="58"/>
      <c r="H14" s="58"/>
      <c r="I14" s="58"/>
      <c r="J14" s="58"/>
      <c r="K14" s="58"/>
      <c r="L14" s="58"/>
      <c r="M14" s="58"/>
      <c r="N14" s="58"/>
      <c r="O14" s="58"/>
      <c r="P14" s="58"/>
      <c r="Q14" s="58"/>
      <c r="R14" s="58"/>
      <c r="S14" s="58"/>
      <c r="T14" s="58"/>
      <c r="U14" s="58"/>
      <c r="V14" s="58"/>
    </row>
    <row r="15" spans="1:22" x14ac:dyDescent="0.35">
      <c r="A15" s="58"/>
      <c r="B15" s="58"/>
      <c r="C15" s="58"/>
      <c r="D15" s="58"/>
      <c r="E15" s="58"/>
      <c r="F15" s="58"/>
      <c r="G15" s="58"/>
      <c r="H15" s="58"/>
      <c r="I15" s="58"/>
      <c r="J15" s="58"/>
      <c r="K15" s="58"/>
      <c r="L15" s="58"/>
      <c r="M15" s="58"/>
      <c r="N15" s="58"/>
      <c r="O15" s="58"/>
      <c r="P15" s="58"/>
      <c r="Q15" s="58"/>
      <c r="R15" s="58"/>
      <c r="S15" s="58"/>
      <c r="T15" s="58"/>
      <c r="U15" s="58"/>
      <c r="V15" s="58"/>
    </row>
    <row r="16" spans="1:22" x14ac:dyDescent="0.35">
      <c r="A16" s="58"/>
      <c r="B16" s="58"/>
      <c r="C16" s="58"/>
      <c r="D16" s="58"/>
      <c r="E16" s="58"/>
      <c r="F16" s="58"/>
      <c r="G16" s="58"/>
      <c r="H16" s="58"/>
      <c r="I16" s="58"/>
      <c r="J16" s="58"/>
      <c r="K16" s="58"/>
      <c r="L16" s="58"/>
      <c r="M16" s="58"/>
      <c r="N16" s="58"/>
      <c r="O16" s="58"/>
      <c r="P16" s="58"/>
      <c r="Q16" s="58"/>
      <c r="R16" s="58"/>
      <c r="S16" s="58"/>
      <c r="T16" s="58"/>
      <c r="U16" s="58"/>
      <c r="V16" s="58"/>
    </row>
    <row r="17" spans="1:22" x14ac:dyDescent="0.35">
      <c r="A17" s="58"/>
      <c r="B17" s="58"/>
      <c r="C17" s="58"/>
      <c r="D17" s="58"/>
      <c r="E17" s="58"/>
      <c r="F17" s="58"/>
      <c r="G17" s="58"/>
      <c r="H17" s="58"/>
      <c r="I17" s="58"/>
      <c r="J17" s="58"/>
      <c r="K17" s="58"/>
      <c r="L17" s="58"/>
      <c r="M17" s="58"/>
      <c r="N17" s="58"/>
      <c r="O17" s="58"/>
      <c r="P17" s="58"/>
      <c r="Q17" s="58"/>
      <c r="R17" s="58"/>
      <c r="S17" s="58"/>
      <c r="T17" s="58"/>
      <c r="U17" s="58"/>
      <c r="V17" s="58"/>
    </row>
    <row r="18" spans="1:22" x14ac:dyDescent="0.35">
      <c r="A18" s="58"/>
      <c r="B18" s="58"/>
      <c r="C18" s="58"/>
      <c r="D18" s="58"/>
      <c r="E18" s="58"/>
      <c r="F18" s="58"/>
      <c r="G18" s="58"/>
      <c r="H18" s="58"/>
      <c r="I18" s="58"/>
      <c r="J18" s="58"/>
      <c r="K18" s="58"/>
      <c r="L18" s="58"/>
      <c r="M18" s="58"/>
      <c r="N18" s="58"/>
      <c r="O18" s="58"/>
      <c r="P18" s="58"/>
      <c r="Q18" s="58"/>
      <c r="R18" s="58"/>
      <c r="S18" s="58"/>
      <c r="T18" s="58"/>
      <c r="U18" s="58"/>
      <c r="V18" s="58"/>
    </row>
    <row r="19" spans="1:22" x14ac:dyDescent="0.35">
      <c r="A19" s="58"/>
      <c r="B19" s="58"/>
      <c r="C19" s="58"/>
      <c r="D19" s="58"/>
      <c r="E19" s="58"/>
      <c r="F19" s="58"/>
      <c r="G19" s="58"/>
      <c r="H19" s="58"/>
      <c r="I19" s="58"/>
      <c r="J19" s="58"/>
      <c r="K19" s="58"/>
      <c r="L19" s="58"/>
      <c r="M19" s="58"/>
      <c r="N19" s="58"/>
      <c r="O19" s="58"/>
      <c r="P19" s="58"/>
      <c r="Q19" s="58"/>
      <c r="R19" s="58"/>
      <c r="S19" s="58"/>
      <c r="T19" s="58"/>
      <c r="U19" s="58"/>
      <c r="V19" s="58"/>
    </row>
    <row r="20" spans="1:22" x14ac:dyDescent="0.35">
      <c r="A20" s="58"/>
      <c r="B20" s="58"/>
      <c r="C20" s="58"/>
      <c r="D20" s="58"/>
      <c r="E20" s="58"/>
      <c r="F20" s="58"/>
      <c r="G20" s="58"/>
      <c r="H20" s="58"/>
      <c r="I20" s="58"/>
      <c r="J20" s="58"/>
      <c r="K20" s="58"/>
      <c r="L20" s="58"/>
      <c r="M20" s="58"/>
      <c r="N20" s="58"/>
      <c r="O20" s="58"/>
      <c r="P20" s="58"/>
      <c r="Q20" s="58"/>
      <c r="R20" s="58"/>
      <c r="S20" s="58"/>
      <c r="T20" s="58"/>
      <c r="U20" s="58"/>
      <c r="V20" s="58"/>
    </row>
    <row r="21" spans="1:22" x14ac:dyDescent="0.35">
      <c r="A21" s="58"/>
      <c r="B21" s="58"/>
      <c r="C21" s="58"/>
      <c r="D21" s="58"/>
      <c r="E21" s="58"/>
      <c r="F21" s="58"/>
      <c r="G21" s="58"/>
      <c r="H21" s="58"/>
      <c r="I21" s="58"/>
      <c r="J21" s="58"/>
      <c r="K21" s="58"/>
      <c r="L21" s="58"/>
      <c r="M21" s="58"/>
      <c r="N21" s="58"/>
      <c r="O21" s="58"/>
      <c r="P21" s="58"/>
      <c r="Q21" s="58"/>
      <c r="R21" s="58"/>
      <c r="S21" s="58"/>
      <c r="T21" s="58"/>
      <c r="U21" s="58"/>
      <c r="V21" s="58"/>
    </row>
    <row r="22" spans="1:22" x14ac:dyDescent="0.35">
      <c r="A22" s="58"/>
      <c r="B22" s="58"/>
      <c r="C22" s="58"/>
      <c r="D22" s="58"/>
      <c r="E22" s="58"/>
      <c r="F22" s="58"/>
      <c r="G22" s="58"/>
      <c r="H22" s="58"/>
      <c r="I22" s="58"/>
      <c r="J22" s="58"/>
      <c r="K22" s="58"/>
      <c r="L22" s="58"/>
      <c r="M22" s="58"/>
      <c r="N22" s="58"/>
      <c r="O22" s="58"/>
      <c r="P22" s="58"/>
      <c r="Q22" s="58"/>
      <c r="R22" s="58"/>
      <c r="S22" s="58"/>
      <c r="T22" s="58"/>
      <c r="U22" s="58"/>
      <c r="V22" s="58"/>
    </row>
  </sheetData>
  <pageMargins left="0.7" right="0.7" top="0.75" bottom="0.75" header="0.3" footer="0.3"/>
  <drawing r:id="rId1"/>
  <legacyDrawing r:id="rId2"/>
  <controls>
    <mc:AlternateContent xmlns:mc="http://schemas.openxmlformats.org/markup-compatibility/2006">
      <mc:Choice Requires="x14">
        <control shapeId="18452" r:id="rId3" name="CommandButton19">
          <controlPr defaultSize="0" autoLine="0" r:id="rId4">
            <anchor moveWithCells="1">
              <from>
                <xdr:col>4</xdr:col>
                <xdr:colOff>381000</xdr:colOff>
                <xdr:row>1</xdr:row>
                <xdr:rowOff>57150</xdr:rowOff>
              </from>
              <to>
                <xdr:col>8</xdr:col>
                <xdr:colOff>146050</xdr:colOff>
                <xdr:row>3</xdr:row>
                <xdr:rowOff>95250</xdr:rowOff>
              </to>
            </anchor>
          </controlPr>
        </control>
      </mc:Choice>
      <mc:Fallback>
        <control shapeId="18452" r:id="rId3" name="CommandButton19"/>
      </mc:Fallback>
    </mc:AlternateContent>
    <mc:AlternateContent xmlns:mc="http://schemas.openxmlformats.org/markup-compatibility/2006">
      <mc:Choice Requires="x14">
        <control shapeId="18450" r:id="rId5" name="CommandButton18">
          <controlPr defaultSize="0" autoLine="0" autoPict="0" r:id="rId6">
            <anchor moveWithCells="1">
              <from>
                <xdr:col>11</xdr:col>
                <xdr:colOff>184150</xdr:colOff>
                <xdr:row>16</xdr:row>
                <xdr:rowOff>171450</xdr:rowOff>
              </from>
              <to>
                <xdr:col>15</xdr:col>
                <xdr:colOff>57150</xdr:colOff>
                <xdr:row>19</xdr:row>
                <xdr:rowOff>50800</xdr:rowOff>
              </to>
            </anchor>
          </controlPr>
        </control>
      </mc:Choice>
      <mc:Fallback>
        <control shapeId="18450" r:id="rId5" name="CommandButton18"/>
      </mc:Fallback>
    </mc:AlternateContent>
    <mc:AlternateContent xmlns:mc="http://schemas.openxmlformats.org/markup-compatibility/2006">
      <mc:Choice Requires="x14">
        <control shapeId="18449" r:id="rId7" name="CommandButton17">
          <controlPr defaultSize="0" autoLine="0" r:id="rId8">
            <anchor moveWithCells="1">
              <from>
                <xdr:col>11</xdr:col>
                <xdr:colOff>165100</xdr:colOff>
                <xdr:row>13</xdr:row>
                <xdr:rowOff>31750</xdr:rowOff>
              </from>
              <to>
                <xdr:col>15</xdr:col>
                <xdr:colOff>57150</xdr:colOff>
                <xdr:row>15</xdr:row>
                <xdr:rowOff>69850</xdr:rowOff>
              </to>
            </anchor>
          </controlPr>
        </control>
      </mc:Choice>
      <mc:Fallback>
        <control shapeId="18449" r:id="rId7" name="CommandButton17"/>
      </mc:Fallback>
    </mc:AlternateContent>
    <mc:AlternateContent xmlns:mc="http://schemas.openxmlformats.org/markup-compatibility/2006">
      <mc:Choice Requires="x14">
        <control shapeId="18448" r:id="rId9" name="CommandButton16">
          <controlPr defaultSize="0" autoLine="0" r:id="rId10">
            <anchor moveWithCells="1">
              <from>
                <xdr:col>11</xdr:col>
                <xdr:colOff>165100</xdr:colOff>
                <xdr:row>9</xdr:row>
                <xdr:rowOff>76200</xdr:rowOff>
              </from>
              <to>
                <xdr:col>15</xdr:col>
                <xdr:colOff>57150</xdr:colOff>
                <xdr:row>11</xdr:row>
                <xdr:rowOff>114300</xdr:rowOff>
              </to>
            </anchor>
          </controlPr>
        </control>
      </mc:Choice>
      <mc:Fallback>
        <control shapeId="18448" r:id="rId9" name="CommandButton16"/>
      </mc:Fallback>
    </mc:AlternateContent>
    <mc:AlternateContent xmlns:mc="http://schemas.openxmlformats.org/markup-compatibility/2006">
      <mc:Choice Requires="x14">
        <control shapeId="18438" r:id="rId11" name="CommandButton6">
          <controlPr defaultSize="0" autoLine="0" r:id="rId12">
            <anchor moveWithCells="1">
              <from>
                <xdr:col>4</xdr:col>
                <xdr:colOff>406400</xdr:colOff>
                <xdr:row>17</xdr:row>
                <xdr:rowOff>0</xdr:rowOff>
              </from>
              <to>
                <xdr:col>8</xdr:col>
                <xdr:colOff>152400</xdr:colOff>
                <xdr:row>19</xdr:row>
                <xdr:rowOff>38100</xdr:rowOff>
              </to>
            </anchor>
          </controlPr>
        </control>
      </mc:Choice>
      <mc:Fallback>
        <control shapeId="18438" r:id="rId11" name="CommandButton6"/>
      </mc:Fallback>
    </mc:AlternateContent>
    <mc:AlternateContent xmlns:mc="http://schemas.openxmlformats.org/markup-compatibility/2006">
      <mc:Choice Requires="x14">
        <control shapeId="18437" r:id="rId13" name="CommandButton5">
          <controlPr defaultSize="0" autoLine="0" r:id="rId14">
            <anchor moveWithCells="1">
              <from>
                <xdr:col>4</xdr:col>
                <xdr:colOff>406400</xdr:colOff>
                <xdr:row>13</xdr:row>
                <xdr:rowOff>12700</xdr:rowOff>
              </from>
              <to>
                <xdr:col>8</xdr:col>
                <xdr:colOff>133350</xdr:colOff>
                <xdr:row>15</xdr:row>
                <xdr:rowOff>50800</xdr:rowOff>
              </to>
            </anchor>
          </controlPr>
        </control>
      </mc:Choice>
      <mc:Fallback>
        <control shapeId="18437" r:id="rId13" name="CommandButton5"/>
      </mc:Fallback>
    </mc:AlternateContent>
    <mc:AlternateContent xmlns:mc="http://schemas.openxmlformats.org/markup-compatibility/2006">
      <mc:Choice Requires="x14">
        <control shapeId="18436" r:id="rId15" name="CommandButton4">
          <controlPr defaultSize="0" autoLine="0" r:id="rId16">
            <anchor moveWithCells="1">
              <from>
                <xdr:col>4</xdr:col>
                <xdr:colOff>374650</xdr:colOff>
                <xdr:row>9</xdr:row>
                <xdr:rowOff>19050</xdr:rowOff>
              </from>
              <to>
                <xdr:col>8</xdr:col>
                <xdr:colOff>139700</xdr:colOff>
                <xdr:row>11</xdr:row>
                <xdr:rowOff>57150</xdr:rowOff>
              </to>
            </anchor>
          </controlPr>
        </control>
      </mc:Choice>
      <mc:Fallback>
        <control shapeId="18436" r:id="rId15" name="CommandButton4"/>
      </mc:Fallback>
    </mc:AlternateContent>
    <mc:AlternateContent xmlns:mc="http://schemas.openxmlformats.org/markup-compatibility/2006">
      <mc:Choice Requires="x14">
        <control shapeId="18435" r:id="rId17" name="CommandButton3">
          <controlPr defaultSize="0" autoLine="0" r:id="rId18">
            <anchor moveWithCells="1">
              <from>
                <xdr:col>11</xdr:col>
                <xdr:colOff>171450</xdr:colOff>
                <xdr:row>5</xdr:row>
                <xdr:rowOff>63500</xdr:rowOff>
              </from>
              <to>
                <xdr:col>15</xdr:col>
                <xdr:colOff>63500</xdr:colOff>
                <xdr:row>7</xdr:row>
                <xdr:rowOff>101600</xdr:rowOff>
              </to>
            </anchor>
          </controlPr>
        </control>
      </mc:Choice>
      <mc:Fallback>
        <control shapeId="18435" r:id="rId17" name="CommandButton3"/>
      </mc:Fallback>
    </mc:AlternateContent>
    <mc:AlternateContent xmlns:mc="http://schemas.openxmlformats.org/markup-compatibility/2006">
      <mc:Choice Requires="x14">
        <control shapeId="18434" r:id="rId19" name="CommandButton2">
          <controlPr defaultSize="0" autoLine="0" r:id="rId20">
            <anchor moveWithCells="1">
              <from>
                <xdr:col>4</xdr:col>
                <xdr:colOff>381000</xdr:colOff>
                <xdr:row>5</xdr:row>
                <xdr:rowOff>31750</xdr:rowOff>
              </from>
              <to>
                <xdr:col>8</xdr:col>
                <xdr:colOff>133350</xdr:colOff>
                <xdr:row>7</xdr:row>
                <xdr:rowOff>69850</xdr:rowOff>
              </to>
            </anchor>
          </controlPr>
        </control>
      </mc:Choice>
      <mc:Fallback>
        <control shapeId="18434" r:id="rId19" name="CommandButton2"/>
      </mc:Fallback>
    </mc:AlternateContent>
    <mc:AlternateContent xmlns:mc="http://schemas.openxmlformats.org/markup-compatibility/2006">
      <mc:Choice Requires="x14">
        <control shapeId="18433" r:id="rId21" name="CommandButton1">
          <controlPr defaultSize="0" autoLine="0" r:id="rId22">
            <anchor moveWithCells="1">
              <from>
                <xdr:col>11</xdr:col>
                <xdr:colOff>184150</xdr:colOff>
                <xdr:row>1</xdr:row>
                <xdr:rowOff>88900</xdr:rowOff>
              </from>
              <to>
                <xdr:col>15</xdr:col>
                <xdr:colOff>69850</xdr:colOff>
                <xdr:row>3</xdr:row>
                <xdr:rowOff>127000</xdr:rowOff>
              </to>
            </anchor>
          </controlPr>
        </control>
      </mc:Choice>
      <mc:Fallback>
        <control shapeId="18433" r:id="rId21"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68823-BE34-48BE-AFED-ED284FD0754B}">
  <sheetPr codeName="Sheet29"/>
  <dimension ref="A1:AA54"/>
  <sheetViews>
    <sheetView zoomScaleNormal="100" workbookViewId="0">
      <selection activeCell="F61" sqref="F61"/>
    </sheetView>
  </sheetViews>
  <sheetFormatPr defaultRowHeight="12.5" x14ac:dyDescent="0.25"/>
  <cols>
    <col min="1" max="1" width="9.90625" style="11" bestFit="1" customWidth="1"/>
    <col min="2" max="2" width="9" style="405" customWidth="1"/>
    <col min="3" max="4" width="8.7265625" style="11"/>
    <col min="5" max="5" width="21.54296875" style="11" customWidth="1"/>
    <col min="6" max="6" width="11.453125" style="11" customWidth="1"/>
    <col min="7" max="7" width="14.26953125" style="11" customWidth="1"/>
    <col min="8" max="13" width="8.7265625" style="11"/>
    <col min="14" max="14" width="7.26953125" style="11" customWidth="1"/>
    <col min="15" max="15" width="8.7265625" style="11"/>
    <col min="16" max="16" width="8.36328125" style="11" customWidth="1"/>
    <col min="17" max="19" width="8.7265625" style="11"/>
    <col min="20" max="20" width="9.54296875" style="11" customWidth="1"/>
    <col min="21" max="25" width="8.7265625" style="11"/>
    <col min="26" max="26" width="58.6328125" style="11" customWidth="1"/>
    <col min="27" max="27" width="47.1796875" style="11" customWidth="1"/>
    <col min="28" max="16384" width="8.7265625" style="11"/>
  </cols>
  <sheetData>
    <row r="1" spans="1:27" s="6" customFormat="1" ht="30" customHeight="1" x14ac:dyDescent="0.35">
      <c r="A1" s="6" t="s">
        <v>8</v>
      </c>
      <c r="B1" s="6" t="s">
        <v>1189</v>
      </c>
      <c r="C1" s="6" t="s">
        <v>448</v>
      </c>
      <c r="D1" s="6" t="s">
        <v>126</v>
      </c>
      <c r="E1" s="6" t="s">
        <v>3</v>
      </c>
      <c r="F1" s="6" t="s">
        <v>449</v>
      </c>
      <c r="G1" s="6" t="s">
        <v>450</v>
      </c>
      <c r="H1" s="6" t="s">
        <v>447</v>
      </c>
      <c r="I1" s="6" t="s">
        <v>445</v>
      </c>
      <c r="J1" s="6" t="s">
        <v>1303</v>
      </c>
      <c r="K1" s="6" t="s">
        <v>446</v>
      </c>
      <c r="L1" s="6" t="s">
        <v>536</v>
      </c>
      <c r="M1" s="6" t="s">
        <v>537</v>
      </c>
      <c r="N1" s="6" t="s">
        <v>413</v>
      </c>
      <c r="O1" s="6" t="s">
        <v>456</v>
      </c>
      <c r="P1" s="6" t="s">
        <v>457</v>
      </c>
      <c r="Q1" s="6" t="s">
        <v>451</v>
      </c>
      <c r="R1" s="6" t="s">
        <v>452</v>
      </c>
      <c r="S1" s="6" t="s">
        <v>453</v>
      </c>
      <c r="T1" s="6" t="s">
        <v>454</v>
      </c>
      <c r="U1" s="6" t="s">
        <v>386</v>
      </c>
      <c r="V1" s="6" t="s">
        <v>477</v>
      </c>
      <c r="W1" s="6" t="s">
        <v>1196</v>
      </c>
      <c r="X1" s="6" t="s">
        <v>1197</v>
      </c>
      <c r="Y1" s="6" t="s">
        <v>1198</v>
      </c>
      <c r="Z1" s="6" t="s">
        <v>414</v>
      </c>
      <c r="AA1" s="6" t="s">
        <v>468</v>
      </c>
    </row>
    <row r="2" spans="1:27" ht="21.5" customHeight="1" x14ac:dyDescent="0.25">
      <c r="A2" s="10">
        <v>43937</v>
      </c>
      <c r="B2" s="405">
        <v>26</v>
      </c>
      <c r="C2" s="11">
        <v>1</v>
      </c>
      <c r="D2" s="11">
        <v>53</v>
      </c>
      <c r="E2" s="59" t="s">
        <v>623</v>
      </c>
      <c r="F2" s="11" t="s">
        <v>554</v>
      </c>
      <c r="G2" s="11" t="s">
        <v>555</v>
      </c>
      <c r="H2" s="11">
        <v>36</v>
      </c>
      <c r="I2" s="11">
        <v>1.06</v>
      </c>
      <c r="J2" s="10" t="s">
        <v>624</v>
      </c>
      <c r="K2" s="11">
        <v>1.0961375</v>
      </c>
      <c r="L2" s="59" t="s">
        <v>609</v>
      </c>
      <c r="M2" s="59" t="s">
        <v>610</v>
      </c>
      <c r="N2" s="11">
        <v>156</v>
      </c>
      <c r="O2" s="11">
        <v>17</v>
      </c>
      <c r="P2" s="11">
        <v>250</v>
      </c>
      <c r="Q2" s="11">
        <v>1</v>
      </c>
      <c r="R2" s="10" t="s">
        <v>624</v>
      </c>
      <c r="S2" s="10">
        <v>43936</v>
      </c>
      <c r="T2" s="10" t="s">
        <v>624</v>
      </c>
      <c r="U2" s="11">
        <v>1048</v>
      </c>
      <c r="V2" s="11">
        <v>150</v>
      </c>
      <c r="W2" s="11">
        <v>5000</v>
      </c>
      <c r="X2" s="11">
        <v>102561</v>
      </c>
      <c r="Y2" s="11">
        <v>475</v>
      </c>
      <c r="Z2" s="11" t="s">
        <v>617</v>
      </c>
      <c r="AA2" s="6" t="s">
        <v>625</v>
      </c>
    </row>
    <row r="3" spans="1:27" x14ac:dyDescent="0.25">
      <c r="A3" s="10">
        <v>43938</v>
      </c>
      <c r="B3" s="405">
        <v>26</v>
      </c>
      <c r="C3" s="11">
        <v>2</v>
      </c>
      <c r="D3" s="11">
        <v>258</v>
      </c>
      <c r="E3" s="11" t="s">
        <v>623</v>
      </c>
      <c r="F3" s="11" t="s">
        <v>626</v>
      </c>
      <c r="G3" s="11" t="s">
        <v>627</v>
      </c>
      <c r="H3" s="11">
        <v>205</v>
      </c>
      <c r="I3" s="11">
        <v>1.08</v>
      </c>
      <c r="J3" s="10" t="s">
        <v>624</v>
      </c>
      <c r="K3" s="11">
        <v>1.0633937499999999</v>
      </c>
      <c r="L3" s="11" t="s">
        <v>609</v>
      </c>
      <c r="M3" s="11" t="s">
        <v>610</v>
      </c>
      <c r="N3" s="11">
        <v>157</v>
      </c>
      <c r="O3" s="11">
        <v>17</v>
      </c>
      <c r="P3" s="11">
        <v>256</v>
      </c>
      <c r="Q3" s="11">
        <v>2</v>
      </c>
      <c r="R3" s="10" t="s">
        <v>624</v>
      </c>
      <c r="S3" s="10">
        <v>43936</v>
      </c>
      <c r="T3" s="158" t="s">
        <v>624</v>
      </c>
      <c r="U3" s="11">
        <v>1033</v>
      </c>
      <c r="V3" s="11">
        <v>150</v>
      </c>
      <c r="W3" s="11">
        <v>5000</v>
      </c>
      <c r="X3" s="11">
        <v>138491</v>
      </c>
      <c r="Y3" s="11">
        <v>6070</v>
      </c>
      <c r="Z3" s="11" t="s">
        <v>624</v>
      </c>
      <c r="AA3" s="11" t="s">
        <v>631</v>
      </c>
    </row>
    <row r="4" spans="1:27" x14ac:dyDescent="0.25">
      <c r="A4" s="10">
        <v>43939</v>
      </c>
      <c r="B4" s="405">
        <v>26</v>
      </c>
      <c r="C4" s="11">
        <v>3</v>
      </c>
      <c r="D4" s="11">
        <v>258</v>
      </c>
      <c r="E4" s="11" t="s">
        <v>624</v>
      </c>
      <c r="F4" s="11" t="s">
        <v>632</v>
      </c>
      <c r="G4" s="11" t="s">
        <v>633</v>
      </c>
      <c r="H4" s="11" t="s">
        <v>624</v>
      </c>
      <c r="I4" s="11">
        <v>1.1000000000000001</v>
      </c>
      <c r="J4" s="10" t="s">
        <v>624</v>
      </c>
      <c r="K4" s="11">
        <v>1.1614562500000001</v>
      </c>
      <c r="L4" s="11" t="s">
        <v>609</v>
      </c>
      <c r="M4" s="11" t="s">
        <v>610</v>
      </c>
      <c r="N4" s="11">
        <v>159</v>
      </c>
      <c r="O4" s="11">
        <v>17</v>
      </c>
      <c r="P4" s="11">
        <v>256</v>
      </c>
      <c r="Q4" s="11">
        <v>3</v>
      </c>
      <c r="R4" s="10" t="s">
        <v>624</v>
      </c>
      <c r="S4" s="10">
        <v>43936</v>
      </c>
      <c r="T4" s="10" t="s">
        <v>624</v>
      </c>
      <c r="U4" s="11">
        <v>1018</v>
      </c>
      <c r="V4" s="11">
        <v>150</v>
      </c>
      <c r="W4" s="11">
        <v>5000</v>
      </c>
      <c r="X4" s="11">
        <v>132883</v>
      </c>
      <c r="Y4" s="11">
        <v>5608</v>
      </c>
      <c r="Z4" s="11" t="s">
        <v>624</v>
      </c>
      <c r="AA4" s="11" t="s">
        <v>636</v>
      </c>
    </row>
    <row r="5" spans="1:27" x14ac:dyDescent="0.25">
      <c r="A5" s="10">
        <v>43940</v>
      </c>
      <c r="B5" s="405">
        <v>26</v>
      </c>
      <c r="C5" s="11">
        <v>4</v>
      </c>
      <c r="D5" s="11">
        <v>258</v>
      </c>
      <c r="E5" s="11" t="s">
        <v>624</v>
      </c>
      <c r="F5" s="11" t="s">
        <v>668</v>
      </c>
      <c r="G5" s="11" t="s">
        <v>672</v>
      </c>
      <c r="H5" s="11" t="s">
        <v>624</v>
      </c>
      <c r="I5" s="11">
        <v>1.1000000000000001</v>
      </c>
      <c r="J5" s="10" t="s">
        <v>624</v>
      </c>
      <c r="K5" s="11">
        <v>1.34366875</v>
      </c>
      <c r="L5" s="11" t="s">
        <v>609</v>
      </c>
      <c r="M5" s="11" t="s">
        <v>610</v>
      </c>
      <c r="N5" s="11">
        <v>157</v>
      </c>
      <c r="O5" s="11">
        <v>256</v>
      </c>
      <c r="P5" s="11">
        <v>1085</v>
      </c>
      <c r="Q5" s="11">
        <v>4</v>
      </c>
      <c r="R5" s="10" t="s">
        <v>624</v>
      </c>
      <c r="S5" s="10">
        <v>43936</v>
      </c>
      <c r="T5" s="10" t="s">
        <v>624</v>
      </c>
      <c r="U5" s="11">
        <v>1018</v>
      </c>
      <c r="V5" s="11">
        <v>150</v>
      </c>
      <c r="W5" s="11">
        <v>5000</v>
      </c>
      <c r="X5" s="11">
        <v>129804</v>
      </c>
      <c r="Y5" s="11">
        <v>3079</v>
      </c>
      <c r="Z5" s="11" t="s">
        <v>624</v>
      </c>
      <c r="AA5" s="11" t="s">
        <v>673</v>
      </c>
    </row>
    <row r="6" spans="1:27" x14ac:dyDescent="0.25">
      <c r="A6" s="10">
        <v>43941</v>
      </c>
      <c r="B6" s="405">
        <v>17.5</v>
      </c>
      <c r="C6" s="11">
        <v>5</v>
      </c>
      <c r="D6" s="11">
        <v>279</v>
      </c>
      <c r="E6" s="11" t="s">
        <v>683</v>
      </c>
      <c r="F6" s="11" t="s">
        <v>674</v>
      </c>
      <c r="G6" s="11" t="s">
        <v>675</v>
      </c>
      <c r="H6" s="11">
        <v>21</v>
      </c>
      <c r="I6" s="11">
        <v>1.1499999999999999</v>
      </c>
      <c r="J6" s="10" t="s">
        <v>624</v>
      </c>
      <c r="K6" s="11">
        <v>1.42015625</v>
      </c>
      <c r="L6" s="11" t="s">
        <v>609</v>
      </c>
      <c r="M6" s="11" t="s">
        <v>610</v>
      </c>
      <c r="N6" s="11">
        <v>155</v>
      </c>
      <c r="O6" s="11">
        <v>256</v>
      </c>
      <c r="P6" s="11">
        <v>1085</v>
      </c>
      <c r="Q6" s="11">
        <v>5</v>
      </c>
      <c r="R6" s="10" t="s">
        <v>624</v>
      </c>
      <c r="S6" s="10">
        <v>43936</v>
      </c>
      <c r="T6" s="10" t="s">
        <v>624</v>
      </c>
      <c r="U6" s="11">
        <v>968</v>
      </c>
      <c r="V6" s="11">
        <v>150</v>
      </c>
      <c r="W6" s="11">
        <v>5000</v>
      </c>
      <c r="X6" s="11">
        <v>126367</v>
      </c>
      <c r="Y6" s="11">
        <v>3437</v>
      </c>
      <c r="Z6" s="11" t="s">
        <v>624</v>
      </c>
      <c r="AA6" s="11" t="s">
        <v>684</v>
      </c>
    </row>
    <row r="7" spans="1:27" x14ac:dyDescent="0.25">
      <c r="A7" s="10">
        <v>43942</v>
      </c>
      <c r="B7" s="405">
        <v>17.5</v>
      </c>
      <c r="C7" s="11">
        <v>6</v>
      </c>
      <c r="D7" s="11">
        <v>813</v>
      </c>
      <c r="E7" s="11" t="s">
        <v>683</v>
      </c>
      <c r="F7" s="11" t="s">
        <v>687</v>
      </c>
      <c r="G7" s="11" t="s">
        <v>688</v>
      </c>
      <c r="H7" s="11">
        <v>534</v>
      </c>
      <c r="I7" s="11">
        <v>1.32</v>
      </c>
      <c r="J7" s="10" t="s">
        <v>624</v>
      </c>
      <c r="K7" s="11">
        <v>1.5443374999999999</v>
      </c>
      <c r="L7" s="11" t="s">
        <v>609</v>
      </c>
      <c r="M7" s="11" t="s">
        <v>610</v>
      </c>
      <c r="N7" s="11">
        <v>163</v>
      </c>
      <c r="O7" s="11">
        <v>256</v>
      </c>
      <c r="P7" s="11">
        <v>1085</v>
      </c>
      <c r="Q7" s="11">
        <v>6</v>
      </c>
      <c r="R7" s="10" t="s">
        <v>624</v>
      </c>
      <c r="S7" s="10">
        <v>43936</v>
      </c>
      <c r="T7" s="10" t="s">
        <v>624</v>
      </c>
      <c r="U7" s="11">
        <v>888</v>
      </c>
      <c r="V7" s="11">
        <v>150</v>
      </c>
      <c r="W7" s="11">
        <v>5000</v>
      </c>
      <c r="X7" s="11">
        <v>120752</v>
      </c>
      <c r="Y7" s="11">
        <v>5615</v>
      </c>
      <c r="Z7" s="11" t="s">
        <v>624</v>
      </c>
      <c r="AA7" s="11" t="s">
        <v>778</v>
      </c>
    </row>
    <row r="8" spans="1:27" x14ac:dyDescent="0.25">
      <c r="A8" s="10">
        <v>43943</v>
      </c>
      <c r="B8" s="405">
        <v>17.5</v>
      </c>
      <c r="C8" s="11">
        <v>7</v>
      </c>
      <c r="D8" s="11">
        <v>1050</v>
      </c>
      <c r="E8" s="11" t="s">
        <v>697</v>
      </c>
      <c r="F8" s="11" t="s">
        <v>691</v>
      </c>
      <c r="G8" s="11" t="s">
        <v>692</v>
      </c>
      <c r="H8" s="11">
        <v>237</v>
      </c>
      <c r="I8" s="11">
        <v>1.45</v>
      </c>
      <c r="J8" s="10" t="s">
        <v>624</v>
      </c>
      <c r="K8" s="11">
        <v>1.6126687499999999</v>
      </c>
      <c r="L8" s="11" t="s">
        <v>609</v>
      </c>
      <c r="M8" s="11" t="s">
        <v>610</v>
      </c>
      <c r="N8" s="11">
        <v>170</v>
      </c>
      <c r="O8" s="11">
        <v>256</v>
      </c>
      <c r="P8" s="11">
        <v>1052</v>
      </c>
      <c r="Q8" s="11">
        <v>7</v>
      </c>
      <c r="R8" s="10" t="s">
        <v>624</v>
      </c>
      <c r="S8" s="10">
        <v>43936</v>
      </c>
      <c r="T8" s="10" t="s">
        <v>624</v>
      </c>
      <c r="U8" s="11">
        <v>838</v>
      </c>
      <c r="V8" s="11">
        <v>150</v>
      </c>
      <c r="W8" s="11">
        <v>5000</v>
      </c>
      <c r="X8" s="11">
        <v>112726</v>
      </c>
      <c r="Y8" s="11">
        <v>8026</v>
      </c>
      <c r="Z8" s="11" t="s">
        <v>696</v>
      </c>
      <c r="AA8" s="11" t="s">
        <v>698</v>
      </c>
    </row>
    <row r="9" spans="1:27" x14ac:dyDescent="0.25">
      <c r="A9" s="10">
        <v>43944</v>
      </c>
      <c r="B9" s="405">
        <v>17.5</v>
      </c>
      <c r="C9" s="11">
        <v>8</v>
      </c>
      <c r="D9" s="11">
        <v>1054</v>
      </c>
      <c r="E9" s="11" t="s">
        <v>624</v>
      </c>
      <c r="F9" s="11" t="s">
        <v>701</v>
      </c>
      <c r="G9" s="11" t="s">
        <v>702</v>
      </c>
      <c r="H9" s="11">
        <v>4</v>
      </c>
      <c r="I9" s="11">
        <v>1.47</v>
      </c>
      <c r="J9" s="10" t="s">
        <v>624</v>
      </c>
      <c r="K9" s="11">
        <v>1.654625</v>
      </c>
      <c r="L9" s="11" t="s">
        <v>609</v>
      </c>
      <c r="M9" s="11" t="s">
        <v>610</v>
      </c>
      <c r="N9" s="11">
        <v>171</v>
      </c>
      <c r="O9" s="11">
        <v>256</v>
      </c>
      <c r="P9" s="11">
        <v>1052</v>
      </c>
      <c r="Q9" s="11">
        <v>8</v>
      </c>
      <c r="R9" s="10" t="s">
        <v>624</v>
      </c>
      <c r="S9" s="10">
        <v>43942</v>
      </c>
      <c r="T9" s="10" t="s">
        <v>624</v>
      </c>
      <c r="U9" s="11">
        <v>798</v>
      </c>
      <c r="V9" s="11">
        <v>150</v>
      </c>
      <c r="W9" s="11">
        <v>5000</v>
      </c>
      <c r="X9" s="11">
        <v>106611</v>
      </c>
      <c r="Y9" s="11">
        <v>6115</v>
      </c>
      <c r="Z9" s="11" t="s">
        <v>703</v>
      </c>
      <c r="AA9" s="11" t="s">
        <v>704</v>
      </c>
    </row>
    <row r="10" spans="1:27" x14ac:dyDescent="0.25">
      <c r="A10" s="10">
        <v>43945</v>
      </c>
      <c r="B10" s="405">
        <v>17.5</v>
      </c>
      <c r="C10" s="11">
        <v>9</v>
      </c>
      <c r="D10" s="11">
        <v>1054</v>
      </c>
      <c r="E10" s="11" t="s">
        <v>624</v>
      </c>
      <c r="F10" s="11" t="s">
        <v>709</v>
      </c>
      <c r="G10" s="11" t="s">
        <v>710</v>
      </c>
      <c r="H10" s="11" t="s">
        <v>624</v>
      </c>
      <c r="I10" s="11">
        <v>1.47</v>
      </c>
      <c r="J10" s="10" t="s">
        <v>624</v>
      </c>
      <c r="K10" s="11">
        <v>1.7000250000000001</v>
      </c>
      <c r="L10" s="11" t="s">
        <v>609</v>
      </c>
      <c r="M10" s="11" t="s">
        <v>610</v>
      </c>
      <c r="N10" s="11">
        <v>167</v>
      </c>
      <c r="O10" s="11">
        <v>1052</v>
      </c>
      <c r="P10" s="11">
        <v>3008</v>
      </c>
      <c r="Q10" s="11">
        <v>9</v>
      </c>
      <c r="R10" s="10" t="s">
        <v>624</v>
      </c>
      <c r="S10" s="10">
        <v>43942</v>
      </c>
      <c r="T10" s="10" t="s">
        <v>624</v>
      </c>
      <c r="U10" s="11">
        <v>823</v>
      </c>
      <c r="V10" s="11">
        <v>150</v>
      </c>
      <c r="W10" s="11">
        <v>5000</v>
      </c>
      <c r="X10" s="11">
        <v>122651</v>
      </c>
      <c r="Y10" s="11">
        <v>4960</v>
      </c>
      <c r="Z10" s="11" t="s">
        <v>714</v>
      </c>
      <c r="AA10" s="11" t="s">
        <v>715</v>
      </c>
    </row>
    <row r="11" spans="1:27" x14ac:dyDescent="0.25">
      <c r="A11" s="10">
        <v>43946</v>
      </c>
      <c r="B11" s="405">
        <v>17.5</v>
      </c>
      <c r="C11" s="11">
        <v>10</v>
      </c>
      <c r="D11" s="11">
        <v>1054</v>
      </c>
      <c r="E11" s="11" t="s">
        <v>624</v>
      </c>
      <c r="F11" s="11" t="s">
        <v>716</v>
      </c>
      <c r="G11" s="11" t="s">
        <v>717</v>
      </c>
      <c r="H11" s="11" t="s">
        <v>624</v>
      </c>
      <c r="I11" s="11">
        <v>1.47</v>
      </c>
      <c r="J11" s="10">
        <v>43945</v>
      </c>
      <c r="K11" s="11">
        <v>1.8841999999999999</v>
      </c>
      <c r="L11" s="11" t="s">
        <v>609</v>
      </c>
      <c r="M11" s="11" t="s">
        <v>610</v>
      </c>
      <c r="N11" s="11">
        <v>168</v>
      </c>
      <c r="O11" s="11">
        <v>1052</v>
      </c>
      <c r="P11" s="11">
        <v>3008</v>
      </c>
      <c r="Q11" s="11">
        <v>10</v>
      </c>
      <c r="R11" s="10" t="s">
        <v>624</v>
      </c>
      <c r="S11" s="10">
        <v>43942</v>
      </c>
      <c r="T11" s="10" t="s">
        <v>624</v>
      </c>
      <c r="U11" s="11">
        <v>848</v>
      </c>
      <c r="V11" s="11">
        <v>150</v>
      </c>
      <c r="W11" s="11">
        <v>5000</v>
      </c>
      <c r="X11" s="11">
        <v>119791</v>
      </c>
      <c r="Y11" s="11">
        <v>2860</v>
      </c>
      <c r="Z11" s="59" t="s">
        <v>727</v>
      </c>
      <c r="AA11" s="11" t="s">
        <v>728</v>
      </c>
    </row>
    <row r="12" spans="1:27" x14ac:dyDescent="0.25">
      <c r="A12" s="10">
        <v>43947</v>
      </c>
      <c r="B12" s="405">
        <v>12.25</v>
      </c>
      <c r="C12" s="11">
        <v>11</v>
      </c>
      <c r="D12" s="11">
        <v>1084</v>
      </c>
      <c r="E12" s="11" t="s">
        <v>735</v>
      </c>
      <c r="F12" s="11" t="s">
        <v>729</v>
      </c>
      <c r="G12" s="11" t="s">
        <v>730</v>
      </c>
      <c r="H12" s="11">
        <v>30</v>
      </c>
      <c r="I12" s="11">
        <v>1.5</v>
      </c>
      <c r="J12" s="10">
        <v>43945</v>
      </c>
      <c r="K12" s="11">
        <v>1.9953687500000001</v>
      </c>
      <c r="L12" s="11" t="s">
        <v>610</v>
      </c>
      <c r="M12" s="11" t="s">
        <v>734</v>
      </c>
      <c r="N12" s="11">
        <v>160</v>
      </c>
      <c r="O12" s="11">
        <v>1052</v>
      </c>
      <c r="P12" s="11">
        <v>3008</v>
      </c>
      <c r="Q12" s="11">
        <v>11</v>
      </c>
      <c r="R12" s="10" t="s">
        <v>624</v>
      </c>
      <c r="S12" s="10">
        <v>43942</v>
      </c>
      <c r="T12" s="10" t="s">
        <v>624</v>
      </c>
      <c r="U12" s="11">
        <v>873</v>
      </c>
      <c r="V12" s="11">
        <v>150</v>
      </c>
      <c r="W12" s="11">
        <v>5000</v>
      </c>
      <c r="X12" s="11">
        <v>115241</v>
      </c>
      <c r="Y12" s="11">
        <v>4550</v>
      </c>
      <c r="Z12" s="11" t="s">
        <v>624</v>
      </c>
      <c r="AA12" s="11" t="s">
        <v>736</v>
      </c>
    </row>
    <row r="13" spans="1:27" x14ac:dyDescent="0.25">
      <c r="A13" s="10">
        <v>43948</v>
      </c>
      <c r="B13" s="405">
        <v>12.25</v>
      </c>
      <c r="C13" s="11">
        <v>12</v>
      </c>
      <c r="D13" s="11">
        <v>1380</v>
      </c>
      <c r="E13" s="11" t="s">
        <v>744</v>
      </c>
      <c r="F13" s="11" t="s">
        <v>739</v>
      </c>
      <c r="G13" s="11" t="s">
        <v>740</v>
      </c>
      <c r="H13" s="11">
        <v>296</v>
      </c>
      <c r="I13" s="11">
        <v>1.64</v>
      </c>
      <c r="J13" s="10">
        <v>43945</v>
      </c>
      <c r="K13" s="11">
        <v>2.0704625000000001</v>
      </c>
      <c r="L13" s="11" t="s">
        <v>734</v>
      </c>
      <c r="M13" s="11" t="s">
        <v>743</v>
      </c>
      <c r="N13" s="11">
        <v>162</v>
      </c>
      <c r="O13" s="11">
        <v>1052</v>
      </c>
      <c r="P13" s="11">
        <v>3008</v>
      </c>
      <c r="Q13" s="11">
        <v>12</v>
      </c>
      <c r="R13" s="10" t="s">
        <v>624</v>
      </c>
      <c r="S13" s="10">
        <v>43942</v>
      </c>
      <c r="T13" s="10" t="s">
        <v>624</v>
      </c>
      <c r="U13" s="11">
        <v>653</v>
      </c>
      <c r="V13" s="11">
        <v>72</v>
      </c>
      <c r="W13" s="11">
        <v>5000</v>
      </c>
      <c r="X13" s="11">
        <v>111926</v>
      </c>
      <c r="Y13" s="11">
        <v>3315</v>
      </c>
      <c r="Z13" s="11" t="s">
        <v>624</v>
      </c>
      <c r="AA13" s="11" t="s">
        <v>745</v>
      </c>
    </row>
    <row r="14" spans="1:27" x14ac:dyDescent="0.25">
      <c r="A14" s="10">
        <v>43949</v>
      </c>
      <c r="B14" s="405">
        <v>12.25</v>
      </c>
      <c r="C14" s="11">
        <v>13</v>
      </c>
      <c r="D14" s="11">
        <v>1864</v>
      </c>
      <c r="E14" s="11" t="s">
        <v>744</v>
      </c>
      <c r="F14" s="11" t="s">
        <v>747</v>
      </c>
      <c r="G14" s="11" t="s">
        <v>748</v>
      </c>
      <c r="H14" s="11">
        <v>484</v>
      </c>
      <c r="I14" s="11">
        <v>1.77</v>
      </c>
      <c r="J14" s="10">
        <v>43945</v>
      </c>
      <c r="K14" s="11">
        <v>2.1280312500000003</v>
      </c>
      <c r="L14" s="11" t="s">
        <v>734</v>
      </c>
      <c r="M14" s="11" t="s">
        <v>743</v>
      </c>
      <c r="N14" s="11">
        <v>165</v>
      </c>
      <c r="O14" s="11">
        <v>1052</v>
      </c>
      <c r="P14" s="11">
        <v>3008</v>
      </c>
      <c r="Q14" s="11">
        <v>13</v>
      </c>
      <c r="R14" s="10" t="s">
        <v>624</v>
      </c>
      <c r="S14" s="10">
        <v>43942</v>
      </c>
      <c r="T14" s="10" t="s">
        <v>624</v>
      </c>
      <c r="U14" s="11">
        <v>864</v>
      </c>
      <c r="V14" s="11">
        <v>72</v>
      </c>
      <c r="W14" s="11">
        <v>5000</v>
      </c>
      <c r="X14" s="11">
        <v>102377</v>
      </c>
      <c r="Y14" s="11">
        <v>9549</v>
      </c>
      <c r="Z14" s="12" t="s">
        <v>624</v>
      </c>
      <c r="AA14" s="11" t="s">
        <v>749</v>
      </c>
    </row>
    <row r="15" spans="1:27" ht="25" x14ac:dyDescent="0.25">
      <c r="A15" s="10">
        <v>43950</v>
      </c>
      <c r="B15" s="405">
        <v>12.25</v>
      </c>
      <c r="C15" s="11">
        <v>14</v>
      </c>
      <c r="D15" s="11">
        <v>2229</v>
      </c>
      <c r="E15" s="59" t="s">
        <v>744</v>
      </c>
      <c r="F15" s="11" t="s">
        <v>750</v>
      </c>
      <c r="G15" s="11" t="s">
        <v>751</v>
      </c>
      <c r="H15" s="11">
        <v>365</v>
      </c>
      <c r="I15" s="11">
        <v>1.81</v>
      </c>
      <c r="J15" s="10">
        <v>43945</v>
      </c>
      <c r="K15" s="11">
        <v>2.2051562499999999</v>
      </c>
      <c r="L15" s="11" t="s">
        <v>734</v>
      </c>
      <c r="M15" s="11" t="s">
        <v>743</v>
      </c>
      <c r="N15" s="11">
        <v>165</v>
      </c>
      <c r="O15" s="11">
        <v>1052</v>
      </c>
      <c r="P15" s="11">
        <v>3008</v>
      </c>
      <c r="Q15" s="11">
        <v>14</v>
      </c>
      <c r="R15" s="10" t="s">
        <v>624</v>
      </c>
      <c r="S15" s="10">
        <v>43942</v>
      </c>
      <c r="T15" s="10" t="s">
        <v>624</v>
      </c>
      <c r="U15" s="11">
        <v>926</v>
      </c>
      <c r="V15" s="11">
        <v>72</v>
      </c>
      <c r="W15" s="11">
        <v>5000</v>
      </c>
      <c r="X15" s="11">
        <v>91233</v>
      </c>
      <c r="Y15" s="11">
        <v>11144</v>
      </c>
      <c r="Z15" s="12" t="s">
        <v>753</v>
      </c>
      <c r="AA15" s="11" t="s">
        <v>754</v>
      </c>
    </row>
    <row r="16" spans="1:27" x14ac:dyDescent="0.25">
      <c r="A16" s="10">
        <v>43951</v>
      </c>
      <c r="B16" s="405">
        <v>12.25</v>
      </c>
      <c r="C16" s="11">
        <v>15</v>
      </c>
      <c r="D16" s="11">
        <v>2350</v>
      </c>
      <c r="E16" s="11" t="s">
        <v>744</v>
      </c>
      <c r="F16" s="11" t="s">
        <v>755</v>
      </c>
      <c r="G16" s="11" t="s">
        <v>740</v>
      </c>
      <c r="H16" s="11">
        <v>121</v>
      </c>
      <c r="I16" s="11">
        <v>1.82</v>
      </c>
      <c r="J16" s="10">
        <v>43945</v>
      </c>
      <c r="K16" s="11">
        <v>2.2715125</v>
      </c>
      <c r="L16" s="11" t="s">
        <v>734</v>
      </c>
      <c r="M16" s="11" t="s">
        <v>743</v>
      </c>
      <c r="N16" s="11">
        <v>165</v>
      </c>
      <c r="O16" s="11">
        <v>1052</v>
      </c>
      <c r="P16" s="11">
        <v>3008</v>
      </c>
      <c r="Q16" s="11">
        <v>15</v>
      </c>
      <c r="R16" s="10">
        <v>43950</v>
      </c>
      <c r="S16" s="10">
        <v>43951</v>
      </c>
      <c r="T16" s="10" t="s">
        <v>624</v>
      </c>
      <c r="U16" s="11">
        <v>846</v>
      </c>
      <c r="V16" s="11">
        <v>72</v>
      </c>
      <c r="W16" s="11">
        <v>5000</v>
      </c>
      <c r="X16" s="11">
        <v>82653</v>
      </c>
      <c r="Y16" s="11">
        <v>8580</v>
      </c>
      <c r="Z16" s="11" t="s">
        <v>624</v>
      </c>
      <c r="AA16" s="11" t="s">
        <v>757</v>
      </c>
    </row>
    <row r="17" spans="1:27" x14ac:dyDescent="0.25">
      <c r="A17" s="10">
        <v>43952</v>
      </c>
      <c r="B17" s="405">
        <v>12.25</v>
      </c>
      <c r="C17" s="11">
        <v>16</v>
      </c>
      <c r="D17" s="11">
        <v>2615</v>
      </c>
      <c r="E17" s="11" t="s">
        <v>744</v>
      </c>
      <c r="F17" s="11" t="s">
        <v>760</v>
      </c>
      <c r="G17" s="11" t="s">
        <v>740</v>
      </c>
      <c r="H17" s="11">
        <v>265</v>
      </c>
      <c r="I17" s="11">
        <v>1.84</v>
      </c>
      <c r="J17" s="10">
        <v>43945</v>
      </c>
      <c r="K17" s="11">
        <v>2.350625</v>
      </c>
      <c r="L17" s="11" t="s">
        <v>734</v>
      </c>
      <c r="M17" s="11" t="s">
        <v>743</v>
      </c>
      <c r="N17" s="11">
        <v>164</v>
      </c>
      <c r="O17" s="11">
        <v>1052</v>
      </c>
      <c r="P17" s="11">
        <v>3008</v>
      </c>
      <c r="Q17" s="11">
        <v>16</v>
      </c>
      <c r="R17" s="10">
        <v>43950</v>
      </c>
      <c r="S17" s="10">
        <v>43951</v>
      </c>
      <c r="T17" s="10" t="s">
        <v>624</v>
      </c>
      <c r="U17" s="11">
        <v>858</v>
      </c>
      <c r="V17" s="11">
        <v>150</v>
      </c>
      <c r="W17" s="11">
        <v>5000</v>
      </c>
      <c r="X17" s="11">
        <v>113143</v>
      </c>
      <c r="Y17" s="11">
        <v>11510</v>
      </c>
      <c r="Z17" s="11" t="s">
        <v>624</v>
      </c>
      <c r="AA17" s="11" t="s">
        <v>761</v>
      </c>
    </row>
    <row r="18" spans="1:27" x14ac:dyDescent="0.25">
      <c r="A18" s="10">
        <v>43953</v>
      </c>
      <c r="B18" s="405">
        <v>12.25</v>
      </c>
      <c r="C18" s="11">
        <v>17</v>
      </c>
      <c r="D18" s="11">
        <v>2756</v>
      </c>
      <c r="E18" s="11" t="s">
        <v>744</v>
      </c>
      <c r="F18" s="11" t="s">
        <v>762</v>
      </c>
      <c r="G18" s="11" t="s">
        <v>740</v>
      </c>
      <c r="H18" s="11">
        <v>141</v>
      </c>
      <c r="I18" s="11">
        <v>1.84</v>
      </c>
      <c r="J18" s="10">
        <v>43945</v>
      </c>
      <c r="K18" s="11">
        <v>2.4230437500000002</v>
      </c>
      <c r="L18" s="11" t="s">
        <v>734</v>
      </c>
      <c r="M18" s="11" t="s">
        <v>743</v>
      </c>
      <c r="N18" s="11">
        <v>173</v>
      </c>
      <c r="O18" s="11">
        <v>1052</v>
      </c>
      <c r="P18" s="11">
        <v>3008</v>
      </c>
      <c r="Q18" s="11">
        <v>17</v>
      </c>
      <c r="R18" s="10">
        <v>43950</v>
      </c>
      <c r="S18" s="10">
        <v>43951</v>
      </c>
      <c r="T18" s="10" t="s">
        <v>624</v>
      </c>
      <c r="U18" s="11">
        <v>1101</v>
      </c>
      <c r="V18" s="11">
        <v>150</v>
      </c>
      <c r="W18" s="11">
        <v>5000</v>
      </c>
      <c r="X18" s="11">
        <v>99246</v>
      </c>
      <c r="Y18" s="11">
        <v>13897</v>
      </c>
      <c r="Z18" s="11" t="s">
        <v>624</v>
      </c>
      <c r="AA18" s="11" t="s">
        <v>763</v>
      </c>
    </row>
    <row r="19" spans="1:27" x14ac:dyDescent="0.25">
      <c r="A19" s="10">
        <v>43954</v>
      </c>
      <c r="B19" s="405">
        <v>12.25</v>
      </c>
      <c r="C19" s="11">
        <v>18</v>
      </c>
      <c r="D19" s="11">
        <v>2884</v>
      </c>
      <c r="E19" s="11" t="s">
        <v>744</v>
      </c>
      <c r="F19" s="11" t="s">
        <v>764</v>
      </c>
      <c r="G19" s="11" t="s">
        <v>765</v>
      </c>
      <c r="H19" s="11">
        <v>128</v>
      </c>
      <c r="I19" s="11">
        <v>1.85</v>
      </c>
      <c r="J19" s="10">
        <v>43945</v>
      </c>
      <c r="K19" s="11">
        <v>2.4951499999999998</v>
      </c>
      <c r="L19" s="11" t="s">
        <v>743</v>
      </c>
      <c r="M19" s="11" t="s">
        <v>766</v>
      </c>
      <c r="N19" s="11">
        <v>180</v>
      </c>
      <c r="O19" s="11">
        <v>1052</v>
      </c>
      <c r="P19" s="11">
        <v>3008</v>
      </c>
      <c r="Q19" s="11">
        <v>18</v>
      </c>
      <c r="R19" s="10">
        <v>43950</v>
      </c>
      <c r="S19" s="10">
        <v>43951</v>
      </c>
      <c r="T19" s="10" t="s">
        <v>624</v>
      </c>
      <c r="U19" s="11">
        <v>1169</v>
      </c>
      <c r="V19" s="11">
        <v>150</v>
      </c>
      <c r="W19" s="11">
        <v>5000</v>
      </c>
      <c r="X19" s="11">
        <v>84235</v>
      </c>
      <c r="Y19" s="11">
        <v>14923</v>
      </c>
      <c r="Z19" s="11" t="s">
        <v>624</v>
      </c>
      <c r="AA19" s="11" t="s">
        <v>767</v>
      </c>
    </row>
    <row r="20" spans="1:27" x14ac:dyDescent="0.25">
      <c r="A20" s="10">
        <v>43955</v>
      </c>
      <c r="B20" s="405">
        <v>12.25</v>
      </c>
      <c r="C20" s="11">
        <v>19</v>
      </c>
      <c r="D20" s="11">
        <v>2891</v>
      </c>
      <c r="E20" s="11" t="s">
        <v>773</v>
      </c>
      <c r="F20" s="11" t="s">
        <v>768</v>
      </c>
      <c r="G20" s="11" t="s">
        <v>769</v>
      </c>
      <c r="H20" s="11">
        <v>7</v>
      </c>
      <c r="I20" s="11">
        <v>1.85</v>
      </c>
      <c r="J20" s="10">
        <v>43945</v>
      </c>
      <c r="K20" s="11">
        <v>2.5375125000000001</v>
      </c>
      <c r="L20" s="11" t="s">
        <v>743</v>
      </c>
      <c r="M20" s="11" t="s">
        <v>766</v>
      </c>
      <c r="N20" s="11">
        <v>180</v>
      </c>
      <c r="O20" s="11">
        <v>1052</v>
      </c>
      <c r="P20" s="11">
        <v>3008</v>
      </c>
      <c r="Q20" s="11">
        <v>19</v>
      </c>
      <c r="R20" s="10">
        <v>43950</v>
      </c>
      <c r="S20" s="10">
        <v>43951</v>
      </c>
      <c r="T20" s="10" t="s">
        <v>624</v>
      </c>
      <c r="U20" s="11">
        <v>1247</v>
      </c>
      <c r="V20" s="11">
        <v>150</v>
      </c>
      <c r="W20" s="11">
        <v>2000</v>
      </c>
      <c r="X20" s="11">
        <v>75546</v>
      </c>
      <c r="Y20" s="11">
        <v>8777</v>
      </c>
      <c r="Z20" s="11" t="s">
        <v>772</v>
      </c>
      <c r="AA20" s="11" t="s">
        <v>774</v>
      </c>
    </row>
    <row r="21" spans="1:27" x14ac:dyDescent="0.25">
      <c r="A21" s="10">
        <v>43956</v>
      </c>
      <c r="B21" s="405">
        <v>12.25</v>
      </c>
      <c r="C21" s="11">
        <v>20</v>
      </c>
      <c r="D21" s="11">
        <v>2891</v>
      </c>
      <c r="E21" s="11" t="s">
        <v>773</v>
      </c>
      <c r="F21" s="11" t="s">
        <v>780</v>
      </c>
      <c r="G21" s="11" t="s">
        <v>781</v>
      </c>
      <c r="H21" s="11" t="s">
        <v>624</v>
      </c>
      <c r="I21" s="11">
        <v>1.87</v>
      </c>
      <c r="J21" s="10">
        <v>43945</v>
      </c>
      <c r="K21" s="11">
        <v>2.5742812499999999</v>
      </c>
      <c r="L21" s="11" t="s">
        <v>743</v>
      </c>
      <c r="M21" s="11" t="s">
        <v>766</v>
      </c>
      <c r="N21" s="11">
        <v>180</v>
      </c>
      <c r="O21" s="11">
        <v>1052</v>
      </c>
      <c r="P21" s="11">
        <v>3008</v>
      </c>
      <c r="Q21" s="11">
        <v>20</v>
      </c>
      <c r="R21" s="10">
        <v>43950</v>
      </c>
      <c r="S21" s="10">
        <v>43951</v>
      </c>
      <c r="T21" s="10" t="s">
        <v>624</v>
      </c>
      <c r="U21" s="11">
        <v>1253</v>
      </c>
      <c r="V21" s="11">
        <v>150</v>
      </c>
      <c r="W21" s="11">
        <v>2000</v>
      </c>
      <c r="X21" s="11">
        <v>69561</v>
      </c>
      <c r="Y21" s="11">
        <v>8777</v>
      </c>
      <c r="Z21" s="11" t="s">
        <v>624</v>
      </c>
      <c r="AA21" s="11" t="s">
        <v>782</v>
      </c>
    </row>
    <row r="22" spans="1:27" x14ac:dyDescent="0.25">
      <c r="A22" s="10">
        <v>43957</v>
      </c>
      <c r="B22" s="405">
        <v>12.25</v>
      </c>
      <c r="C22" s="11">
        <v>21</v>
      </c>
      <c r="D22" s="11">
        <v>2891</v>
      </c>
      <c r="E22" s="11" t="s">
        <v>624</v>
      </c>
      <c r="F22" s="11" t="s">
        <v>785</v>
      </c>
      <c r="G22" s="11" t="s">
        <v>786</v>
      </c>
      <c r="H22" s="11" t="s">
        <v>624</v>
      </c>
      <c r="I22" s="11">
        <v>1.87</v>
      </c>
      <c r="J22" s="10">
        <v>43945</v>
      </c>
      <c r="K22" s="11">
        <v>2.6303375</v>
      </c>
      <c r="L22" s="11" t="s">
        <v>743</v>
      </c>
      <c r="M22" s="11" t="s">
        <v>766</v>
      </c>
      <c r="N22" s="11">
        <v>179</v>
      </c>
      <c r="O22" s="11">
        <v>1052</v>
      </c>
      <c r="P22" s="11">
        <v>3008</v>
      </c>
      <c r="Q22" s="11">
        <v>21</v>
      </c>
      <c r="R22" s="10">
        <v>43950</v>
      </c>
      <c r="S22" s="10">
        <v>43951</v>
      </c>
      <c r="T22" s="10" t="s">
        <v>624</v>
      </c>
      <c r="U22" s="11">
        <v>1228</v>
      </c>
      <c r="V22" s="11">
        <v>150</v>
      </c>
      <c r="W22" s="11">
        <v>2000</v>
      </c>
      <c r="X22" s="11">
        <v>63377</v>
      </c>
      <c r="Y22" s="11">
        <v>6184</v>
      </c>
      <c r="Z22" s="11" t="s">
        <v>624</v>
      </c>
      <c r="AA22" s="11" t="s">
        <v>787</v>
      </c>
    </row>
    <row r="23" spans="1:27" x14ac:dyDescent="0.25">
      <c r="A23" s="10">
        <v>43958</v>
      </c>
      <c r="B23" s="405">
        <v>12.25</v>
      </c>
      <c r="C23" s="11">
        <v>22</v>
      </c>
      <c r="D23" s="11">
        <v>2891</v>
      </c>
      <c r="E23" s="11" t="s">
        <v>624</v>
      </c>
      <c r="F23" s="11" t="s">
        <v>791</v>
      </c>
      <c r="G23" s="11" t="s">
        <v>792</v>
      </c>
      <c r="H23" s="11" t="s">
        <v>624</v>
      </c>
      <c r="I23" s="11">
        <v>1.87</v>
      </c>
      <c r="J23" s="10">
        <v>43945</v>
      </c>
      <c r="K23" s="11">
        <v>2.6641062500000001</v>
      </c>
      <c r="L23" s="11" t="s">
        <v>743</v>
      </c>
      <c r="M23" s="11" t="s">
        <v>766</v>
      </c>
      <c r="N23" s="11">
        <v>181</v>
      </c>
      <c r="O23" s="11">
        <v>1052</v>
      </c>
      <c r="P23" s="11">
        <v>3008</v>
      </c>
      <c r="Q23" s="11">
        <v>22</v>
      </c>
      <c r="R23" s="10">
        <v>43950</v>
      </c>
      <c r="S23" s="10">
        <v>43951</v>
      </c>
      <c r="T23" s="10" t="s">
        <v>624</v>
      </c>
      <c r="U23" s="11">
        <v>1228</v>
      </c>
      <c r="V23" s="11">
        <v>150</v>
      </c>
      <c r="W23" s="11">
        <v>2000</v>
      </c>
      <c r="X23" s="11">
        <v>80228</v>
      </c>
      <c r="Y23" s="11">
        <v>4149</v>
      </c>
      <c r="Z23" s="11" t="s">
        <v>624</v>
      </c>
      <c r="AA23" s="11" t="s">
        <v>794</v>
      </c>
    </row>
    <row r="24" spans="1:27" x14ac:dyDescent="0.25">
      <c r="A24" s="10">
        <v>43959</v>
      </c>
      <c r="B24" s="405">
        <v>12.25</v>
      </c>
      <c r="C24" s="11">
        <v>23</v>
      </c>
      <c r="D24" s="11">
        <v>2891</v>
      </c>
      <c r="E24" s="11" t="s">
        <v>624</v>
      </c>
      <c r="F24" s="11" t="s">
        <v>795</v>
      </c>
      <c r="G24" s="11" t="s">
        <v>796</v>
      </c>
      <c r="H24" s="11" t="s">
        <v>624</v>
      </c>
      <c r="I24" s="11">
        <v>1.87</v>
      </c>
      <c r="J24" s="10">
        <v>43945</v>
      </c>
      <c r="K24" s="11">
        <v>2.6975000000000002</v>
      </c>
      <c r="L24" s="11" t="s">
        <v>743</v>
      </c>
      <c r="M24" s="11" t="s">
        <v>766</v>
      </c>
      <c r="N24" s="11">
        <v>172</v>
      </c>
      <c r="O24" s="11">
        <v>2885</v>
      </c>
      <c r="P24" s="11">
        <v>3275</v>
      </c>
      <c r="Q24" s="11">
        <v>23</v>
      </c>
      <c r="R24" s="10">
        <v>43950</v>
      </c>
      <c r="S24" s="10">
        <v>43958</v>
      </c>
      <c r="T24" s="10" t="s">
        <v>624</v>
      </c>
      <c r="U24" s="11">
        <v>1178</v>
      </c>
      <c r="V24" s="11">
        <v>150</v>
      </c>
      <c r="W24" s="11">
        <v>5000</v>
      </c>
      <c r="X24" s="11">
        <v>76878</v>
      </c>
      <c r="Y24" s="11">
        <v>4350</v>
      </c>
      <c r="Z24" s="11" t="s">
        <v>798</v>
      </c>
      <c r="AA24" s="11" t="s">
        <v>799</v>
      </c>
    </row>
    <row r="25" spans="1:27" x14ac:dyDescent="0.25">
      <c r="A25" s="10">
        <v>43960</v>
      </c>
      <c r="B25" s="405">
        <v>12.25</v>
      </c>
      <c r="C25" s="11">
        <v>24</v>
      </c>
      <c r="D25" s="11">
        <v>2891</v>
      </c>
      <c r="E25" s="11" t="s">
        <v>809</v>
      </c>
      <c r="F25" s="11" t="s">
        <v>800</v>
      </c>
      <c r="G25" s="11" t="s">
        <v>801</v>
      </c>
      <c r="H25" s="11" t="s">
        <v>624</v>
      </c>
      <c r="I25" s="11">
        <v>1.87</v>
      </c>
      <c r="J25" s="10">
        <v>43959</v>
      </c>
      <c r="K25" s="11">
        <v>3.5108562499999998</v>
      </c>
      <c r="L25" s="11" t="s">
        <v>743</v>
      </c>
      <c r="M25" s="11" t="s">
        <v>766</v>
      </c>
      <c r="N25" s="11">
        <v>169</v>
      </c>
      <c r="O25" s="11">
        <v>2885</v>
      </c>
      <c r="P25" s="11">
        <v>3275</v>
      </c>
      <c r="Q25" s="11">
        <v>24</v>
      </c>
      <c r="R25" s="10">
        <v>43950</v>
      </c>
      <c r="S25" s="10">
        <v>43958</v>
      </c>
      <c r="T25" s="10" t="s">
        <v>624</v>
      </c>
      <c r="U25" s="11">
        <v>1178</v>
      </c>
      <c r="V25" s="11">
        <v>150</v>
      </c>
      <c r="W25" s="11">
        <v>5000</v>
      </c>
      <c r="X25" s="11">
        <v>115218</v>
      </c>
      <c r="Y25" s="11">
        <v>2660</v>
      </c>
      <c r="Z25" s="11" t="s">
        <v>810</v>
      </c>
      <c r="AA25" s="11" t="s">
        <v>811</v>
      </c>
    </row>
    <row r="26" spans="1:27" x14ac:dyDescent="0.25">
      <c r="A26" s="10">
        <v>43961</v>
      </c>
      <c r="B26" s="405">
        <v>8.5</v>
      </c>
      <c r="C26" s="11">
        <v>25</v>
      </c>
      <c r="D26" s="11">
        <v>2976</v>
      </c>
      <c r="E26" s="11" t="s">
        <v>809</v>
      </c>
      <c r="F26" s="11" t="s">
        <v>813</v>
      </c>
      <c r="G26" s="11" t="s">
        <v>740</v>
      </c>
      <c r="H26" s="11">
        <v>85</v>
      </c>
      <c r="I26" s="11">
        <v>1.5</v>
      </c>
      <c r="J26" s="10">
        <v>43959</v>
      </c>
      <c r="K26" s="11">
        <v>3.7261249999999997</v>
      </c>
      <c r="L26" s="11" t="s">
        <v>766</v>
      </c>
      <c r="M26" s="11" t="s">
        <v>816</v>
      </c>
      <c r="N26" s="11">
        <v>167</v>
      </c>
      <c r="O26" s="11">
        <v>2885</v>
      </c>
      <c r="P26" s="11">
        <v>3275</v>
      </c>
      <c r="Q26" s="11">
        <v>25</v>
      </c>
      <c r="R26" s="10">
        <v>43950</v>
      </c>
      <c r="S26" s="10">
        <v>43958</v>
      </c>
      <c r="T26" s="10" t="s">
        <v>624</v>
      </c>
      <c r="U26" s="11">
        <v>1178</v>
      </c>
      <c r="V26" s="11">
        <v>15</v>
      </c>
      <c r="W26" s="11">
        <v>5000</v>
      </c>
      <c r="X26" s="11">
        <v>110288</v>
      </c>
      <c r="Y26" s="11">
        <v>4930</v>
      </c>
      <c r="Z26" s="11" t="s">
        <v>817</v>
      </c>
      <c r="AA26" s="11" t="s">
        <v>818</v>
      </c>
    </row>
    <row r="27" spans="1:27" x14ac:dyDescent="0.25">
      <c r="A27" s="10">
        <v>43962</v>
      </c>
      <c r="B27" s="405">
        <v>8.5</v>
      </c>
      <c r="C27" s="11">
        <v>26</v>
      </c>
      <c r="D27" s="11">
        <v>3191</v>
      </c>
      <c r="E27" s="11" t="s">
        <v>809</v>
      </c>
      <c r="F27" s="11" t="s">
        <v>820</v>
      </c>
      <c r="G27" s="11" t="s">
        <v>821</v>
      </c>
      <c r="H27" s="11">
        <v>215</v>
      </c>
      <c r="I27" s="11">
        <v>1.53</v>
      </c>
      <c r="J27" s="10">
        <v>43959</v>
      </c>
      <c r="K27" s="11">
        <v>3.6188375000000002</v>
      </c>
      <c r="L27" s="11" t="s">
        <v>822</v>
      </c>
      <c r="M27" s="11" t="s">
        <v>607</v>
      </c>
      <c r="N27" s="11">
        <v>167</v>
      </c>
      <c r="O27" s="11">
        <v>2885</v>
      </c>
      <c r="P27" s="11">
        <v>3275</v>
      </c>
      <c r="Q27" s="11">
        <v>26</v>
      </c>
      <c r="R27" s="10">
        <v>43950</v>
      </c>
      <c r="S27" s="10">
        <v>43958</v>
      </c>
      <c r="T27" s="10" t="s">
        <v>624</v>
      </c>
      <c r="U27" s="11">
        <v>1171</v>
      </c>
      <c r="V27" s="11">
        <v>15</v>
      </c>
      <c r="W27" s="11">
        <v>5000</v>
      </c>
      <c r="X27" s="11">
        <v>100682</v>
      </c>
      <c r="Y27" s="11">
        <v>9666</v>
      </c>
      <c r="Z27" s="11" t="s">
        <v>823</v>
      </c>
      <c r="AA27" s="11" t="s">
        <v>824</v>
      </c>
    </row>
    <row r="28" spans="1:27" x14ac:dyDescent="0.25">
      <c r="A28" s="10">
        <v>43963</v>
      </c>
      <c r="B28" s="405">
        <v>8.5</v>
      </c>
      <c r="C28" s="11">
        <v>27</v>
      </c>
      <c r="D28" s="11">
        <v>3191</v>
      </c>
      <c r="E28" s="11" t="s">
        <v>832</v>
      </c>
      <c r="F28" s="11" t="s">
        <v>826</v>
      </c>
      <c r="G28" s="11" t="s">
        <v>827</v>
      </c>
      <c r="H28" s="11" t="s">
        <v>624</v>
      </c>
      <c r="I28" s="11">
        <v>1.53</v>
      </c>
      <c r="J28" s="10">
        <v>43959</v>
      </c>
      <c r="K28" s="11">
        <v>3.6491750000000005</v>
      </c>
      <c r="L28" s="11" t="s">
        <v>822</v>
      </c>
      <c r="M28" s="11" t="s">
        <v>607</v>
      </c>
      <c r="N28" s="11">
        <v>168</v>
      </c>
      <c r="O28" s="11">
        <v>2885</v>
      </c>
      <c r="P28" s="11">
        <v>3275</v>
      </c>
      <c r="Q28" s="11">
        <v>27</v>
      </c>
      <c r="R28" s="10">
        <v>43950</v>
      </c>
      <c r="S28" s="10">
        <v>43958</v>
      </c>
      <c r="T28" s="10" t="s">
        <v>624</v>
      </c>
      <c r="U28" s="11">
        <v>1169</v>
      </c>
      <c r="V28" s="11">
        <v>15</v>
      </c>
      <c r="W28" s="11">
        <v>5000</v>
      </c>
      <c r="X28" s="11">
        <v>94687</v>
      </c>
      <c r="Y28" s="11">
        <v>5995</v>
      </c>
      <c r="Z28" s="11" t="s">
        <v>624</v>
      </c>
      <c r="AA28" s="11" t="s">
        <v>833</v>
      </c>
    </row>
    <row r="29" spans="1:27" x14ac:dyDescent="0.25">
      <c r="A29" s="10">
        <v>43964</v>
      </c>
      <c r="B29" s="405">
        <v>8.5</v>
      </c>
      <c r="C29" s="11">
        <v>28</v>
      </c>
      <c r="D29" s="11">
        <v>3191</v>
      </c>
      <c r="E29" s="11" t="s">
        <v>624</v>
      </c>
      <c r="F29" s="11" t="s">
        <v>837</v>
      </c>
      <c r="G29" s="11" t="s">
        <v>838</v>
      </c>
      <c r="H29" s="11" t="s">
        <v>624</v>
      </c>
      <c r="I29" s="11">
        <v>1.53</v>
      </c>
      <c r="J29" s="10">
        <v>43959</v>
      </c>
      <c r="K29" s="11">
        <v>3.68016875</v>
      </c>
      <c r="L29" s="11" t="s">
        <v>822</v>
      </c>
      <c r="M29" s="11" t="s">
        <v>607</v>
      </c>
      <c r="N29" s="11">
        <v>166</v>
      </c>
      <c r="O29" s="11">
        <v>2885</v>
      </c>
      <c r="P29" s="11">
        <v>3275</v>
      </c>
      <c r="Q29" s="11">
        <v>28</v>
      </c>
      <c r="R29" s="10">
        <v>43950</v>
      </c>
      <c r="S29" s="10">
        <v>43958</v>
      </c>
      <c r="T29" s="10" t="s">
        <v>624</v>
      </c>
      <c r="U29" s="11">
        <v>1149</v>
      </c>
      <c r="V29" s="11">
        <v>15</v>
      </c>
      <c r="W29" s="11">
        <v>5000</v>
      </c>
      <c r="X29" s="11">
        <v>90049</v>
      </c>
      <c r="Y29" s="11">
        <v>4638</v>
      </c>
      <c r="Z29" s="11" t="s">
        <v>666</v>
      </c>
      <c r="AA29" s="11" t="s">
        <v>840</v>
      </c>
    </row>
    <row r="30" spans="1:27" x14ac:dyDescent="0.25">
      <c r="A30" s="10">
        <v>43965</v>
      </c>
      <c r="B30" s="405">
        <v>8.5</v>
      </c>
      <c r="C30" s="11">
        <v>29</v>
      </c>
      <c r="D30" s="11">
        <v>3191</v>
      </c>
      <c r="E30" s="11" t="s">
        <v>849</v>
      </c>
      <c r="F30" s="11" t="s">
        <v>843</v>
      </c>
      <c r="G30" s="11" t="s">
        <v>844</v>
      </c>
      <c r="H30" s="11" t="s">
        <v>624</v>
      </c>
      <c r="I30" s="11">
        <v>1.53</v>
      </c>
      <c r="J30" s="10">
        <v>43959</v>
      </c>
      <c r="K30" s="11">
        <v>3.9049124999999996</v>
      </c>
      <c r="L30" s="11" t="s">
        <v>822</v>
      </c>
      <c r="M30" s="11" t="s">
        <v>607</v>
      </c>
      <c r="N30" s="11">
        <v>162</v>
      </c>
      <c r="O30" s="11">
        <v>2885</v>
      </c>
      <c r="P30" s="11">
        <v>3275</v>
      </c>
      <c r="Q30" s="11">
        <v>29</v>
      </c>
      <c r="R30" s="10">
        <v>43950</v>
      </c>
      <c r="S30" s="10">
        <v>43958</v>
      </c>
      <c r="T30" s="10" t="s">
        <v>624</v>
      </c>
      <c r="U30" s="11">
        <v>1149</v>
      </c>
      <c r="V30" s="11">
        <v>15</v>
      </c>
      <c r="W30" s="11">
        <v>5000</v>
      </c>
      <c r="X30" s="11">
        <v>85711</v>
      </c>
      <c r="Y30" s="11">
        <v>4338</v>
      </c>
      <c r="Z30" s="11" t="s">
        <v>848</v>
      </c>
      <c r="AA30" s="11" t="s">
        <v>850</v>
      </c>
    </row>
    <row r="31" spans="1:27" x14ac:dyDescent="0.25">
      <c r="A31" s="10">
        <v>43966</v>
      </c>
      <c r="B31" s="405">
        <v>8.5</v>
      </c>
      <c r="C31" s="11">
        <v>30</v>
      </c>
      <c r="D31" s="11">
        <v>3191</v>
      </c>
      <c r="E31" s="11" t="s">
        <v>624</v>
      </c>
      <c r="F31" s="11" t="s">
        <v>852</v>
      </c>
      <c r="G31" s="11" t="s">
        <v>853</v>
      </c>
      <c r="H31" s="11" t="s">
        <v>624</v>
      </c>
      <c r="I31" s="11">
        <v>1.53</v>
      </c>
      <c r="J31" s="10">
        <v>43959</v>
      </c>
      <c r="K31" s="11">
        <v>3.9447000000000001</v>
      </c>
      <c r="L31" s="11" t="s">
        <v>822</v>
      </c>
      <c r="M31" s="11" t="s">
        <v>607</v>
      </c>
      <c r="N31" s="11">
        <v>161</v>
      </c>
      <c r="O31" s="11">
        <v>2885</v>
      </c>
      <c r="P31" s="11">
        <v>3275</v>
      </c>
      <c r="Q31" s="11">
        <v>30</v>
      </c>
      <c r="R31" s="10">
        <v>43965</v>
      </c>
      <c r="S31" s="10">
        <v>43958</v>
      </c>
      <c r="T31" s="10" t="s">
        <v>624</v>
      </c>
      <c r="U31" s="11">
        <v>1149</v>
      </c>
      <c r="V31" s="11">
        <v>15</v>
      </c>
      <c r="W31" s="11">
        <v>5000</v>
      </c>
      <c r="X31" s="11">
        <v>81325</v>
      </c>
      <c r="Y31" s="11">
        <v>4386</v>
      </c>
      <c r="Z31" s="11" t="s">
        <v>624</v>
      </c>
      <c r="AA31" s="11" t="s">
        <v>854</v>
      </c>
    </row>
    <row r="32" spans="1:27" x14ac:dyDescent="0.25">
      <c r="A32" s="10">
        <v>43967</v>
      </c>
      <c r="B32" s="405">
        <v>6</v>
      </c>
      <c r="C32" s="11">
        <v>31</v>
      </c>
      <c r="D32" s="11">
        <v>3191</v>
      </c>
      <c r="E32" s="11" t="s">
        <v>862</v>
      </c>
      <c r="F32" s="11" t="s">
        <v>857</v>
      </c>
      <c r="G32" s="11" t="s">
        <v>858</v>
      </c>
      <c r="H32" s="11">
        <v>42</v>
      </c>
      <c r="I32" s="11">
        <v>1.05</v>
      </c>
      <c r="J32" s="10">
        <v>43959</v>
      </c>
      <c r="K32" s="11">
        <v>3.9975125</v>
      </c>
      <c r="L32" s="11" t="s">
        <v>607</v>
      </c>
      <c r="M32" s="11" t="s">
        <v>861</v>
      </c>
      <c r="N32" s="11">
        <v>161</v>
      </c>
      <c r="O32" s="11">
        <v>2885</v>
      </c>
      <c r="P32" s="11">
        <v>3275</v>
      </c>
      <c r="Q32" s="11">
        <v>31</v>
      </c>
      <c r="R32" s="10">
        <v>43966</v>
      </c>
      <c r="S32" s="10">
        <v>43965</v>
      </c>
      <c r="T32" s="10" t="s">
        <v>624</v>
      </c>
      <c r="U32" s="11">
        <v>1149</v>
      </c>
      <c r="V32" s="11">
        <v>15</v>
      </c>
      <c r="W32" s="11">
        <v>5000</v>
      </c>
      <c r="X32" s="11">
        <v>100391</v>
      </c>
      <c r="Y32" s="11">
        <v>4934</v>
      </c>
      <c r="Z32" s="11" t="s">
        <v>624</v>
      </c>
      <c r="AA32" s="11" t="s">
        <v>863</v>
      </c>
    </row>
    <row r="33" spans="1:27" x14ac:dyDescent="0.25">
      <c r="A33" s="10">
        <v>43968</v>
      </c>
      <c r="B33" s="405">
        <v>6</v>
      </c>
      <c r="C33" s="11">
        <v>32</v>
      </c>
      <c r="D33" s="11">
        <v>3460</v>
      </c>
      <c r="E33" s="11" t="s">
        <v>862</v>
      </c>
      <c r="F33" s="11" t="s">
        <v>865</v>
      </c>
      <c r="G33" s="11" t="s">
        <v>866</v>
      </c>
      <c r="H33" s="11">
        <v>227</v>
      </c>
      <c r="I33" s="11">
        <v>1.05</v>
      </c>
      <c r="J33" s="10">
        <v>43959</v>
      </c>
      <c r="K33" s="11">
        <v>4.03363125</v>
      </c>
      <c r="L33" s="11" t="s">
        <v>870</v>
      </c>
      <c r="M33" s="11" t="s">
        <v>624</v>
      </c>
      <c r="N33" s="11">
        <v>164</v>
      </c>
      <c r="O33" s="11">
        <v>2885</v>
      </c>
      <c r="P33" s="11">
        <v>3275</v>
      </c>
      <c r="Q33" s="11">
        <v>32</v>
      </c>
      <c r="R33" s="10">
        <v>43966</v>
      </c>
      <c r="S33" s="10">
        <v>43965</v>
      </c>
      <c r="T33" s="10" t="s">
        <v>624</v>
      </c>
      <c r="U33" s="11">
        <v>1149</v>
      </c>
      <c r="V33" s="11">
        <v>0</v>
      </c>
      <c r="W33" s="11">
        <v>5000</v>
      </c>
      <c r="X33" s="11">
        <v>96557</v>
      </c>
      <c r="Y33" s="11">
        <v>3834</v>
      </c>
      <c r="Z33" s="11" t="s">
        <v>624</v>
      </c>
      <c r="AA33" s="11" t="s">
        <v>871</v>
      </c>
    </row>
    <row r="34" spans="1:27" x14ac:dyDescent="0.25">
      <c r="A34" s="10">
        <v>43969</v>
      </c>
      <c r="B34" s="405">
        <v>6</v>
      </c>
      <c r="C34" s="11">
        <v>33</v>
      </c>
      <c r="D34" s="11">
        <v>3460</v>
      </c>
      <c r="E34" s="11" t="s">
        <v>624</v>
      </c>
      <c r="F34" s="11" t="s">
        <v>872</v>
      </c>
      <c r="G34" s="11" t="s">
        <v>873</v>
      </c>
      <c r="H34" s="11" t="s">
        <v>624</v>
      </c>
      <c r="I34" s="11">
        <v>1.05</v>
      </c>
      <c r="J34" s="10">
        <v>43959</v>
      </c>
      <c r="K34" s="11">
        <v>4.0729562499999998</v>
      </c>
      <c r="L34" s="11" t="s">
        <v>870</v>
      </c>
      <c r="M34" s="11" t="s">
        <v>624</v>
      </c>
      <c r="N34" s="11">
        <v>172</v>
      </c>
      <c r="O34" s="11">
        <v>2885</v>
      </c>
      <c r="P34" s="11">
        <v>3188</v>
      </c>
      <c r="Q34" s="11">
        <v>33</v>
      </c>
      <c r="R34" s="10">
        <v>43966</v>
      </c>
      <c r="S34" s="10">
        <v>43965</v>
      </c>
      <c r="T34" s="10" t="s">
        <v>624</v>
      </c>
      <c r="U34" s="11">
        <v>1149</v>
      </c>
      <c r="V34" s="11">
        <v>0</v>
      </c>
      <c r="W34" s="11">
        <v>5000</v>
      </c>
      <c r="X34" s="11">
        <v>92035</v>
      </c>
      <c r="Y34" s="11">
        <v>4522</v>
      </c>
      <c r="Z34" s="11" t="s">
        <v>624</v>
      </c>
      <c r="AA34" s="11" t="s">
        <v>875</v>
      </c>
    </row>
    <row r="35" spans="1:27" x14ac:dyDescent="0.25">
      <c r="A35" s="10">
        <v>43970</v>
      </c>
      <c r="B35" s="405">
        <v>6</v>
      </c>
      <c r="C35" s="11">
        <v>34</v>
      </c>
      <c r="D35" s="11">
        <v>3460</v>
      </c>
      <c r="E35" s="11" t="s">
        <v>624</v>
      </c>
      <c r="F35" s="11" t="s">
        <v>877</v>
      </c>
      <c r="G35" s="11" t="s">
        <v>873</v>
      </c>
      <c r="H35" s="11" t="s">
        <v>624</v>
      </c>
      <c r="I35" s="11">
        <v>1.05</v>
      </c>
      <c r="J35" s="10">
        <v>43959</v>
      </c>
      <c r="K35" s="11">
        <v>4.1019562499999997</v>
      </c>
      <c r="L35" s="11" t="s">
        <v>870</v>
      </c>
      <c r="M35" s="11" t="s">
        <v>624</v>
      </c>
      <c r="N35" s="11">
        <v>170</v>
      </c>
      <c r="O35" s="11">
        <v>2885</v>
      </c>
      <c r="P35" s="11">
        <v>3188</v>
      </c>
      <c r="Q35" s="11">
        <v>34</v>
      </c>
      <c r="R35" s="10">
        <v>43966</v>
      </c>
      <c r="S35" s="10">
        <v>43965</v>
      </c>
      <c r="T35" s="10" t="s">
        <v>624</v>
      </c>
      <c r="U35" s="11">
        <v>1149</v>
      </c>
      <c r="V35" s="11">
        <v>0</v>
      </c>
      <c r="W35" s="11">
        <v>5000</v>
      </c>
      <c r="X35" s="11">
        <v>89565</v>
      </c>
      <c r="Y35" s="11">
        <v>2379</v>
      </c>
      <c r="Z35" s="11" t="s">
        <v>624</v>
      </c>
      <c r="AA35" s="11" t="s">
        <v>878</v>
      </c>
    </row>
    <row r="36" spans="1:27" x14ac:dyDescent="0.25">
      <c r="A36" s="10">
        <v>43971</v>
      </c>
      <c r="B36" s="405">
        <v>6</v>
      </c>
      <c r="C36" s="11">
        <v>35</v>
      </c>
      <c r="D36" s="11">
        <v>3460</v>
      </c>
      <c r="E36" s="11" t="s">
        <v>624</v>
      </c>
      <c r="F36" s="11" t="s">
        <v>879</v>
      </c>
      <c r="G36" s="11" t="s">
        <v>880</v>
      </c>
      <c r="H36" s="11" t="s">
        <v>624</v>
      </c>
      <c r="I36" s="11">
        <v>1.05</v>
      </c>
      <c r="J36" s="10">
        <v>43959</v>
      </c>
      <c r="K36" s="11">
        <v>4.1305937500000001</v>
      </c>
      <c r="L36" s="11" t="s">
        <v>870</v>
      </c>
      <c r="M36" s="11" t="s">
        <v>624</v>
      </c>
      <c r="N36" s="11">
        <v>170</v>
      </c>
      <c r="O36" s="11">
        <v>2885</v>
      </c>
      <c r="P36" s="11">
        <v>3188</v>
      </c>
      <c r="Q36" s="11">
        <v>35</v>
      </c>
      <c r="R36" s="10">
        <v>43966</v>
      </c>
      <c r="S36" s="10">
        <v>43965</v>
      </c>
      <c r="T36" s="10" t="s">
        <v>624</v>
      </c>
      <c r="U36" s="11">
        <v>1149</v>
      </c>
      <c r="V36" s="11">
        <v>0</v>
      </c>
      <c r="W36" s="11">
        <v>5000</v>
      </c>
      <c r="X36" s="11">
        <v>86972</v>
      </c>
      <c r="Y36" s="11">
        <v>2684</v>
      </c>
      <c r="Z36" s="11" t="s">
        <v>624</v>
      </c>
      <c r="AA36" s="11" t="s">
        <v>881</v>
      </c>
    </row>
    <row r="37" spans="1:27" x14ac:dyDescent="0.25">
      <c r="A37" s="10">
        <v>43972</v>
      </c>
      <c r="B37" s="405">
        <v>6</v>
      </c>
      <c r="C37" s="11">
        <v>36</v>
      </c>
      <c r="D37" s="11">
        <v>3460</v>
      </c>
      <c r="E37" s="11" t="s">
        <v>624</v>
      </c>
      <c r="F37" s="11" t="s">
        <v>883</v>
      </c>
      <c r="G37" s="11" t="s">
        <v>880</v>
      </c>
      <c r="H37" s="11" t="s">
        <v>624</v>
      </c>
      <c r="I37" s="11">
        <v>1.05</v>
      </c>
      <c r="J37" s="10">
        <v>43959</v>
      </c>
      <c r="K37" s="11">
        <v>4.1588250000000002</v>
      </c>
      <c r="L37" s="11" t="s">
        <v>870</v>
      </c>
      <c r="M37" s="11" t="s">
        <v>624</v>
      </c>
      <c r="N37" s="11">
        <v>165</v>
      </c>
      <c r="O37" s="11">
        <v>2885</v>
      </c>
      <c r="P37" s="11">
        <v>3188</v>
      </c>
      <c r="Q37" s="11">
        <v>36</v>
      </c>
      <c r="R37" s="10">
        <v>43966</v>
      </c>
      <c r="S37" s="10">
        <v>43965</v>
      </c>
      <c r="T37" s="10" t="s">
        <v>624</v>
      </c>
      <c r="U37" s="11">
        <v>1149</v>
      </c>
      <c r="V37" s="11">
        <v>0</v>
      </c>
      <c r="W37" s="11">
        <v>5000</v>
      </c>
      <c r="X37" s="11">
        <v>107526</v>
      </c>
      <c r="Y37" s="11">
        <v>3446</v>
      </c>
      <c r="Z37" s="11" t="s">
        <v>624</v>
      </c>
      <c r="AA37" s="11" t="s">
        <v>885</v>
      </c>
    </row>
    <row r="38" spans="1:27" x14ac:dyDescent="0.25">
      <c r="A38" s="10">
        <v>43973</v>
      </c>
      <c r="B38" s="405">
        <v>6</v>
      </c>
      <c r="C38" s="11">
        <v>37</v>
      </c>
      <c r="D38" s="11">
        <v>3460</v>
      </c>
      <c r="E38" s="11" t="s">
        <v>624</v>
      </c>
      <c r="F38" s="11" t="s">
        <v>888</v>
      </c>
      <c r="G38" s="11" t="s">
        <v>889</v>
      </c>
      <c r="H38" s="11" t="s">
        <v>624</v>
      </c>
      <c r="I38" s="11">
        <v>1.05</v>
      </c>
      <c r="J38" s="10">
        <v>43959</v>
      </c>
      <c r="K38" s="11">
        <v>4.1898937500000004</v>
      </c>
      <c r="L38" s="11" t="s">
        <v>870</v>
      </c>
      <c r="M38" s="11" t="s">
        <v>624</v>
      </c>
      <c r="N38" s="11">
        <v>165</v>
      </c>
      <c r="O38" s="11">
        <v>2885</v>
      </c>
      <c r="P38" s="11">
        <v>3188</v>
      </c>
      <c r="Q38" s="11">
        <v>37</v>
      </c>
      <c r="R38" s="10">
        <v>43966</v>
      </c>
      <c r="S38" s="10">
        <v>43965</v>
      </c>
      <c r="T38" s="10" t="s">
        <v>624</v>
      </c>
      <c r="U38" s="11">
        <v>1149</v>
      </c>
      <c r="V38" s="11">
        <v>0</v>
      </c>
      <c r="W38" s="11">
        <v>5000</v>
      </c>
      <c r="X38" s="11">
        <v>103200</v>
      </c>
      <c r="Y38" s="11">
        <v>4326</v>
      </c>
      <c r="Z38" s="11" t="s">
        <v>624</v>
      </c>
      <c r="AA38" s="11" t="s">
        <v>890</v>
      </c>
    </row>
    <row r="39" spans="1:27" ht="25" x14ac:dyDescent="0.25">
      <c r="A39" s="10">
        <v>43974</v>
      </c>
      <c r="B39" s="405">
        <v>6</v>
      </c>
      <c r="C39" s="11">
        <v>38</v>
      </c>
      <c r="D39" s="11">
        <v>3460</v>
      </c>
      <c r="E39" s="11" t="s">
        <v>624</v>
      </c>
      <c r="F39" s="11" t="s">
        <v>894</v>
      </c>
      <c r="G39" s="11" t="s">
        <v>895</v>
      </c>
      <c r="H39" s="11" t="s">
        <v>624</v>
      </c>
      <c r="I39" s="11">
        <v>1.05</v>
      </c>
      <c r="J39" s="10">
        <v>43959</v>
      </c>
      <c r="K39" s="11">
        <v>4.2200687500000003</v>
      </c>
      <c r="L39" s="11" t="s">
        <v>870</v>
      </c>
      <c r="M39" s="11" t="s">
        <v>624</v>
      </c>
      <c r="N39" s="11">
        <v>165</v>
      </c>
      <c r="O39" s="11">
        <v>2885</v>
      </c>
      <c r="P39" s="11">
        <v>3188</v>
      </c>
      <c r="Q39" s="11">
        <v>38</v>
      </c>
      <c r="R39" s="10">
        <v>43966</v>
      </c>
      <c r="S39" s="10">
        <v>43965</v>
      </c>
      <c r="T39" s="10" t="s">
        <v>624</v>
      </c>
      <c r="U39" s="11">
        <v>1149</v>
      </c>
      <c r="V39" s="11">
        <v>0</v>
      </c>
      <c r="W39" s="11">
        <v>5000</v>
      </c>
      <c r="X39" s="11">
        <v>98884</v>
      </c>
      <c r="Y39" s="11">
        <v>4316</v>
      </c>
      <c r="Z39" s="12" t="s">
        <v>897</v>
      </c>
      <c r="AA39" s="11" t="s">
        <v>898</v>
      </c>
    </row>
    <row r="40" spans="1:27" ht="25" x14ac:dyDescent="0.25">
      <c r="A40" s="10">
        <v>43975</v>
      </c>
      <c r="B40" s="405">
        <v>6</v>
      </c>
      <c r="C40" s="11">
        <v>39</v>
      </c>
      <c r="D40" s="11">
        <v>3460</v>
      </c>
      <c r="E40" s="11" t="s">
        <v>624</v>
      </c>
      <c r="F40" s="11" t="s">
        <v>900</v>
      </c>
      <c r="G40" s="11" t="s">
        <v>901</v>
      </c>
      <c r="H40" s="11" t="s">
        <v>624</v>
      </c>
      <c r="I40" s="11">
        <v>1.05</v>
      </c>
      <c r="J40" s="10">
        <v>43959</v>
      </c>
      <c r="K40" s="11">
        <v>4.2523999999999997</v>
      </c>
      <c r="L40" s="11" t="s">
        <v>870</v>
      </c>
      <c r="M40" s="11" t="s">
        <v>624</v>
      </c>
      <c r="N40" s="11">
        <v>165</v>
      </c>
      <c r="O40" s="11">
        <v>2885</v>
      </c>
      <c r="P40" s="11">
        <v>3188</v>
      </c>
      <c r="Q40" s="11">
        <v>39</v>
      </c>
      <c r="R40" s="10">
        <v>43966</v>
      </c>
      <c r="S40" s="10">
        <v>43965</v>
      </c>
      <c r="T40" s="10" t="s">
        <v>624</v>
      </c>
      <c r="U40" s="11">
        <v>1149</v>
      </c>
      <c r="V40" s="11">
        <v>0</v>
      </c>
      <c r="W40" s="11">
        <v>5000</v>
      </c>
      <c r="X40" s="11">
        <v>98884</v>
      </c>
      <c r="Y40" s="11">
        <v>4316</v>
      </c>
      <c r="Z40" s="12" t="s">
        <v>902</v>
      </c>
      <c r="AA40" s="11" t="s">
        <v>903</v>
      </c>
    </row>
    <row r="41" spans="1:27" ht="162.5" x14ac:dyDescent="0.25">
      <c r="A41" s="10">
        <v>43976</v>
      </c>
      <c r="B41" s="405">
        <v>6</v>
      </c>
      <c r="C41" s="11">
        <v>40</v>
      </c>
      <c r="D41" s="11">
        <v>3460</v>
      </c>
      <c r="E41" s="11" t="s">
        <v>624</v>
      </c>
      <c r="F41" s="11" t="s">
        <v>905</v>
      </c>
      <c r="G41" s="11" t="s">
        <v>906</v>
      </c>
      <c r="H41" s="11" t="s">
        <v>624</v>
      </c>
      <c r="I41" s="11">
        <v>1.05</v>
      </c>
      <c r="J41" s="10">
        <v>43959</v>
      </c>
      <c r="K41" s="11">
        <v>4.2847625000000003</v>
      </c>
      <c r="L41" s="11" t="s">
        <v>870</v>
      </c>
      <c r="M41" s="11" t="s">
        <v>624</v>
      </c>
      <c r="N41" s="11">
        <v>165</v>
      </c>
      <c r="O41" s="11">
        <v>2885</v>
      </c>
      <c r="P41" s="11">
        <v>3188</v>
      </c>
      <c r="Q41" s="11">
        <v>40</v>
      </c>
      <c r="R41" s="10">
        <v>43966</v>
      </c>
      <c r="S41" s="10">
        <v>43965</v>
      </c>
      <c r="T41" s="10" t="s">
        <v>624</v>
      </c>
      <c r="U41" s="11">
        <v>1149</v>
      </c>
      <c r="V41" s="11">
        <v>0</v>
      </c>
      <c r="W41" s="11">
        <v>5000</v>
      </c>
      <c r="X41" s="11">
        <v>98884</v>
      </c>
      <c r="Y41" s="11">
        <v>4316</v>
      </c>
      <c r="Z41" s="11" t="s">
        <v>624</v>
      </c>
      <c r="AA41" s="12" t="s">
        <v>908</v>
      </c>
    </row>
    <row r="42" spans="1:27" x14ac:dyDescent="0.25">
      <c r="A42" s="10">
        <v>43977</v>
      </c>
      <c r="B42" s="405">
        <v>6</v>
      </c>
      <c r="C42" s="11">
        <v>41</v>
      </c>
      <c r="D42" s="11">
        <v>3460</v>
      </c>
      <c r="E42" s="11" t="s">
        <v>624</v>
      </c>
      <c r="F42" s="11" t="s">
        <v>911</v>
      </c>
      <c r="G42" s="11" t="s">
        <v>912</v>
      </c>
      <c r="H42" s="11" t="s">
        <v>624</v>
      </c>
      <c r="I42" s="11">
        <v>1.05</v>
      </c>
      <c r="J42" s="10">
        <v>43959</v>
      </c>
      <c r="K42" s="11">
        <v>4.32191875</v>
      </c>
      <c r="L42" s="11" t="s">
        <v>870</v>
      </c>
      <c r="M42" s="11" t="s">
        <v>624</v>
      </c>
      <c r="N42" s="11">
        <v>165</v>
      </c>
      <c r="O42" s="11">
        <v>2885</v>
      </c>
      <c r="P42" s="11">
        <v>3188</v>
      </c>
      <c r="Q42" s="11">
        <v>41</v>
      </c>
      <c r="R42" s="10">
        <v>43966</v>
      </c>
      <c r="S42" s="10">
        <v>43965</v>
      </c>
      <c r="T42" s="10" t="s">
        <v>624</v>
      </c>
      <c r="U42" s="11">
        <v>1149</v>
      </c>
      <c r="V42" s="11">
        <v>0</v>
      </c>
      <c r="W42" s="11">
        <v>5000</v>
      </c>
      <c r="X42" s="11">
        <v>98884</v>
      </c>
      <c r="Y42" s="11">
        <v>4316</v>
      </c>
      <c r="Z42" s="11" t="s">
        <v>624</v>
      </c>
      <c r="AA42" s="11" t="s">
        <v>913</v>
      </c>
    </row>
    <row r="43" spans="1:27" x14ac:dyDescent="0.25">
      <c r="A43" s="10">
        <v>43978</v>
      </c>
      <c r="B43" s="405">
        <v>6</v>
      </c>
      <c r="C43" s="11">
        <v>42</v>
      </c>
      <c r="D43" s="11">
        <v>3460</v>
      </c>
      <c r="E43" s="11" t="s">
        <v>624</v>
      </c>
      <c r="F43" s="11" t="s">
        <v>917</v>
      </c>
      <c r="G43" s="11" t="s">
        <v>918</v>
      </c>
      <c r="H43" s="11" t="s">
        <v>624</v>
      </c>
      <c r="I43" s="11">
        <v>1.05</v>
      </c>
      <c r="J43" s="10">
        <v>43959</v>
      </c>
      <c r="K43" s="11">
        <v>4.3539687499999999</v>
      </c>
      <c r="L43" s="11" t="s">
        <v>870</v>
      </c>
      <c r="M43" s="11" t="s">
        <v>624</v>
      </c>
      <c r="N43" s="11">
        <v>165</v>
      </c>
      <c r="O43" s="11">
        <v>2885</v>
      </c>
      <c r="P43" s="11">
        <v>3188</v>
      </c>
      <c r="Q43" s="11">
        <v>42</v>
      </c>
      <c r="R43" s="10">
        <v>43966</v>
      </c>
      <c r="S43" s="10">
        <v>43965</v>
      </c>
      <c r="T43" s="10" t="s">
        <v>624</v>
      </c>
      <c r="U43" s="11">
        <v>1149</v>
      </c>
      <c r="V43" s="11">
        <v>0</v>
      </c>
      <c r="W43" s="11">
        <v>5000</v>
      </c>
      <c r="X43" s="11">
        <v>98884</v>
      </c>
      <c r="Y43" s="11">
        <v>4316</v>
      </c>
      <c r="Z43" s="11" t="s">
        <v>624</v>
      </c>
      <c r="AA43" s="11" t="s">
        <v>919</v>
      </c>
    </row>
    <row r="44" spans="1:27" x14ac:dyDescent="0.25">
      <c r="A44" s="10">
        <v>43979</v>
      </c>
      <c r="B44" s="405">
        <v>6</v>
      </c>
      <c r="C44" s="11">
        <v>43</v>
      </c>
      <c r="D44" s="11">
        <v>3460</v>
      </c>
      <c r="E44" s="11" t="s">
        <v>624</v>
      </c>
      <c r="F44" s="11" t="s">
        <v>923</v>
      </c>
      <c r="G44" s="11" t="s">
        <v>924</v>
      </c>
      <c r="H44" s="11" t="s">
        <v>624</v>
      </c>
      <c r="I44" s="11">
        <v>1.05</v>
      </c>
      <c r="J44" s="10">
        <v>43959</v>
      </c>
      <c r="K44" s="11">
        <v>4.3864812500000001</v>
      </c>
      <c r="L44" s="11" t="s">
        <v>870</v>
      </c>
      <c r="M44" s="11" t="s">
        <v>624</v>
      </c>
      <c r="N44" s="11">
        <v>165</v>
      </c>
      <c r="O44" s="11">
        <v>2885</v>
      </c>
      <c r="P44" s="11">
        <v>3188</v>
      </c>
      <c r="Q44" s="11">
        <v>43</v>
      </c>
      <c r="R44" s="10">
        <v>43966</v>
      </c>
      <c r="S44" s="10">
        <v>43965</v>
      </c>
      <c r="T44" s="10" t="s">
        <v>624</v>
      </c>
      <c r="U44" s="11">
        <v>1149</v>
      </c>
      <c r="V44" s="11">
        <v>0</v>
      </c>
      <c r="W44" s="11">
        <v>5000</v>
      </c>
      <c r="X44" s="11">
        <v>121718</v>
      </c>
      <c r="Y44" s="11">
        <v>4245</v>
      </c>
      <c r="Z44" s="11" t="s">
        <v>925</v>
      </c>
      <c r="AA44" s="11" t="s">
        <v>926</v>
      </c>
    </row>
    <row r="45" spans="1:27" x14ac:dyDescent="0.25">
      <c r="A45" s="10">
        <v>43980</v>
      </c>
      <c r="B45" s="405">
        <v>6</v>
      </c>
      <c r="C45" s="11">
        <v>44</v>
      </c>
      <c r="D45" s="11">
        <v>3460</v>
      </c>
      <c r="E45" s="11" t="s">
        <v>624</v>
      </c>
      <c r="F45" s="11" t="s">
        <v>928</v>
      </c>
      <c r="G45" s="11" t="s">
        <v>929</v>
      </c>
      <c r="H45" s="11" t="s">
        <v>624</v>
      </c>
      <c r="I45" s="11">
        <v>1.05</v>
      </c>
      <c r="J45" s="10">
        <v>43959</v>
      </c>
      <c r="K45" s="11">
        <v>4.4186624999999999</v>
      </c>
      <c r="L45" s="11" t="s">
        <v>870</v>
      </c>
      <c r="M45" s="11" t="s">
        <v>624</v>
      </c>
      <c r="N45" s="11">
        <v>165</v>
      </c>
      <c r="O45" s="11">
        <v>2885</v>
      </c>
      <c r="P45" s="11">
        <v>3188</v>
      </c>
      <c r="Q45" s="11">
        <v>44</v>
      </c>
      <c r="R45" s="10">
        <v>43966</v>
      </c>
      <c r="S45" s="10">
        <v>43965</v>
      </c>
      <c r="T45" s="10" t="s">
        <v>624</v>
      </c>
      <c r="U45" s="11">
        <v>1149</v>
      </c>
      <c r="V45" s="11">
        <v>0</v>
      </c>
      <c r="W45" s="11">
        <v>5000</v>
      </c>
      <c r="X45" s="11">
        <v>118662</v>
      </c>
      <c r="Y45" s="11">
        <v>3056</v>
      </c>
      <c r="Z45" s="11" t="s">
        <v>624</v>
      </c>
      <c r="AA45" s="11" t="s">
        <v>932</v>
      </c>
    </row>
    <row r="46" spans="1:27" x14ac:dyDescent="0.25">
      <c r="A46" s="10">
        <v>43981</v>
      </c>
      <c r="B46" s="405">
        <v>6</v>
      </c>
      <c r="C46" s="11">
        <v>45</v>
      </c>
      <c r="D46" s="11">
        <v>3460</v>
      </c>
      <c r="E46" s="11" t="s">
        <v>624</v>
      </c>
      <c r="F46" s="11" t="s">
        <v>933</v>
      </c>
      <c r="G46" s="11" t="s">
        <v>934</v>
      </c>
      <c r="H46" s="11" t="s">
        <v>624</v>
      </c>
      <c r="I46" s="11">
        <v>1.05</v>
      </c>
      <c r="J46" s="10">
        <v>43959</v>
      </c>
      <c r="K46" s="11">
        <v>4.4506687500000002</v>
      </c>
      <c r="L46" s="11" t="s">
        <v>870</v>
      </c>
      <c r="M46" s="11" t="s">
        <v>624</v>
      </c>
      <c r="N46" s="11">
        <v>165</v>
      </c>
      <c r="O46" s="11">
        <v>2885</v>
      </c>
      <c r="P46" s="11">
        <v>3188</v>
      </c>
      <c r="Q46" s="11">
        <v>45</v>
      </c>
      <c r="R46" s="10">
        <v>43966</v>
      </c>
      <c r="S46" s="10">
        <v>43965</v>
      </c>
      <c r="T46" s="10" t="s">
        <v>624</v>
      </c>
      <c r="U46" s="11">
        <v>1149</v>
      </c>
      <c r="V46" s="11">
        <v>0</v>
      </c>
      <c r="W46" s="11">
        <v>5000</v>
      </c>
      <c r="X46" s="11">
        <v>114434</v>
      </c>
      <c r="Y46" s="11">
        <v>4228</v>
      </c>
      <c r="Z46" s="11" t="s">
        <v>624</v>
      </c>
      <c r="AA46" s="11" t="s">
        <v>935</v>
      </c>
    </row>
    <row r="47" spans="1:27" x14ac:dyDescent="0.25">
      <c r="A47" s="10">
        <v>43982</v>
      </c>
      <c r="B47" s="405">
        <v>6</v>
      </c>
      <c r="C47" s="11">
        <v>46</v>
      </c>
      <c r="D47" s="11">
        <v>3460</v>
      </c>
      <c r="E47" s="11" t="s">
        <v>624</v>
      </c>
      <c r="F47" s="11" t="s">
        <v>938</v>
      </c>
      <c r="G47" s="11" t="s">
        <v>939</v>
      </c>
      <c r="H47" s="11" t="s">
        <v>624</v>
      </c>
      <c r="I47" s="11">
        <v>1.05</v>
      </c>
      <c r="J47" s="10">
        <v>43959</v>
      </c>
      <c r="K47" s="11">
        <v>4.4789687499999999</v>
      </c>
      <c r="L47" s="11" t="s">
        <v>870</v>
      </c>
      <c r="M47" s="11" t="s">
        <v>624</v>
      </c>
      <c r="N47" s="11">
        <v>165</v>
      </c>
      <c r="O47" s="11">
        <v>2885</v>
      </c>
      <c r="P47" s="11">
        <v>3188</v>
      </c>
      <c r="Q47" s="11">
        <v>46</v>
      </c>
      <c r="R47" s="10">
        <v>43966</v>
      </c>
      <c r="S47" s="10">
        <v>43965</v>
      </c>
      <c r="T47" s="10" t="s">
        <v>624</v>
      </c>
      <c r="U47" s="11">
        <v>1149</v>
      </c>
      <c r="V47" s="11">
        <v>0</v>
      </c>
      <c r="W47" s="11">
        <v>5000</v>
      </c>
      <c r="X47" s="11">
        <v>110841</v>
      </c>
      <c r="Y47" s="11">
        <v>3593</v>
      </c>
      <c r="Z47" s="11" t="s">
        <v>624</v>
      </c>
      <c r="AA47" s="11" t="s">
        <v>940</v>
      </c>
    </row>
    <row r="48" spans="1:27" x14ac:dyDescent="0.25">
      <c r="A48" s="10">
        <v>43983</v>
      </c>
      <c r="B48" s="405">
        <v>6</v>
      </c>
      <c r="C48" s="11">
        <v>47</v>
      </c>
      <c r="D48" s="11">
        <v>3460</v>
      </c>
      <c r="E48" s="11" t="s">
        <v>624</v>
      </c>
      <c r="F48" s="11" t="s">
        <v>941</v>
      </c>
      <c r="G48" s="11" t="s">
        <v>942</v>
      </c>
      <c r="H48" s="11" t="s">
        <v>624</v>
      </c>
      <c r="I48" s="11">
        <v>1.05</v>
      </c>
      <c r="J48" s="10">
        <v>43959</v>
      </c>
      <c r="K48" s="11">
        <v>4.5258000000000003</v>
      </c>
      <c r="L48" s="11" t="s">
        <v>870</v>
      </c>
      <c r="M48" s="11" t="s">
        <v>624</v>
      </c>
      <c r="N48" s="11">
        <v>165</v>
      </c>
      <c r="O48" s="11">
        <v>2885</v>
      </c>
      <c r="P48" s="11">
        <v>3188</v>
      </c>
      <c r="Q48" s="11">
        <v>47</v>
      </c>
      <c r="R48" s="10">
        <v>43966</v>
      </c>
      <c r="S48" s="10">
        <v>43965</v>
      </c>
      <c r="T48" s="10" t="s">
        <v>624</v>
      </c>
      <c r="U48" s="11">
        <v>1149</v>
      </c>
      <c r="V48" s="11">
        <v>0</v>
      </c>
      <c r="W48" s="11">
        <v>5000</v>
      </c>
      <c r="X48" s="11">
        <v>107614</v>
      </c>
      <c r="Y48" s="11">
        <v>3347</v>
      </c>
      <c r="Z48" s="11" t="s">
        <v>624</v>
      </c>
      <c r="AA48" s="11" t="s">
        <v>944</v>
      </c>
    </row>
    <row r="49" spans="1:27" x14ac:dyDescent="0.25">
      <c r="A49" s="10">
        <v>43984</v>
      </c>
      <c r="B49" s="405">
        <v>6</v>
      </c>
      <c r="C49" s="11">
        <v>48</v>
      </c>
      <c r="D49" s="11">
        <v>3460</v>
      </c>
      <c r="E49" s="11" t="s">
        <v>624</v>
      </c>
      <c r="F49" s="11" t="s">
        <v>945</v>
      </c>
      <c r="G49" s="11" t="s">
        <v>946</v>
      </c>
      <c r="H49" s="11" t="s">
        <v>624</v>
      </c>
      <c r="I49" s="11">
        <v>1.05</v>
      </c>
      <c r="J49" s="10">
        <v>43959</v>
      </c>
      <c r="K49" s="11">
        <v>4.7940187500000002</v>
      </c>
      <c r="L49" s="11" t="s">
        <v>870</v>
      </c>
      <c r="M49" s="11" t="s">
        <v>624</v>
      </c>
      <c r="N49" s="11">
        <v>165</v>
      </c>
      <c r="O49" s="11">
        <v>2885</v>
      </c>
      <c r="P49" s="11">
        <v>3188</v>
      </c>
      <c r="Q49" s="11">
        <v>48</v>
      </c>
      <c r="R49" s="10">
        <v>43966</v>
      </c>
      <c r="S49" s="10">
        <v>43965</v>
      </c>
      <c r="T49" s="10" t="s">
        <v>624</v>
      </c>
      <c r="U49" s="11">
        <v>1149</v>
      </c>
      <c r="V49" s="11">
        <v>0</v>
      </c>
      <c r="W49" s="11">
        <v>5000</v>
      </c>
      <c r="X49" s="11">
        <v>104865</v>
      </c>
      <c r="Y49" s="11">
        <v>2749</v>
      </c>
      <c r="Z49" s="11" t="s">
        <v>624</v>
      </c>
      <c r="AA49" s="11" t="s">
        <v>947</v>
      </c>
    </row>
    <row r="50" spans="1:27" x14ac:dyDescent="0.25">
      <c r="A50" s="10">
        <v>43985</v>
      </c>
      <c r="B50" s="405">
        <v>6</v>
      </c>
      <c r="C50" s="11">
        <v>49</v>
      </c>
      <c r="D50" s="11">
        <v>3460</v>
      </c>
      <c r="E50" s="11" t="s">
        <v>624</v>
      </c>
      <c r="F50" s="11" t="s">
        <v>948</v>
      </c>
      <c r="G50" s="11" t="s">
        <v>949</v>
      </c>
      <c r="H50" s="11" t="s">
        <v>624</v>
      </c>
      <c r="I50" s="11">
        <v>1.05</v>
      </c>
      <c r="J50" s="10">
        <v>43959</v>
      </c>
      <c r="K50" s="11">
        <v>4.9545187500000001</v>
      </c>
      <c r="L50" s="11" t="s">
        <v>870</v>
      </c>
      <c r="M50" s="11" t="s">
        <v>624</v>
      </c>
      <c r="N50" s="11">
        <v>165</v>
      </c>
      <c r="O50" s="11">
        <v>2885</v>
      </c>
      <c r="P50" s="11">
        <v>3188</v>
      </c>
      <c r="Q50" s="11">
        <v>49</v>
      </c>
      <c r="R50" s="10">
        <v>43966</v>
      </c>
      <c r="S50" s="10">
        <v>43965</v>
      </c>
      <c r="T50" s="10" t="s">
        <v>624</v>
      </c>
      <c r="U50" s="11">
        <v>1149</v>
      </c>
      <c r="V50" s="11">
        <v>0</v>
      </c>
      <c r="W50" s="11">
        <v>5000</v>
      </c>
      <c r="X50" s="11">
        <v>101368</v>
      </c>
      <c r="Y50" s="11">
        <v>3497</v>
      </c>
      <c r="Z50" s="11" t="s">
        <v>624</v>
      </c>
      <c r="AA50" s="11" t="s">
        <v>950</v>
      </c>
    </row>
    <row r="51" spans="1:27" x14ac:dyDescent="0.25">
      <c r="A51" s="10">
        <v>43986</v>
      </c>
      <c r="B51" s="405">
        <v>6</v>
      </c>
      <c r="C51" s="11">
        <v>50</v>
      </c>
      <c r="D51" s="11">
        <v>3460</v>
      </c>
      <c r="E51" s="11" t="s">
        <v>624</v>
      </c>
      <c r="F51" s="11" t="s">
        <v>951</v>
      </c>
      <c r="G51" s="11" t="s">
        <v>952</v>
      </c>
      <c r="H51" s="11" t="s">
        <v>624</v>
      </c>
      <c r="I51" s="11">
        <v>1.05</v>
      </c>
      <c r="J51" s="10">
        <v>43959</v>
      </c>
      <c r="K51" s="11">
        <v>5.2280749999999996</v>
      </c>
      <c r="L51" s="11" t="s">
        <v>870</v>
      </c>
      <c r="M51" s="11" t="s">
        <v>624</v>
      </c>
      <c r="N51" s="11">
        <v>174</v>
      </c>
      <c r="O51" s="11">
        <v>2885</v>
      </c>
      <c r="P51" s="11">
        <v>3188</v>
      </c>
      <c r="Q51" s="11">
        <v>50</v>
      </c>
      <c r="R51" s="10">
        <v>43966</v>
      </c>
      <c r="S51" s="10">
        <v>43965</v>
      </c>
      <c r="T51" s="10" t="s">
        <v>624</v>
      </c>
      <c r="U51" s="11">
        <v>1149</v>
      </c>
      <c r="V51" s="11">
        <v>0</v>
      </c>
      <c r="W51" s="11">
        <v>5000</v>
      </c>
      <c r="X51" s="11">
        <v>97796</v>
      </c>
      <c r="Y51" s="11">
        <v>3572</v>
      </c>
      <c r="Z51" s="11" t="s">
        <v>953</v>
      </c>
      <c r="AA51" s="11" t="s">
        <v>954</v>
      </c>
    </row>
    <row r="52" spans="1:27" x14ac:dyDescent="0.25">
      <c r="A52" s="10">
        <v>43987</v>
      </c>
      <c r="B52" s="405">
        <v>6</v>
      </c>
      <c r="C52" s="11">
        <v>51</v>
      </c>
      <c r="D52" s="11">
        <v>3460</v>
      </c>
      <c r="E52" s="11" t="s">
        <v>624</v>
      </c>
      <c r="F52" s="11" t="s">
        <v>955</v>
      </c>
      <c r="G52" s="11" t="s">
        <v>956</v>
      </c>
      <c r="H52" s="11" t="s">
        <v>624</v>
      </c>
      <c r="I52" s="11">
        <v>1.05</v>
      </c>
      <c r="J52" s="10">
        <v>43959</v>
      </c>
      <c r="K52" s="11">
        <v>5.2556750000000001</v>
      </c>
      <c r="L52" s="11" t="s">
        <v>870</v>
      </c>
      <c r="M52" s="11" t="s">
        <v>624</v>
      </c>
      <c r="N52" s="11">
        <v>139</v>
      </c>
      <c r="O52" s="11">
        <v>2885</v>
      </c>
      <c r="P52" s="11">
        <v>3188</v>
      </c>
      <c r="Q52" s="11">
        <v>51</v>
      </c>
      <c r="R52" s="10">
        <v>43966</v>
      </c>
      <c r="S52" s="10">
        <v>43965</v>
      </c>
      <c r="T52" s="10" t="s">
        <v>624</v>
      </c>
      <c r="U52" s="11">
        <v>1149</v>
      </c>
      <c r="V52" s="11">
        <v>0</v>
      </c>
      <c r="W52" s="11">
        <v>5000</v>
      </c>
      <c r="X52" s="11">
        <v>97796</v>
      </c>
      <c r="Y52" s="11">
        <v>3572</v>
      </c>
      <c r="Z52" s="11" t="s">
        <v>624</v>
      </c>
      <c r="AA52" s="11" t="s">
        <v>957</v>
      </c>
    </row>
    <row r="53" spans="1:27" x14ac:dyDescent="0.25">
      <c r="A53" s="10">
        <v>43988</v>
      </c>
      <c r="B53" s="405">
        <v>6</v>
      </c>
      <c r="C53" s="11">
        <v>52</v>
      </c>
      <c r="D53" s="11">
        <v>3460</v>
      </c>
      <c r="E53" s="11" t="s">
        <v>624</v>
      </c>
      <c r="F53" s="11" t="s">
        <v>958</v>
      </c>
      <c r="G53" s="11" t="s">
        <v>959</v>
      </c>
      <c r="H53" s="11" t="s">
        <v>624</v>
      </c>
      <c r="I53" s="11">
        <v>1.05</v>
      </c>
      <c r="J53" s="10">
        <v>43959</v>
      </c>
      <c r="K53" s="11">
        <v>5.2794375000000002</v>
      </c>
      <c r="L53" s="11" t="s">
        <v>870</v>
      </c>
      <c r="M53" s="11" t="s">
        <v>624</v>
      </c>
      <c r="N53" s="11">
        <v>139</v>
      </c>
      <c r="O53" s="11">
        <v>2885</v>
      </c>
      <c r="P53" s="11">
        <v>3188</v>
      </c>
      <c r="Q53" s="11">
        <v>52</v>
      </c>
      <c r="R53" s="10">
        <v>43966</v>
      </c>
      <c r="S53" s="10">
        <v>43965</v>
      </c>
      <c r="T53" s="10" t="s">
        <v>624</v>
      </c>
      <c r="U53" s="11" t="s">
        <v>624</v>
      </c>
      <c r="V53" s="11" t="s">
        <v>624</v>
      </c>
      <c r="W53" s="11" t="s">
        <v>624</v>
      </c>
      <c r="X53" s="11">
        <v>93242</v>
      </c>
      <c r="Y53" s="11">
        <v>2405</v>
      </c>
      <c r="Z53" s="11" t="s">
        <v>624</v>
      </c>
      <c r="AA53" s="11" t="s">
        <v>960</v>
      </c>
    </row>
    <row r="54" spans="1:27" x14ac:dyDescent="0.25">
      <c r="A54" s="10">
        <v>43989</v>
      </c>
      <c r="B54" s="405">
        <v>6</v>
      </c>
      <c r="C54" s="11">
        <v>53</v>
      </c>
      <c r="D54" s="11">
        <v>3460</v>
      </c>
      <c r="E54" s="11" t="s">
        <v>624</v>
      </c>
      <c r="F54" s="11" t="s">
        <v>961</v>
      </c>
      <c r="G54" s="11" t="s">
        <v>624</v>
      </c>
      <c r="H54" s="11" t="s">
        <v>624</v>
      </c>
      <c r="I54" s="11" t="s">
        <v>624</v>
      </c>
      <c r="J54" s="10">
        <v>43959</v>
      </c>
      <c r="K54" s="11">
        <v>5.2935500000000006</v>
      </c>
      <c r="L54" s="11" t="s">
        <v>870</v>
      </c>
      <c r="M54" s="11" t="s">
        <v>624</v>
      </c>
      <c r="N54" s="11">
        <v>139</v>
      </c>
      <c r="O54" s="11">
        <v>2885</v>
      </c>
      <c r="P54" s="11">
        <v>3188</v>
      </c>
      <c r="Q54" s="11">
        <v>53</v>
      </c>
      <c r="R54" s="10">
        <v>43966</v>
      </c>
      <c r="S54" s="10">
        <v>43965</v>
      </c>
      <c r="T54" s="11" t="s">
        <v>624</v>
      </c>
      <c r="U54" s="11" t="s">
        <v>624</v>
      </c>
      <c r="V54" s="11" t="s">
        <v>624</v>
      </c>
      <c r="W54" s="11" t="s">
        <v>624</v>
      </c>
      <c r="X54" s="11">
        <v>93242</v>
      </c>
      <c r="Y54" s="11">
        <v>2405</v>
      </c>
      <c r="Z54" s="11" t="s">
        <v>624</v>
      </c>
      <c r="AA54" s="11" t="s">
        <v>966</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F2939-DD60-4E9A-A367-9C6E4976A8AE}">
  <sheetPr codeName="Sheet31"/>
  <dimension ref="A1:J1110"/>
  <sheetViews>
    <sheetView workbookViewId="0">
      <selection activeCell="L1" sqref="L1"/>
    </sheetView>
  </sheetViews>
  <sheetFormatPr defaultRowHeight="12.5" x14ac:dyDescent="0.25"/>
  <cols>
    <col min="1" max="1" width="8.90625" style="13" bestFit="1" customWidth="1"/>
    <col min="2" max="6" width="8.7265625" style="13"/>
    <col min="7" max="8" width="10" style="13" bestFit="1" customWidth="1"/>
    <col min="9" max="16384" width="8.7265625" style="13"/>
  </cols>
  <sheetData>
    <row r="1" spans="1:10" s="6" customFormat="1" ht="34.5" x14ac:dyDescent="0.35">
      <c r="A1" s="6" t="s">
        <v>8</v>
      </c>
      <c r="B1" s="6" t="s">
        <v>1189</v>
      </c>
      <c r="C1" s="6" t="s">
        <v>481</v>
      </c>
      <c r="D1" s="6" t="s">
        <v>482</v>
      </c>
      <c r="E1" s="6" t="s">
        <v>483</v>
      </c>
      <c r="F1" s="6" t="s">
        <v>484</v>
      </c>
      <c r="G1" s="6" t="s">
        <v>417</v>
      </c>
      <c r="H1" s="6" t="s">
        <v>418</v>
      </c>
      <c r="I1" s="6" t="s">
        <v>419</v>
      </c>
      <c r="J1" s="6" t="s">
        <v>485</v>
      </c>
    </row>
    <row r="2" spans="1:10" x14ac:dyDescent="0.25">
      <c r="A2" s="14">
        <v>43937</v>
      </c>
      <c r="B2" s="13">
        <v>26</v>
      </c>
      <c r="C2" s="13">
        <v>0</v>
      </c>
      <c r="D2" s="13">
        <v>0</v>
      </c>
      <c r="E2" s="13">
        <v>0</v>
      </c>
      <c r="F2" s="13">
        <v>0</v>
      </c>
      <c r="G2" s="13">
        <v>0</v>
      </c>
      <c r="H2" s="13">
        <v>0</v>
      </c>
      <c r="I2" s="13">
        <v>0</v>
      </c>
      <c r="J2" s="444" t="s">
        <v>624</v>
      </c>
    </row>
    <row r="3" spans="1:10" x14ac:dyDescent="0.25">
      <c r="A3" s="14">
        <v>43940</v>
      </c>
      <c r="B3" s="13">
        <v>26</v>
      </c>
      <c r="C3" s="445">
        <v>259</v>
      </c>
      <c r="D3" s="445">
        <v>258.99239667499597</v>
      </c>
      <c r="E3" s="445">
        <v>0.62</v>
      </c>
      <c r="F3" s="445">
        <v>334.43</v>
      </c>
      <c r="G3" s="445">
        <v>0.710948000769</v>
      </c>
      <c r="H3" s="445">
        <v>-0.81499686827499995</v>
      </c>
      <c r="I3" s="445">
        <v>0.213125350061</v>
      </c>
      <c r="J3" s="13" t="s">
        <v>117</v>
      </c>
    </row>
    <row r="4" spans="1:10" x14ac:dyDescent="0.25">
      <c r="A4" s="14">
        <v>43947</v>
      </c>
      <c r="B4" s="13">
        <v>17.5</v>
      </c>
      <c r="C4" s="445">
        <v>375.39</v>
      </c>
      <c r="D4" s="445">
        <v>375.35038964869398</v>
      </c>
      <c r="E4" s="445">
        <v>1.93</v>
      </c>
      <c r="F4" s="445">
        <v>306.45999999999998</v>
      </c>
      <c r="G4" s="445">
        <v>2.1512105130760002</v>
      </c>
      <c r="H4" s="445">
        <v>-3.0050613687859999</v>
      </c>
      <c r="I4" s="445">
        <v>0.43845843179400001</v>
      </c>
      <c r="J4" s="13" t="s">
        <v>117</v>
      </c>
    </row>
    <row r="5" spans="1:10" x14ac:dyDescent="0.25">
      <c r="A5" s="14">
        <v>43947</v>
      </c>
      <c r="B5" s="13">
        <v>17.5</v>
      </c>
      <c r="C5" s="445">
        <v>606</v>
      </c>
      <c r="D5" s="445">
        <v>605.40641920130702</v>
      </c>
      <c r="E5" s="445">
        <v>6.15</v>
      </c>
      <c r="F5" s="445">
        <v>314.3</v>
      </c>
      <c r="G5" s="445">
        <v>12.078967203668</v>
      </c>
      <c r="H5" s="445">
        <v>-14.307130772735</v>
      </c>
      <c r="I5" s="445">
        <v>0.46700332444499998</v>
      </c>
      <c r="J5" s="13" t="s">
        <v>117</v>
      </c>
    </row>
    <row r="6" spans="1:10" x14ac:dyDescent="0.25">
      <c r="A6" s="14">
        <v>43947</v>
      </c>
      <c r="B6" s="13">
        <v>17.5</v>
      </c>
      <c r="C6" s="445">
        <v>722.3</v>
      </c>
      <c r="D6" s="445">
        <v>720.80440891682895</v>
      </c>
      <c r="E6" s="445">
        <v>7.82</v>
      </c>
      <c r="F6" s="445">
        <v>316.64999999999998</v>
      </c>
      <c r="G6" s="445">
        <v>22.464992872591001</v>
      </c>
      <c r="H6" s="445">
        <v>-24.315028105248</v>
      </c>
      <c r="I6" s="445">
        <v>0.28085463145599998</v>
      </c>
      <c r="J6" s="13" t="s">
        <v>117</v>
      </c>
    </row>
    <row r="7" spans="1:10" x14ac:dyDescent="0.25">
      <c r="A7" s="14">
        <v>43947</v>
      </c>
      <c r="B7" s="13">
        <v>17.5</v>
      </c>
      <c r="C7" s="445">
        <v>837.95</v>
      </c>
      <c r="D7" s="445">
        <v>835.28657268181098</v>
      </c>
      <c r="E7" s="445">
        <v>8.16</v>
      </c>
      <c r="F7" s="445">
        <v>318.42</v>
      </c>
      <c r="G7" s="445">
        <v>34.711860395240002</v>
      </c>
      <c r="H7" s="445">
        <v>-35.205813476136001</v>
      </c>
      <c r="I7" s="445">
        <v>0.14643504966099999</v>
      </c>
      <c r="J7" s="13" t="s">
        <v>117</v>
      </c>
    </row>
    <row r="8" spans="1:10" x14ac:dyDescent="0.25">
      <c r="A8" s="14">
        <v>43947</v>
      </c>
      <c r="B8" s="13">
        <v>17.5</v>
      </c>
      <c r="C8" s="445">
        <v>924.7</v>
      </c>
      <c r="D8" s="445">
        <v>921.08120827215896</v>
      </c>
      <c r="E8" s="445">
        <v>8.82</v>
      </c>
      <c r="F8" s="445">
        <v>317.37</v>
      </c>
      <c r="G8" s="445">
        <v>44.279475874764998</v>
      </c>
      <c r="H8" s="445">
        <v>-43.762357226950002</v>
      </c>
      <c r="I8" s="445">
        <v>0.23810701157</v>
      </c>
      <c r="J8" s="13" t="s">
        <v>117</v>
      </c>
    </row>
    <row r="9" spans="1:10" x14ac:dyDescent="0.25">
      <c r="A9" s="14">
        <v>43948</v>
      </c>
      <c r="B9" s="13">
        <v>12.25</v>
      </c>
      <c r="C9" s="445">
        <v>1266</v>
      </c>
      <c r="D9" s="445">
        <v>1258.6824544783999</v>
      </c>
      <c r="E9" s="445">
        <v>6.27</v>
      </c>
      <c r="F9" s="445">
        <v>316.22000000000003</v>
      </c>
      <c r="G9" s="445">
        <v>81.484836173220998</v>
      </c>
      <c r="H9" s="445">
        <v>-76.421909618662994</v>
      </c>
      <c r="I9" s="445">
        <v>0.12541177872600001</v>
      </c>
      <c r="J9" s="13" t="s">
        <v>110</v>
      </c>
    </row>
    <row r="10" spans="1:10" x14ac:dyDescent="0.25">
      <c r="A10" s="14">
        <v>43948</v>
      </c>
      <c r="B10" s="13">
        <v>12.25</v>
      </c>
      <c r="C10" s="445">
        <v>1295</v>
      </c>
      <c r="D10" s="445">
        <v>1287.51018911502</v>
      </c>
      <c r="E10" s="445">
        <v>6.23</v>
      </c>
      <c r="F10" s="445">
        <v>312.8</v>
      </c>
      <c r="G10" s="445">
        <v>83.697333629941994</v>
      </c>
      <c r="H10" s="445">
        <v>-78.672149162428994</v>
      </c>
      <c r="I10" s="445">
        <v>0.38732174309900003</v>
      </c>
      <c r="J10" s="13" t="s">
        <v>110</v>
      </c>
    </row>
    <row r="11" spans="1:10" x14ac:dyDescent="0.25">
      <c r="A11" s="14">
        <v>43948</v>
      </c>
      <c r="B11" s="13">
        <v>12.25</v>
      </c>
      <c r="C11" s="445">
        <v>1325</v>
      </c>
      <c r="D11" s="445">
        <v>1317.3240989006799</v>
      </c>
      <c r="E11" s="445">
        <v>6.54</v>
      </c>
      <c r="F11" s="445">
        <v>314.70999999999998</v>
      </c>
      <c r="G11" s="445">
        <v>86.005263537633994</v>
      </c>
      <c r="H11" s="445">
        <v>-81.080679261922</v>
      </c>
      <c r="I11" s="445">
        <v>0.375748409773</v>
      </c>
      <c r="J11" s="13" t="s">
        <v>110</v>
      </c>
    </row>
    <row r="12" spans="1:10" x14ac:dyDescent="0.25">
      <c r="A12" s="14">
        <v>43948</v>
      </c>
      <c r="B12" s="13">
        <v>12.25</v>
      </c>
      <c r="C12" s="445">
        <v>1353</v>
      </c>
      <c r="D12" s="445">
        <v>1345.1458954018699</v>
      </c>
      <c r="E12" s="445">
        <v>6.4</v>
      </c>
      <c r="F12" s="445">
        <v>318.60000000000002</v>
      </c>
      <c r="G12" s="445">
        <v>88.297672751164001</v>
      </c>
      <c r="H12" s="445">
        <v>-83.245924602905006</v>
      </c>
      <c r="I12" s="445">
        <v>0.49290820599000001</v>
      </c>
      <c r="J12" s="13" t="s">
        <v>110</v>
      </c>
    </row>
    <row r="13" spans="1:10" x14ac:dyDescent="0.25">
      <c r="A13" s="14">
        <v>43948</v>
      </c>
      <c r="B13" s="13">
        <v>12.25</v>
      </c>
      <c r="C13" s="445">
        <v>1382</v>
      </c>
      <c r="D13" s="445">
        <v>1373.95729954065</v>
      </c>
      <c r="E13" s="445">
        <v>6.68</v>
      </c>
      <c r="F13" s="445">
        <v>322.55</v>
      </c>
      <c r="G13" s="445">
        <v>90.849138671681999</v>
      </c>
      <c r="H13" s="445">
        <v>-85.340446535896007</v>
      </c>
      <c r="I13" s="445">
        <v>0.54801407130599999</v>
      </c>
      <c r="J13" s="13" t="s">
        <v>110</v>
      </c>
    </row>
    <row r="14" spans="1:10" x14ac:dyDescent="0.25">
      <c r="A14" s="14">
        <v>43948</v>
      </c>
      <c r="B14" s="13">
        <v>12.25</v>
      </c>
      <c r="C14" s="445">
        <v>1412</v>
      </c>
      <c r="D14" s="445">
        <v>1403.7493526918799</v>
      </c>
      <c r="E14" s="445">
        <v>6.82</v>
      </c>
      <c r="F14" s="445">
        <v>323.36</v>
      </c>
      <c r="G14" s="445">
        <v>93.663641944475003</v>
      </c>
      <c r="H14" s="445">
        <v>-87.464472317223994</v>
      </c>
      <c r="I14" s="445">
        <v>0.16930129492099999</v>
      </c>
      <c r="J14" s="13" t="s">
        <v>110</v>
      </c>
    </row>
    <row r="15" spans="1:10" x14ac:dyDescent="0.25">
      <c r="A15" s="14">
        <v>43949</v>
      </c>
      <c r="B15" s="13">
        <v>12.25</v>
      </c>
      <c r="C15" s="445">
        <v>1440</v>
      </c>
      <c r="D15" s="445">
        <v>1431.5548093431601</v>
      </c>
      <c r="E15" s="445">
        <v>6.7</v>
      </c>
      <c r="F15" s="445">
        <v>326.86</v>
      </c>
      <c r="G15" s="445">
        <v>96.365351286974999</v>
      </c>
      <c r="H15" s="445">
        <v>-89.349594005900997</v>
      </c>
      <c r="I15" s="445">
        <v>0.45967702684200001</v>
      </c>
      <c r="J15" s="13" t="s">
        <v>110</v>
      </c>
    </row>
    <row r="16" spans="1:10" x14ac:dyDescent="0.25">
      <c r="A16" s="14">
        <v>43949</v>
      </c>
      <c r="B16" s="13">
        <v>12.25</v>
      </c>
      <c r="C16" s="445">
        <v>1468</v>
      </c>
      <c r="D16" s="445">
        <v>1459.36444389234</v>
      </c>
      <c r="E16" s="445">
        <v>6.67</v>
      </c>
      <c r="F16" s="445">
        <v>326.36</v>
      </c>
      <c r="G16" s="445">
        <v>99.086842969580999</v>
      </c>
      <c r="H16" s="445">
        <v>-91.143367661525005</v>
      </c>
      <c r="I16" s="445">
        <v>7.0158741795999999E-2</v>
      </c>
      <c r="J16" s="13" t="s">
        <v>110</v>
      </c>
    </row>
    <row r="17" spans="1:10" x14ac:dyDescent="0.25">
      <c r="A17" s="14">
        <v>43949</v>
      </c>
      <c r="B17" s="13">
        <v>12.25</v>
      </c>
      <c r="C17" s="445">
        <v>1498</v>
      </c>
      <c r="D17" s="445">
        <v>1489.1650333432001</v>
      </c>
      <c r="E17" s="445">
        <v>6.55</v>
      </c>
      <c r="F17" s="445">
        <v>327.55</v>
      </c>
      <c r="G17" s="445">
        <v>101.98122722212101</v>
      </c>
      <c r="H17" s="445">
        <v>-93.026622970158002</v>
      </c>
      <c r="I17" s="445">
        <v>0.18210363367400001</v>
      </c>
      <c r="J17" s="13" t="s">
        <v>110</v>
      </c>
    </row>
    <row r="18" spans="1:10" x14ac:dyDescent="0.25">
      <c r="A18" s="14">
        <v>43949</v>
      </c>
      <c r="B18" s="13">
        <v>12.25</v>
      </c>
      <c r="C18" s="445">
        <v>1526</v>
      </c>
      <c r="D18" s="445">
        <v>1516.98896014312</v>
      </c>
      <c r="E18" s="445">
        <v>6.31</v>
      </c>
      <c r="F18" s="445">
        <v>330.62</v>
      </c>
      <c r="G18" s="445">
        <v>104.66967758606999</v>
      </c>
      <c r="H18" s="445">
        <v>-94.638402940242003</v>
      </c>
      <c r="I18" s="445">
        <v>0.44915015041200002</v>
      </c>
      <c r="J18" s="13" t="s">
        <v>110</v>
      </c>
    </row>
    <row r="19" spans="1:10" x14ac:dyDescent="0.25">
      <c r="A19" s="14">
        <v>43949</v>
      </c>
      <c r="B19" s="13">
        <v>12.25</v>
      </c>
      <c r="C19" s="445">
        <v>1555</v>
      </c>
      <c r="D19" s="445">
        <v>1545.8087848510199</v>
      </c>
      <c r="E19" s="445">
        <v>6.47</v>
      </c>
      <c r="F19" s="445">
        <v>330.35</v>
      </c>
      <c r="G19" s="445">
        <v>107.47833917622199</v>
      </c>
      <c r="H19" s="445">
        <v>-96.228546983873002</v>
      </c>
      <c r="I19" s="445">
        <v>0.16841063733299999</v>
      </c>
      <c r="J19" s="13" t="s">
        <v>110</v>
      </c>
    </row>
    <row r="20" spans="1:10" x14ac:dyDescent="0.25">
      <c r="A20" s="14">
        <v>43949</v>
      </c>
      <c r="B20" s="13">
        <v>12.25</v>
      </c>
      <c r="C20" s="445">
        <v>1585</v>
      </c>
      <c r="D20" s="445">
        <v>1575.5957767402999</v>
      </c>
      <c r="E20" s="445">
        <v>7.19</v>
      </c>
      <c r="F20" s="445">
        <v>327.5</v>
      </c>
      <c r="G20" s="445">
        <v>110.530702139463</v>
      </c>
      <c r="H20" s="445">
        <v>-98.073468229431001</v>
      </c>
      <c r="I20" s="445">
        <v>0.79557191006600003</v>
      </c>
      <c r="J20" s="13" t="s">
        <v>110</v>
      </c>
    </row>
    <row r="21" spans="1:10" x14ac:dyDescent="0.25">
      <c r="A21" s="14">
        <v>43950</v>
      </c>
      <c r="B21" s="13">
        <v>12.25</v>
      </c>
      <c r="C21" s="445">
        <v>1614</v>
      </c>
      <c r="D21" s="445">
        <v>1604.3527420909099</v>
      </c>
      <c r="E21" s="445">
        <v>7.66</v>
      </c>
      <c r="F21" s="445">
        <v>323.3</v>
      </c>
      <c r="G21" s="445">
        <v>113.610992967957</v>
      </c>
      <c r="H21" s="445">
        <v>-100.203669251354</v>
      </c>
      <c r="I21" s="445">
        <v>0.74242723326100002</v>
      </c>
      <c r="J21" s="13" t="s">
        <v>110</v>
      </c>
    </row>
    <row r="22" spans="1:10" x14ac:dyDescent="0.25">
      <c r="A22" s="14">
        <v>43950</v>
      </c>
      <c r="B22" s="13">
        <v>12.25</v>
      </c>
      <c r="C22" s="445">
        <v>1642</v>
      </c>
      <c r="D22" s="445">
        <v>1632.08052409779</v>
      </c>
      <c r="E22" s="445">
        <v>8.35</v>
      </c>
      <c r="F22" s="445">
        <v>315.70999999999998</v>
      </c>
      <c r="G22" s="445">
        <v>116.56262706113399</v>
      </c>
      <c r="H22" s="445">
        <v>-102.73868898591</v>
      </c>
      <c r="I22" s="445">
        <v>1.3508696702059999</v>
      </c>
      <c r="J22" s="13" t="s">
        <v>110</v>
      </c>
    </row>
    <row r="23" spans="1:10" x14ac:dyDescent="0.25">
      <c r="A23" s="14">
        <v>43950</v>
      </c>
      <c r="B23" s="13">
        <v>12.25</v>
      </c>
      <c r="C23" s="445">
        <v>1672</v>
      </c>
      <c r="D23" s="445">
        <v>1661.8487306658899</v>
      </c>
      <c r="E23" s="445">
        <v>5.83</v>
      </c>
      <c r="F23" s="445">
        <v>315.38</v>
      </c>
      <c r="G23" s="445">
        <v>119.206819566097</v>
      </c>
      <c r="H23" s="445">
        <v>-105.330409105624</v>
      </c>
      <c r="I23" s="445">
        <v>2.5203188088789998</v>
      </c>
      <c r="J23" s="13" t="s">
        <v>110</v>
      </c>
    </row>
    <row r="24" spans="1:10" x14ac:dyDescent="0.25">
      <c r="A24" s="14">
        <v>43950</v>
      </c>
      <c r="B24" s="13">
        <v>12.25</v>
      </c>
      <c r="C24" s="445">
        <v>1700</v>
      </c>
      <c r="D24" s="445">
        <v>1689.7269835266</v>
      </c>
      <c r="E24" s="445">
        <v>4.99</v>
      </c>
      <c r="F24" s="445">
        <v>338.25</v>
      </c>
      <c r="G24" s="445">
        <v>121.350370436489</v>
      </c>
      <c r="H24" s="445">
        <v>-106.780719698685</v>
      </c>
      <c r="I24" s="445">
        <v>2.4588029209109998</v>
      </c>
      <c r="J24" s="13" t="s">
        <v>110</v>
      </c>
    </row>
    <row r="25" spans="1:10" x14ac:dyDescent="0.25">
      <c r="A25" s="14">
        <v>43950</v>
      </c>
      <c r="B25" s="13">
        <v>12.25</v>
      </c>
      <c r="C25" s="445">
        <v>1735</v>
      </c>
      <c r="D25" s="445">
        <v>1724.56266421753</v>
      </c>
      <c r="E25" s="445">
        <v>6.13</v>
      </c>
      <c r="F25" s="445">
        <v>348.85</v>
      </c>
      <c r="G25" s="445">
        <v>124.59783970134499</v>
      </c>
      <c r="H25" s="445">
        <v>-107.706202937679</v>
      </c>
      <c r="I25" s="445">
        <v>1.3112772702890001</v>
      </c>
      <c r="J25" s="13" t="s">
        <v>110</v>
      </c>
    </row>
    <row r="26" spans="1:10" x14ac:dyDescent="0.25">
      <c r="A26" s="14">
        <v>43950</v>
      </c>
      <c r="B26" s="13">
        <v>12.25</v>
      </c>
      <c r="C26" s="445">
        <v>1758</v>
      </c>
      <c r="D26" s="445">
        <v>1747.4348731665</v>
      </c>
      <c r="E26" s="445">
        <v>6.01</v>
      </c>
      <c r="F26" s="445">
        <v>335.43</v>
      </c>
      <c r="G26" s="445">
        <v>126.897851036031</v>
      </c>
      <c r="H26" s="445">
        <v>-108.44437321750701</v>
      </c>
      <c r="I26" s="445">
        <v>1.8533199353609999</v>
      </c>
      <c r="J26" s="13" t="s">
        <v>110</v>
      </c>
    </row>
    <row r="27" spans="1:10" x14ac:dyDescent="0.25">
      <c r="A27" s="14">
        <v>43951</v>
      </c>
      <c r="B27" s="13">
        <v>12.25</v>
      </c>
      <c r="C27" s="445">
        <v>1787</v>
      </c>
      <c r="D27" s="445">
        <v>1776.27751056998</v>
      </c>
      <c r="E27" s="445">
        <v>5.96</v>
      </c>
      <c r="F27" s="445">
        <v>325.97000000000003</v>
      </c>
      <c r="G27" s="445">
        <v>129.52638410649101</v>
      </c>
      <c r="H27" s="445">
        <v>-109.91824718354999</v>
      </c>
      <c r="I27" s="445">
        <v>1.0205458218679999</v>
      </c>
      <c r="J27" s="13" t="s">
        <v>110</v>
      </c>
    </row>
    <row r="28" spans="1:10" x14ac:dyDescent="0.25">
      <c r="A28" s="14">
        <v>43951</v>
      </c>
      <c r="B28" s="13">
        <v>12.25</v>
      </c>
      <c r="C28" s="445">
        <v>1816</v>
      </c>
      <c r="D28" s="445">
        <v>1805.1152114418201</v>
      </c>
      <c r="E28" s="445">
        <v>6.17</v>
      </c>
      <c r="F28" s="445">
        <v>328.17</v>
      </c>
      <c r="G28" s="445">
        <v>132.09822310831001</v>
      </c>
      <c r="H28" s="445">
        <v>-111.582746541283</v>
      </c>
      <c r="I28" s="445">
        <v>0.32402240189699999</v>
      </c>
      <c r="J28" s="13" t="s">
        <v>110</v>
      </c>
    </row>
    <row r="29" spans="1:10" x14ac:dyDescent="0.25">
      <c r="A29" s="14">
        <v>43951</v>
      </c>
      <c r="B29" s="13">
        <v>12.25</v>
      </c>
      <c r="C29" s="445">
        <v>1845</v>
      </c>
      <c r="D29" s="445">
        <v>1833.94795502323</v>
      </c>
      <c r="E29" s="445">
        <v>6.17</v>
      </c>
      <c r="F29" s="445">
        <v>337.47</v>
      </c>
      <c r="G29" s="445">
        <v>134.86187272505799</v>
      </c>
      <c r="H29" s="445">
        <v>-113.001850241547</v>
      </c>
      <c r="I29" s="445">
        <v>1.032898556818</v>
      </c>
      <c r="J29" s="13" t="s">
        <v>110</v>
      </c>
    </row>
    <row r="30" spans="1:10" x14ac:dyDescent="0.25">
      <c r="A30" s="14">
        <v>43951</v>
      </c>
      <c r="B30" s="13">
        <v>12.25</v>
      </c>
      <c r="C30" s="445">
        <v>1873</v>
      </c>
      <c r="D30" s="445">
        <v>1861.78268991198</v>
      </c>
      <c r="E30" s="445">
        <v>6.29</v>
      </c>
      <c r="F30" s="445">
        <v>340.94</v>
      </c>
      <c r="G30" s="445">
        <v>137.70150830653901</v>
      </c>
      <c r="H30" s="445">
        <v>-114.079299036628</v>
      </c>
      <c r="I30" s="445">
        <v>0.42337632892799998</v>
      </c>
      <c r="J30" s="13" t="s">
        <v>110</v>
      </c>
    </row>
    <row r="31" spans="1:10" x14ac:dyDescent="0.25">
      <c r="A31" s="14">
        <v>43951</v>
      </c>
      <c r="B31" s="13">
        <v>12.25</v>
      </c>
      <c r="C31" s="445">
        <v>1902</v>
      </c>
      <c r="D31" s="445">
        <v>1890.6195032456101</v>
      </c>
      <c r="E31" s="445">
        <v>5.87</v>
      </c>
      <c r="F31" s="445">
        <v>341.6</v>
      </c>
      <c r="G31" s="445">
        <v>140.610186181816</v>
      </c>
      <c r="H31" s="445">
        <v>-115.06617273305299</v>
      </c>
      <c r="I31" s="445">
        <v>0.440452675721</v>
      </c>
      <c r="J31" s="13" t="s">
        <v>110</v>
      </c>
    </row>
    <row r="32" spans="1:10" x14ac:dyDescent="0.25">
      <c r="A32" s="14">
        <v>43951</v>
      </c>
      <c r="B32" s="13">
        <v>12.25</v>
      </c>
      <c r="C32" s="445">
        <v>1932</v>
      </c>
      <c r="D32" s="445">
        <v>1920.4478663725599</v>
      </c>
      <c r="E32" s="445">
        <v>6.39</v>
      </c>
      <c r="F32" s="445">
        <v>341.83</v>
      </c>
      <c r="G32" s="445">
        <v>143.65204132058099</v>
      </c>
      <c r="H32" s="445">
        <v>-116.071000629005</v>
      </c>
      <c r="I32" s="445">
        <v>0.52057865426299998</v>
      </c>
      <c r="J32" s="13" t="s">
        <v>110</v>
      </c>
    </row>
    <row r="33" spans="1:10" x14ac:dyDescent="0.25">
      <c r="A33" s="14">
        <v>43952</v>
      </c>
      <c r="B33" s="13">
        <v>12.25</v>
      </c>
      <c r="C33" s="445">
        <v>1961</v>
      </c>
      <c r="D33" s="445">
        <v>1949.2732952465799</v>
      </c>
      <c r="E33" s="445">
        <v>6.19</v>
      </c>
      <c r="F33" s="445">
        <v>340.29</v>
      </c>
      <c r="G33" s="445">
        <v>146.65723383294701</v>
      </c>
      <c r="H33" s="445">
        <v>-117.10153771877199</v>
      </c>
      <c r="I33" s="445">
        <v>0.27066865391099998</v>
      </c>
      <c r="J33" s="13" t="s">
        <v>110</v>
      </c>
    </row>
    <row r="34" spans="1:10" x14ac:dyDescent="0.25">
      <c r="A34" s="14">
        <v>43952</v>
      </c>
      <c r="B34" s="13">
        <v>12.25</v>
      </c>
      <c r="C34" s="445">
        <v>1990</v>
      </c>
      <c r="D34" s="445">
        <v>1978.10964403464</v>
      </c>
      <c r="E34" s="445">
        <v>6</v>
      </c>
      <c r="F34" s="445">
        <v>334.33</v>
      </c>
      <c r="G34" s="445">
        <v>149.495211439141</v>
      </c>
      <c r="H34" s="445">
        <v>-118.285413356704</v>
      </c>
      <c r="I34" s="445">
        <v>0.68315289393400003</v>
      </c>
      <c r="J34" s="13" t="s">
        <v>110</v>
      </c>
    </row>
    <row r="35" spans="1:10" x14ac:dyDescent="0.25">
      <c r="A35" s="14">
        <v>43952</v>
      </c>
      <c r="B35" s="13">
        <v>12.25</v>
      </c>
      <c r="C35" s="445">
        <v>2019</v>
      </c>
      <c r="D35" s="445">
        <v>2006.93720766308</v>
      </c>
      <c r="E35" s="445">
        <v>6.51</v>
      </c>
      <c r="F35" s="445">
        <v>328.44</v>
      </c>
      <c r="G35" s="445">
        <v>152.26213830141299</v>
      </c>
      <c r="H35" s="445">
        <v>-119.802439588672</v>
      </c>
      <c r="I35" s="445">
        <v>0.84732080134499999</v>
      </c>
      <c r="J35" s="13" t="s">
        <v>110</v>
      </c>
    </row>
    <row r="36" spans="1:10" x14ac:dyDescent="0.25">
      <c r="A36" s="14">
        <v>43952</v>
      </c>
      <c r="B36" s="13">
        <v>12.25</v>
      </c>
      <c r="C36" s="445">
        <v>2047</v>
      </c>
      <c r="D36" s="445">
        <v>2034.76516316324</v>
      </c>
      <c r="E36" s="445">
        <v>6.2</v>
      </c>
      <c r="F36" s="445">
        <v>330.72</v>
      </c>
      <c r="G36" s="445">
        <v>154.93347145801701</v>
      </c>
      <c r="H36" s="445">
        <v>-121.372692012016</v>
      </c>
      <c r="I36" s="445">
        <v>0.42822890932500002</v>
      </c>
      <c r="J36" s="13" t="s">
        <v>110</v>
      </c>
    </row>
    <row r="37" spans="1:10" x14ac:dyDescent="0.25">
      <c r="A37" s="14">
        <v>43952</v>
      </c>
      <c r="B37" s="13">
        <v>12.25</v>
      </c>
      <c r="C37" s="445">
        <v>2075</v>
      </c>
      <c r="D37" s="445">
        <v>2062.6019451858201</v>
      </c>
      <c r="E37" s="445">
        <v>6.18</v>
      </c>
      <c r="F37" s="445">
        <v>328.88</v>
      </c>
      <c r="G37" s="445">
        <v>157.54252934672601</v>
      </c>
      <c r="H37" s="445">
        <v>-122.89110970542301</v>
      </c>
      <c r="I37" s="445">
        <v>0.21363902960299999</v>
      </c>
      <c r="J37" s="13" t="s">
        <v>110</v>
      </c>
    </row>
    <row r="38" spans="1:10" x14ac:dyDescent="0.25">
      <c r="A38" s="14">
        <v>43952</v>
      </c>
      <c r="B38" s="13">
        <v>12.25</v>
      </c>
      <c r="C38" s="445">
        <v>2105</v>
      </c>
      <c r="D38" s="445">
        <v>2092.4345550012999</v>
      </c>
      <c r="E38" s="445">
        <v>5.93</v>
      </c>
      <c r="F38" s="445">
        <v>329.14</v>
      </c>
      <c r="G38" s="445">
        <v>160.255228247411</v>
      </c>
      <c r="H38" s="445">
        <v>-124.52059158682999</v>
      </c>
      <c r="I38" s="445">
        <v>0.25149919094000001</v>
      </c>
      <c r="J38" s="13" t="s">
        <v>110</v>
      </c>
    </row>
    <row r="39" spans="1:10" x14ac:dyDescent="0.25">
      <c r="A39" s="14">
        <v>43953</v>
      </c>
      <c r="B39" s="13">
        <v>12.25</v>
      </c>
      <c r="C39" s="445">
        <v>2134</v>
      </c>
      <c r="D39" s="445">
        <v>2121.2676088283602</v>
      </c>
      <c r="E39" s="445">
        <v>6.37</v>
      </c>
      <c r="F39" s="445">
        <v>327.43</v>
      </c>
      <c r="G39" s="445">
        <v>162.89695150227499</v>
      </c>
      <c r="H39" s="445">
        <v>-126.15505072291</v>
      </c>
      <c r="I39" s="445">
        <v>0.492999445388</v>
      </c>
      <c r="J39" s="13" t="s">
        <v>110</v>
      </c>
    </row>
    <row r="40" spans="1:10" x14ac:dyDescent="0.25">
      <c r="A40" s="14">
        <v>43953</v>
      </c>
      <c r="B40" s="13">
        <v>12.25</v>
      </c>
      <c r="C40" s="445">
        <v>2162</v>
      </c>
      <c r="D40" s="445">
        <v>2149.0993242407499</v>
      </c>
      <c r="E40" s="445">
        <v>6.2</v>
      </c>
      <c r="F40" s="445">
        <v>328.78</v>
      </c>
      <c r="G40" s="445">
        <v>165.49898699003299</v>
      </c>
      <c r="H40" s="445">
        <v>-127.77493305672201</v>
      </c>
      <c r="I40" s="445">
        <v>0.24133774060800001</v>
      </c>
      <c r="J40" s="13" t="s">
        <v>110</v>
      </c>
    </row>
    <row r="41" spans="1:10" x14ac:dyDescent="0.25">
      <c r="A41" s="14">
        <v>43953</v>
      </c>
      <c r="B41" s="13">
        <v>12.25</v>
      </c>
      <c r="C41" s="445">
        <v>2192</v>
      </c>
      <c r="D41" s="445">
        <v>2178.91846010887</v>
      </c>
      <c r="E41" s="445">
        <v>6.43</v>
      </c>
      <c r="F41" s="445">
        <v>340.2</v>
      </c>
      <c r="G41" s="445">
        <v>168.46502617499601</v>
      </c>
      <c r="H41" s="445">
        <v>-129.18369866243199</v>
      </c>
      <c r="I41" s="445">
        <v>1.2747971929769999</v>
      </c>
      <c r="J41" s="13" t="s">
        <v>110</v>
      </c>
    </row>
    <row r="42" spans="1:10" x14ac:dyDescent="0.25">
      <c r="A42" s="14">
        <v>43953</v>
      </c>
      <c r="B42" s="13">
        <v>12.25</v>
      </c>
      <c r="C42" s="445">
        <v>2220</v>
      </c>
      <c r="D42" s="445">
        <v>2206.7409933301901</v>
      </c>
      <c r="E42" s="445">
        <v>6.48</v>
      </c>
      <c r="F42" s="445">
        <v>342.35</v>
      </c>
      <c r="G42" s="445">
        <v>171.44580392006799</v>
      </c>
      <c r="H42" s="445">
        <v>-130.19384561225101</v>
      </c>
      <c r="I42" s="445">
        <v>0.264440292365</v>
      </c>
      <c r="J42" s="13" t="s">
        <v>110</v>
      </c>
    </row>
    <row r="43" spans="1:10" x14ac:dyDescent="0.25">
      <c r="A43" s="14">
        <v>43953</v>
      </c>
      <c r="B43" s="13">
        <v>12.25</v>
      </c>
      <c r="C43" s="445">
        <v>2246</v>
      </c>
      <c r="D43" s="445">
        <v>2232.5848940810802</v>
      </c>
      <c r="E43" s="445">
        <v>6.13</v>
      </c>
      <c r="F43" s="445">
        <v>329.98</v>
      </c>
      <c r="G43" s="445">
        <v>174.045978039548</v>
      </c>
      <c r="H43" s="445">
        <v>-131.333259451701</v>
      </c>
      <c r="I43" s="445">
        <v>1.6151798465859999</v>
      </c>
      <c r="J43" s="13" t="s">
        <v>110</v>
      </c>
    </row>
    <row r="44" spans="1:10" x14ac:dyDescent="0.25">
      <c r="A44" s="14">
        <v>43954</v>
      </c>
      <c r="B44" s="13">
        <v>12.25</v>
      </c>
      <c r="C44" s="445">
        <v>2276</v>
      </c>
      <c r="D44" s="445">
        <v>2262.4016431535501</v>
      </c>
      <c r="E44" s="445">
        <v>6.54</v>
      </c>
      <c r="F44" s="445">
        <v>329.73</v>
      </c>
      <c r="G44" s="445">
        <v>176.908405853864</v>
      </c>
      <c r="H44" s="445">
        <v>-132.995824918957</v>
      </c>
      <c r="I44" s="445">
        <v>0.41092597588699997</v>
      </c>
      <c r="J44" s="13" t="s">
        <v>110</v>
      </c>
    </row>
    <row r="45" spans="1:10" x14ac:dyDescent="0.25">
      <c r="A45" s="14">
        <v>43954</v>
      </c>
      <c r="B45" s="13">
        <v>12.25</v>
      </c>
      <c r="C45" s="445">
        <v>2305</v>
      </c>
      <c r="D45" s="445">
        <v>2291.2247761394801</v>
      </c>
      <c r="E45" s="445">
        <v>6.12</v>
      </c>
      <c r="F45" s="445">
        <v>329.7</v>
      </c>
      <c r="G45" s="445">
        <v>179.66944568353099</v>
      </c>
      <c r="H45" s="445">
        <v>-134.608244781693</v>
      </c>
      <c r="I45" s="445">
        <v>0.43449621715999998</v>
      </c>
      <c r="J45" s="13" t="s">
        <v>110</v>
      </c>
    </row>
    <row r="46" spans="1:10" x14ac:dyDescent="0.25">
      <c r="A46" s="14">
        <v>43954</v>
      </c>
      <c r="B46" s="13">
        <v>12.25</v>
      </c>
      <c r="C46" s="445">
        <v>2334</v>
      </c>
      <c r="D46" s="445">
        <v>2320.0293152763302</v>
      </c>
      <c r="E46" s="445">
        <v>7.18</v>
      </c>
      <c r="F46" s="445">
        <v>327.23</v>
      </c>
      <c r="G46" s="445">
        <v>182.52810455120101</v>
      </c>
      <c r="H46" s="445">
        <v>-136.369174154902</v>
      </c>
      <c r="I46" s="445">
        <v>1.135524116784</v>
      </c>
      <c r="J46" s="13" t="s">
        <v>110</v>
      </c>
    </row>
    <row r="47" spans="1:10" x14ac:dyDescent="0.25">
      <c r="A47" s="14">
        <v>43954</v>
      </c>
      <c r="B47" s="13">
        <v>12.25</v>
      </c>
      <c r="C47" s="445">
        <v>2362</v>
      </c>
      <c r="D47" s="445">
        <v>2347.7800215252901</v>
      </c>
      <c r="E47" s="445">
        <v>8.1199999999999992</v>
      </c>
      <c r="F47" s="445">
        <v>331.48</v>
      </c>
      <c r="G47" s="445">
        <v>185.73702823136199</v>
      </c>
      <c r="H47" s="445">
        <v>-138.260518410728</v>
      </c>
      <c r="I47" s="445">
        <v>1.174837972595</v>
      </c>
      <c r="J47" s="13" t="s">
        <v>110</v>
      </c>
    </row>
    <row r="48" spans="1:10" x14ac:dyDescent="0.25">
      <c r="A48" s="14">
        <v>43954</v>
      </c>
      <c r="B48" s="13">
        <v>12.25</v>
      </c>
      <c r="C48" s="445">
        <v>2392</v>
      </c>
      <c r="D48" s="445">
        <v>2377.47636634438</v>
      </c>
      <c r="E48" s="445">
        <v>8.1999999999999993</v>
      </c>
      <c r="F48" s="445">
        <v>333.78</v>
      </c>
      <c r="G48" s="445">
        <v>189.517932965379</v>
      </c>
      <c r="H48" s="445">
        <v>-140.21737382541701</v>
      </c>
      <c r="I48" s="445">
        <v>0.33609184074999998</v>
      </c>
      <c r="J48" s="13" t="s">
        <v>110</v>
      </c>
    </row>
    <row r="49" spans="1:10" x14ac:dyDescent="0.25">
      <c r="A49" s="14">
        <v>43954</v>
      </c>
      <c r="B49" s="13">
        <v>12.25</v>
      </c>
      <c r="C49" s="445">
        <v>2419</v>
      </c>
      <c r="D49" s="445">
        <v>2404.18219460517</v>
      </c>
      <c r="E49" s="445">
        <v>8.73</v>
      </c>
      <c r="F49" s="445">
        <v>331.72</v>
      </c>
      <c r="G49" s="445">
        <v>193.04977625140299</v>
      </c>
      <c r="H49" s="445">
        <v>-142.03889019263201</v>
      </c>
      <c r="I49" s="445">
        <v>0.67837590071200005</v>
      </c>
      <c r="J49" s="13" t="s">
        <v>110</v>
      </c>
    </row>
    <row r="50" spans="1:10" x14ac:dyDescent="0.25">
      <c r="A50" s="14">
        <v>43954</v>
      </c>
      <c r="B50" s="13">
        <v>12.25</v>
      </c>
      <c r="C50" s="445">
        <v>2447</v>
      </c>
      <c r="D50" s="445">
        <v>2431.8469620485698</v>
      </c>
      <c r="E50" s="445">
        <v>9.02</v>
      </c>
      <c r="F50" s="445">
        <v>330.31</v>
      </c>
      <c r="G50" s="445">
        <v>196.82782129307299</v>
      </c>
      <c r="H50" s="445">
        <v>-144.132786744127</v>
      </c>
      <c r="I50" s="445">
        <v>0.38839262623999998</v>
      </c>
      <c r="J50" s="13" t="s">
        <v>110</v>
      </c>
    </row>
    <row r="51" spans="1:10" x14ac:dyDescent="0.25">
      <c r="A51" s="14">
        <v>43954</v>
      </c>
      <c r="B51" s="13">
        <v>12.25</v>
      </c>
      <c r="C51" s="445">
        <v>2477</v>
      </c>
      <c r="D51" s="445">
        <v>2461.4973036206602</v>
      </c>
      <c r="E51" s="445">
        <v>8.49</v>
      </c>
      <c r="F51" s="445">
        <v>330.17</v>
      </c>
      <c r="G51" s="445">
        <v>200.79193865922599</v>
      </c>
      <c r="H51" s="445">
        <v>-146.399191450247</v>
      </c>
      <c r="I51" s="445">
        <v>0.53042782292500001</v>
      </c>
      <c r="J51" s="13" t="s">
        <v>110</v>
      </c>
    </row>
    <row r="52" spans="1:10" x14ac:dyDescent="0.25">
      <c r="A52" s="14">
        <v>43954</v>
      </c>
      <c r="B52" s="13">
        <v>12.25</v>
      </c>
      <c r="C52" s="445">
        <v>2506</v>
      </c>
      <c r="D52" s="445">
        <v>2490.1772812917902</v>
      </c>
      <c r="E52" s="445">
        <v>8.5500000000000007</v>
      </c>
      <c r="F52" s="445">
        <v>329.14</v>
      </c>
      <c r="G52" s="445">
        <v>204.49958455777801</v>
      </c>
      <c r="H52" s="445">
        <v>-148.56982930656</v>
      </c>
      <c r="I52" s="445">
        <v>0.16962248881100001</v>
      </c>
      <c r="J52" s="13" t="s">
        <v>110</v>
      </c>
    </row>
    <row r="53" spans="1:10" x14ac:dyDescent="0.25">
      <c r="A53" s="14">
        <v>43954</v>
      </c>
      <c r="B53" s="13">
        <v>12.25</v>
      </c>
      <c r="C53" s="445">
        <v>2536</v>
      </c>
      <c r="D53" s="445">
        <v>2519.8348909598999</v>
      </c>
      <c r="E53" s="445">
        <v>8.7799999999999994</v>
      </c>
      <c r="F53" s="445">
        <v>327.49</v>
      </c>
      <c r="G53" s="445">
        <v>208.34477910587501</v>
      </c>
      <c r="H53" s="445">
        <v>-150.94428664934</v>
      </c>
      <c r="I53" s="445">
        <v>0.33864290743499997</v>
      </c>
      <c r="J53" s="13" t="s">
        <v>110</v>
      </c>
    </row>
    <row r="54" spans="1:10" x14ac:dyDescent="0.25">
      <c r="A54" s="14">
        <v>43954</v>
      </c>
      <c r="B54" s="13">
        <v>12.25</v>
      </c>
      <c r="C54" s="445">
        <v>2563</v>
      </c>
      <c r="D54" s="445">
        <v>2546.51015822828</v>
      </c>
      <c r="E54" s="445">
        <v>9.01</v>
      </c>
      <c r="F54" s="445">
        <v>328.01</v>
      </c>
      <c r="G54" s="445">
        <v>211.875659593753</v>
      </c>
      <c r="H54" s="445">
        <v>-153.171819047469</v>
      </c>
      <c r="I54" s="445">
        <v>0.27071870359400002</v>
      </c>
      <c r="J54" s="13" t="s">
        <v>110</v>
      </c>
    </row>
    <row r="55" spans="1:10" x14ac:dyDescent="0.25">
      <c r="A55" s="14">
        <v>43954</v>
      </c>
      <c r="B55" s="13">
        <v>12.25</v>
      </c>
      <c r="C55" s="445">
        <v>2592</v>
      </c>
      <c r="D55" s="445">
        <v>2575.1403072777098</v>
      </c>
      <c r="E55" s="445">
        <v>9.31</v>
      </c>
      <c r="F55" s="445">
        <v>328.09</v>
      </c>
      <c r="G55" s="445">
        <v>215.79288691997399</v>
      </c>
      <c r="H55" s="445">
        <v>-155.614762077395</v>
      </c>
      <c r="I55" s="445">
        <v>0.31062426426599998</v>
      </c>
      <c r="J55" s="13" t="s">
        <v>110</v>
      </c>
    </row>
    <row r="56" spans="1:10" x14ac:dyDescent="0.25">
      <c r="A56" s="14">
        <v>43954</v>
      </c>
      <c r="B56" s="13">
        <v>12.25</v>
      </c>
      <c r="C56" s="445">
        <v>2623</v>
      </c>
      <c r="D56" s="445">
        <v>2605.66716906274</v>
      </c>
      <c r="E56" s="445">
        <v>10.72</v>
      </c>
      <c r="F56" s="445">
        <v>327.79</v>
      </c>
      <c r="G56" s="445">
        <v>220.36114015417499</v>
      </c>
      <c r="H56" s="445">
        <v>-158.477140038969</v>
      </c>
      <c r="I56" s="445">
        <v>1.365445304214</v>
      </c>
      <c r="J56" s="13" t="s">
        <v>110</v>
      </c>
    </row>
    <row r="57" spans="1:10" x14ac:dyDescent="0.25">
      <c r="A57" s="14">
        <v>43954</v>
      </c>
      <c r="B57" s="13">
        <v>12.25</v>
      </c>
      <c r="C57" s="445">
        <v>2652</v>
      </c>
      <c r="D57" s="445">
        <v>2634.1430057553498</v>
      </c>
      <c r="E57" s="445">
        <v>11.1</v>
      </c>
      <c r="F57" s="445">
        <v>326.49</v>
      </c>
      <c r="G57" s="445">
        <v>224.970794474135</v>
      </c>
      <c r="H57" s="445">
        <v>-161.455971520063</v>
      </c>
      <c r="I57" s="445">
        <v>0.46828878287100001</v>
      </c>
      <c r="J57" s="13" t="s">
        <v>110</v>
      </c>
    </row>
    <row r="58" spans="1:10" x14ac:dyDescent="0.25">
      <c r="A58" s="14">
        <v>43954</v>
      </c>
      <c r="B58" s="13">
        <v>12.25</v>
      </c>
      <c r="C58" s="445">
        <v>2682</v>
      </c>
      <c r="D58" s="445">
        <v>2663.6002394480101</v>
      </c>
      <c r="E58" s="445">
        <v>10.74</v>
      </c>
      <c r="F58" s="445">
        <v>330.82</v>
      </c>
      <c r="G58" s="445">
        <v>229.81927990115699</v>
      </c>
      <c r="H58" s="445">
        <v>-164.41320854263799</v>
      </c>
      <c r="I58" s="445">
        <v>0.89551627070600004</v>
      </c>
      <c r="J58" s="13" t="s">
        <v>110</v>
      </c>
    </row>
    <row r="59" spans="1:10" x14ac:dyDescent="0.25">
      <c r="A59" s="14">
        <v>43954</v>
      </c>
      <c r="B59" s="13">
        <v>12.25</v>
      </c>
      <c r="C59" s="445">
        <v>2710</v>
      </c>
      <c r="D59" s="445">
        <v>2691.1528457483901</v>
      </c>
      <c r="E59" s="445">
        <v>9.77</v>
      </c>
      <c r="F59" s="445">
        <v>334.05</v>
      </c>
      <c r="G59" s="445">
        <v>234.23344551732899</v>
      </c>
      <c r="H59" s="445">
        <v>-166.72486125632801</v>
      </c>
      <c r="I59" s="445">
        <v>1.207794626918</v>
      </c>
      <c r="J59" s="13" t="s">
        <v>110</v>
      </c>
    </row>
    <row r="60" spans="1:10" x14ac:dyDescent="0.25">
      <c r="A60" s="14">
        <v>43954</v>
      </c>
      <c r="B60" s="13">
        <v>12.25</v>
      </c>
      <c r="C60" s="445">
        <v>2739</v>
      </c>
      <c r="D60" s="445">
        <v>2719.7348774071602</v>
      </c>
      <c r="E60" s="445">
        <v>9.7100000000000009</v>
      </c>
      <c r="F60" s="445">
        <v>332.49</v>
      </c>
      <c r="G60" s="445">
        <v>238.61499535156099</v>
      </c>
      <c r="H60" s="445">
        <v>-168.93119839763901</v>
      </c>
      <c r="I60" s="445">
        <v>0.27997485560800001</v>
      </c>
      <c r="J60" s="13" t="s">
        <v>110</v>
      </c>
    </row>
    <row r="61" spans="1:10" x14ac:dyDescent="0.25">
      <c r="A61" s="14">
        <v>43954</v>
      </c>
      <c r="B61" s="13">
        <v>12.25</v>
      </c>
      <c r="C61" s="445">
        <v>2768</v>
      </c>
      <c r="D61" s="445">
        <v>2748.3586663975698</v>
      </c>
      <c r="E61" s="445">
        <v>8.76</v>
      </c>
      <c r="F61" s="445">
        <v>332.1</v>
      </c>
      <c r="G61" s="445">
        <v>242.73576942495501</v>
      </c>
      <c r="H61" s="445">
        <v>-171.094199673802</v>
      </c>
      <c r="I61" s="445">
        <v>0.98488358564800005</v>
      </c>
      <c r="J61" s="13" t="s">
        <v>110</v>
      </c>
    </row>
    <row r="62" spans="1:10" x14ac:dyDescent="0.25">
      <c r="A62" s="14">
        <v>43954</v>
      </c>
      <c r="B62" s="13">
        <v>12.25</v>
      </c>
      <c r="C62" s="445">
        <v>2796</v>
      </c>
      <c r="D62" s="445">
        <v>2776.05354636114</v>
      </c>
      <c r="E62" s="445">
        <v>8.17</v>
      </c>
      <c r="F62" s="445">
        <v>333.62</v>
      </c>
      <c r="G62" s="445">
        <v>246.40249209127199</v>
      </c>
      <c r="H62" s="445">
        <v>-172.975913210659</v>
      </c>
      <c r="I62" s="445">
        <v>0.67602108282499995</v>
      </c>
      <c r="J62" s="13" t="s">
        <v>110</v>
      </c>
    </row>
    <row r="63" spans="1:10" x14ac:dyDescent="0.25">
      <c r="A63" s="14">
        <v>43954</v>
      </c>
      <c r="B63" s="13">
        <v>12.25</v>
      </c>
      <c r="C63" s="445">
        <v>2825</v>
      </c>
      <c r="D63" s="445">
        <v>2804.7782176518899</v>
      </c>
      <c r="E63" s="445">
        <v>7.63</v>
      </c>
      <c r="F63" s="445">
        <v>334.1</v>
      </c>
      <c r="G63" s="445">
        <v>249.98041374922701</v>
      </c>
      <c r="H63" s="445">
        <v>-174.732448949748</v>
      </c>
      <c r="I63" s="445">
        <v>0.562769469528</v>
      </c>
      <c r="J63" s="13" t="s">
        <v>110</v>
      </c>
    </row>
    <row r="64" spans="1:10" x14ac:dyDescent="0.25">
      <c r="A64" s="14">
        <v>43954</v>
      </c>
      <c r="B64" s="13">
        <v>12.25</v>
      </c>
      <c r="C64" s="445">
        <v>2855</v>
      </c>
      <c r="D64" s="445">
        <v>2834.5098241926698</v>
      </c>
      <c r="E64" s="445">
        <v>7.71</v>
      </c>
      <c r="F64" s="445">
        <v>333.14</v>
      </c>
      <c r="G64" s="445">
        <v>253.56727967094599</v>
      </c>
      <c r="H64" s="445">
        <v>-176.51161844695901</v>
      </c>
      <c r="I64" s="445">
        <v>0.151050046494</v>
      </c>
      <c r="J64" s="13" t="s">
        <v>110</v>
      </c>
    </row>
    <row r="65" spans="1:10" x14ac:dyDescent="0.25">
      <c r="A65" s="14">
        <v>43961</v>
      </c>
      <c r="B65" s="13">
        <v>8.5</v>
      </c>
      <c r="C65" s="445">
        <v>2865</v>
      </c>
      <c r="D65" s="445">
        <v>2844.4171129541901</v>
      </c>
      <c r="E65" s="445">
        <v>7.91</v>
      </c>
      <c r="F65" s="445">
        <v>329.78</v>
      </c>
      <c r="G65" s="445">
        <v>254.760288372183</v>
      </c>
      <c r="H65" s="445">
        <v>-177.161025203348</v>
      </c>
      <c r="I65" s="445">
        <v>1.495124767761</v>
      </c>
      <c r="J65" s="13" t="s">
        <v>110</v>
      </c>
    </row>
    <row r="66" spans="1:10" x14ac:dyDescent="0.25">
      <c r="A66" s="14">
        <v>43961</v>
      </c>
      <c r="B66" s="13">
        <v>8.5</v>
      </c>
      <c r="C66" s="445">
        <v>2895</v>
      </c>
      <c r="D66" s="445">
        <v>2874.1200883287602</v>
      </c>
      <c r="E66" s="445">
        <v>8.2309600619999994</v>
      </c>
      <c r="F66" s="445">
        <v>326.8150364</v>
      </c>
      <c r="G66" s="445">
        <v>258.34126314189098</v>
      </c>
      <c r="H66" s="445">
        <v>-179.37542444075601</v>
      </c>
      <c r="I66" s="445">
        <v>0.52552574190699997</v>
      </c>
      <c r="J66" s="13" t="s">
        <v>110</v>
      </c>
    </row>
    <row r="67" spans="1:10" x14ac:dyDescent="0.25">
      <c r="A67" s="14">
        <v>43961</v>
      </c>
      <c r="B67" s="13">
        <v>8.5</v>
      </c>
      <c r="C67" s="445">
        <v>2924</v>
      </c>
      <c r="D67" s="445">
        <v>2902.80177260342</v>
      </c>
      <c r="E67" s="445">
        <v>8.7608050199999994</v>
      </c>
      <c r="F67" s="445">
        <v>325.73641129999999</v>
      </c>
      <c r="G67" s="445">
        <v>261.90382833773998</v>
      </c>
      <c r="H67" s="445">
        <v>-181.75504237573901</v>
      </c>
      <c r="I67" s="445">
        <v>0.57234503015799998</v>
      </c>
      <c r="J67" s="13" t="s">
        <v>110</v>
      </c>
    </row>
    <row r="68" spans="1:10" x14ac:dyDescent="0.25">
      <c r="A68" s="14">
        <v>43961</v>
      </c>
      <c r="B68" s="13">
        <v>8.5</v>
      </c>
      <c r="C68" s="445">
        <v>2953</v>
      </c>
      <c r="D68" s="445">
        <v>2931.4626965645598</v>
      </c>
      <c r="E68" s="445">
        <v>8.7819483120000008</v>
      </c>
      <c r="F68" s="445">
        <v>328.02039919999999</v>
      </c>
      <c r="G68" s="445">
        <v>265.60687092032202</v>
      </c>
      <c r="H68" s="445">
        <v>-184.170888895876</v>
      </c>
      <c r="I68" s="445">
        <v>0.36093994191399997</v>
      </c>
      <c r="J68" s="13" t="s">
        <v>110</v>
      </c>
    </row>
    <row r="69" spans="1:10" x14ac:dyDescent="0.25">
      <c r="A69" s="14">
        <v>43962</v>
      </c>
      <c r="B69" s="13">
        <v>8.5</v>
      </c>
      <c r="C69" s="445">
        <v>2982</v>
      </c>
      <c r="D69" s="445">
        <v>2960.1180710756098</v>
      </c>
      <c r="E69" s="445">
        <v>8.9018370390000001</v>
      </c>
      <c r="F69" s="445">
        <v>328.71185129999998</v>
      </c>
      <c r="G69" s="445">
        <v>269.402124315592</v>
      </c>
      <c r="H69" s="445">
        <v>-186.50862611597199</v>
      </c>
      <c r="I69" s="445">
        <v>0.165738581804</v>
      </c>
      <c r="J69" s="13" t="s">
        <v>110</v>
      </c>
    </row>
    <row r="70" spans="1:10" x14ac:dyDescent="0.25">
      <c r="A70" s="14">
        <v>43962</v>
      </c>
      <c r="B70" s="13">
        <v>8.5</v>
      </c>
      <c r="C70" s="445">
        <v>3011</v>
      </c>
      <c r="D70" s="445">
        <v>2988.76107388326</v>
      </c>
      <c r="E70" s="445">
        <v>9.0969646490000002</v>
      </c>
      <c r="F70" s="445">
        <v>328.069774</v>
      </c>
      <c r="G70" s="445">
        <v>273.26522722027403</v>
      </c>
      <c r="H70" s="445">
        <v>-188.88639774924101</v>
      </c>
      <c r="I70" s="445">
        <v>0.22702353612699999</v>
      </c>
      <c r="J70" s="13" t="s">
        <v>110</v>
      </c>
    </row>
    <row r="71" spans="1:10" x14ac:dyDescent="0.25">
      <c r="A71" s="14">
        <v>43962</v>
      </c>
      <c r="B71" s="13">
        <v>8.5</v>
      </c>
      <c r="C71" s="445">
        <v>3040</v>
      </c>
      <c r="D71" s="445">
        <v>3017.4007325522998</v>
      </c>
      <c r="E71" s="445">
        <v>8.9916364990000002</v>
      </c>
      <c r="F71" s="445">
        <v>324.59339569999997</v>
      </c>
      <c r="G71" s="445">
        <v>277.05801245704902</v>
      </c>
      <c r="H71" s="445">
        <v>-191.411892000444</v>
      </c>
      <c r="I71" s="445">
        <v>0.57563649548999996</v>
      </c>
      <c r="J71" s="13" t="s">
        <v>110</v>
      </c>
    </row>
    <row r="72" spans="1:10" x14ac:dyDescent="0.25">
      <c r="A72" s="14">
        <v>43962</v>
      </c>
      <c r="B72" s="13">
        <v>8.5</v>
      </c>
      <c r="C72" s="445">
        <v>3069</v>
      </c>
      <c r="D72" s="445">
        <v>3046.0379875724602</v>
      </c>
      <c r="E72" s="445">
        <v>9.1555346320000002</v>
      </c>
      <c r="F72" s="445">
        <v>327.50221349999998</v>
      </c>
      <c r="G72" s="445">
        <v>280.85102798410799</v>
      </c>
      <c r="H72" s="445">
        <v>-193.96445806758501</v>
      </c>
      <c r="I72" s="445">
        <v>0.50386174297200004</v>
      </c>
      <c r="J72" s="13" t="s">
        <v>110</v>
      </c>
    </row>
    <row r="73" spans="1:10" x14ac:dyDescent="0.25">
      <c r="A73" s="14">
        <v>43962</v>
      </c>
      <c r="B73" s="13">
        <v>8.5</v>
      </c>
      <c r="C73" s="445">
        <v>3098</v>
      </c>
      <c r="D73" s="445">
        <v>3074.6740205534102</v>
      </c>
      <c r="E73" s="445">
        <v>9.018478386</v>
      </c>
      <c r="F73" s="445">
        <v>327.48247980000002</v>
      </c>
      <c r="G73" s="445">
        <v>284.71351016271899</v>
      </c>
      <c r="H73" s="445">
        <v>-196.425848996604</v>
      </c>
      <c r="I73" s="445">
        <v>0.141818974199</v>
      </c>
      <c r="J73" s="13" t="s">
        <v>110</v>
      </c>
    </row>
    <row r="74" spans="1:10" x14ac:dyDescent="0.25">
      <c r="A74" s="14">
        <v>43962</v>
      </c>
      <c r="B74" s="13">
        <v>8.5</v>
      </c>
      <c r="C74" s="445">
        <v>3127</v>
      </c>
      <c r="D74" s="445">
        <v>3103.3028902115898</v>
      </c>
      <c r="E74" s="445">
        <v>9.3339008710000009</v>
      </c>
      <c r="F74" s="445">
        <v>328.75217650000002</v>
      </c>
      <c r="G74" s="445">
        <v>288.64067166454998</v>
      </c>
      <c r="H74" s="445">
        <v>-198.867615913588</v>
      </c>
      <c r="I74" s="445">
        <v>0.387725113196</v>
      </c>
      <c r="J74" s="13" t="s">
        <v>110</v>
      </c>
    </row>
    <row r="75" spans="1:10" x14ac:dyDescent="0.25">
      <c r="A75" s="14">
        <v>43962</v>
      </c>
      <c r="B75" s="13">
        <v>8.5</v>
      </c>
      <c r="C75" s="445">
        <v>3156</v>
      </c>
      <c r="D75" s="445">
        <v>3131.9140230293301</v>
      </c>
      <c r="E75" s="445">
        <v>9.4529245189999997</v>
      </c>
      <c r="F75" s="445">
        <v>328.53481879999998</v>
      </c>
      <c r="G75" s="445">
        <v>292.68250093537898</v>
      </c>
      <c r="H75" s="445">
        <v>-201.33061524909601</v>
      </c>
      <c r="I75" s="445">
        <v>0.128480461554</v>
      </c>
      <c r="J75" s="13" t="s">
        <v>110</v>
      </c>
    </row>
    <row r="76" spans="1:10" x14ac:dyDescent="0.25">
      <c r="A76" s="14">
        <v>43962</v>
      </c>
      <c r="B76" s="13">
        <v>8.5</v>
      </c>
      <c r="C76" s="445">
        <v>3169</v>
      </c>
      <c r="D76" s="445">
        <v>3144.7373630300799</v>
      </c>
      <c r="E76" s="445">
        <v>9.4600000000000009</v>
      </c>
      <c r="F76" s="445">
        <v>328.3</v>
      </c>
      <c r="G76" s="445">
        <v>294.50201885986303</v>
      </c>
      <c r="H76" s="445">
        <v>-202.44923008342701</v>
      </c>
      <c r="I76" s="445">
        <v>9.0516225342000003E-2</v>
      </c>
      <c r="J76" s="13" t="s">
        <v>110</v>
      </c>
    </row>
    <row r="77" spans="1:10" x14ac:dyDescent="0.25">
      <c r="A77" s="10">
        <v>43971</v>
      </c>
      <c r="B77" s="13">
        <v>6</v>
      </c>
      <c r="C77" s="445">
        <v>3191</v>
      </c>
      <c r="D77" s="445">
        <v>3166.4468059068699</v>
      </c>
      <c r="E77" s="445">
        <v>9.19</v>
      </c>
      <c r="F77" s="445">
        <v>324.67</v>
      </c>
      <c r="G77" s="445">
        <v>297.47353065349103</v>
      </c>
      <c r="H77" s="445">
        <v>-204.41520660869099</v>
      </c>
      <c r="I77" s="445">
        <v>0.88234431533699997</v>
      </c>
      <c r="J77" s="444" t="s">
        <v>967</v>
      </c>
    </row>
    <row r="78" spans="1:10" x14ac:dyDescent="0.25">
      <c r="A78" s="10">
        <v>43971</v>
      </c>
      <c r="B78" s="13">
        <v>6</v>
      </c>
      <c r="C78" s="445">
        <v>3221</v>
      </c>
      <c r="D78" s="445">
        <v>3195.9778247569002</v>
      </c>
      <c r="E78" s="445">
        <v>11.07</v>
      </c>
      <c r="F78" s="445">
        <v>324.12</v>
      </c>
      <c r="G78" s="445">
        <v>301.76196600211301</v>
      </c>
      <c r="H78" s="445">
        <v>-207.48885117203901</v>
      </c>
      <c r="I78" s="445">
        <v>1.882465904484</v>
      </c>
      <c r="J78" s="444" t="s">
        <v>967</v>
      </c>
    </row>
    <row r="79" spans="1:10" x14ac:dyDescent="0.25">
      <c r="A79" s="10">
        <v>43971</v>
      </c>
      <c r="B79" s="13">
        <v>6</v>
      </c>
      <c r="C79" s="445">
        <v>3251</v>
      </c>
      <c r="D79" s="445">
        <v>3224.7507548614299</v>
      </c>
      <c r="E79" s="445">
        <v>21.3</v>
      </c>
      <c r="F79" s="445">
        <v>322.23</v>
      </c>
      <c r="G79" s="445">
        <v>308.42043449373301</v>
      </c>
      <c r="H79" s="445">
        <v>-212.52761965621801</v>
      </c>
      <c r="I79" s="445">
        <v>10.242233717096999</v>
      </c>
      <c r="J79" s="444" t="s">
        <v>967</v>
      </c>
    </row>
    <row r="80" spans="1:10" x14ac:dyDescent="0.25">
      <c r="A80" s="10">
        <v>43971</v>
      </c>
      <c r="B80" s="13">
        <v>6</v>
      </c>
      <c r="C80" s="445">
        <v>3281</v>
      </c>
      <c r="D80" s="445">
        <v>3252.38798029586</v>
      </c>
      <c r="E80" s="445">
        <v>24.45</v>
      </c>
      <c r="F80" s="445">
        <v>322.94</v>
      </c>
      <c r="G80" s="445">
        <v>317.68430664227401</v>
      </c>
      <c r="H80" s="445">
        <v>-219.60830051434499</v>
      </c>
      <c r="I80" s="445">
        <v>3.1620133556529999</v>
      </c>
      <c r="J80" s="444" t="s">
        <v>967</v>
      </c>
    </row>
    <row r="81" spans="1:10" x14ac:dyDescent="0.25">
      <c r="A81" s="10">
        <v>43971</v>
      </c>
      <c r="B81" s="13">
        <v>6</v>
      </c>
      <c r="C81" s="445">
        <v>3311</v>
      </c>
      <c r="D81" s="445">
        <v>3278.67110535862</v>
      </c>
      <c r="E81" s="445">
        <v>33.01</v>
      </c>
      <c r="F81" s="445">
        <v>320.72000000000003</v>
      </c>
      <c r="G81" s="445">
        <v>328.98551547151499</v>
      </c>
      <c r="H81" s="445">
        <v>-228.54036561668499</v>
      </c>
      <c r="I81" s="445">
        <v>8.6249013198370008</v>
      </c>
      <c r="J81" s="444" t="s">
        <v>967</v>
      </c>
    </row>
    <row r="82" spans="1:10" x14ac:dyDescent="0.25">
      <c r="A82" s="10">
        <v>43971</v>
      </c>
      <c r="B82" s="13">
        <v>6</v>
      </c>
      <c r="C82" s="445">
        <v>3341</v>
      </c>
      <c r="D82" s="445">
        <v>3303.4802824460298</v>
      </c>
      <c r="E82" s="445">
        <v>35.4</v>
      </c>
      <c r="F82" s="445">
        <v>320.33</v>
      </c>
      <c r="G82" s="445">
        <v>342.00126316327101</v>
      </c>
      <c r="H82" s="445">
        <v>-239.26246683958999</v>
      </c>
      <c r="I82" s="445">
        <v>2.4000237730760001</v>
      </c>
      <c r="J82" s="444" t="s">
        <v>967</v>
      </c>
    </row>
    <row r="83" spans="1:10" x14ac:dyDescent="0.25">
      <c r="A83" s="10">
        <v>43971</v>
      </c>
      <c r="B83" s="13">
        <v>6</v>
      </c>
      <c r="C83" s="445">
        <v>3371</v>
      </c>
      <c r="D83" s="445">
        <v>3327.88393570979</v>
      </c>
      <c r="E83" s="445">
        <v>35.729999999999997</v>
      </c>
      <c r="F83" s="445">
        <v>320.39</v>
      </c>
      <c r="G83" s="445">
        <v>355.43801846286999</v>
      </c>
      <c r="H83" s="445">
        <v>-250.39407941899699</v>
      </c>
      <c r="I83" s="445">
        <v>0.33184004760699998</v>
      </c>
      <c r="J83" s="444" t="s">
        <v>967</v>
      </c>
    </row>
    <row r="84" spans="1:10" x14ac:dyDescent="0.25">
      <c r="A84" s="10">
        <v>43971</v>
      </c>
      <c r="B84" s="13">
        <v>6</v>
      </c>
      <c r="C84" s="445">
        <v>3401</v>
      </c>
      <c r="D84" s="445">
        <v>3352.2403304282402</v>
      </c>
      <c r="E84" s="445">
        <v>35.71</v>
      </c>
      <c r="F84" s="445">
        <v>320.47000000000003</v>
      </c>
      <c r="G84" s="445">
        <v>368.93919637870499</v>
      </c>
      <c r="H84" s="445">
        <v>-261.551326939224</v>
      </c>
      <c r="I84" s="445">
        <v>5.0807946322000003E-2</v>
      </c>
      <c r="J84" s="444" t="s">
        <v>967</v>
      </c>
    </row>
    <row r="85" spans="1:10" x14ac:dyDescent="0.25">
      <c r="A85" s="10">
        <v>43971</v>
      </c>
      <c r="B85" s="13">
        <v>6</v>
      </c>
      <c r="C85" s="445">
        <v>3431</v>
      </c>
      <c r="D85" s="445">
        <v>3376.6341691971002</v>
      </c>
      <c r="E85" s="445">
        <v>35.49</v>
      </c>
      <c r="F85" s="445">
        <v>318.48</v>
      </c>
      <c r="G85" s="445">
        <v>382.21271050634402</v>
      </c>
      <c r="H85" s="445">
        <v>-272.89692922620702</v>
      </c>
      <c r="I85" s="445">
        <v>1.179087495846</v>
      </c>
      <c r="J85" s="444" t="s">
        <v>967</v>
      </c>
    </row>
    <row r="86" spans="1:10" x14ac:dyDescent="0.25">
      <c r="A86" s="10">
        <v>43971</v>
      </c>
      <c r="B86" s="13">
        <v>6</v>
      </c>
      <c r="C86" s="445">
        <v>3452</v>
      </c>
      <c r="D86" s="445">
        <v>3393.6503794628802</v>
      </c>
      <c r="E86" s="445">
        <v>36.26</v>
      </c>
      <c r="F86" s="445">
        <v>319.27</v>
      </c>
      <c r="G86" s="445">
        <v>391.48310802007302</v>
      </c>
      <c r="H86" s="445">
        <v>-280.99009188438299</v>
      </c>
      <c r="I86" s="445">
        <v>1.283492744863</v>
      </c>
      <c r="J86" s="444" t="s">
        <v>967</v>
      </c>
    </row>
    <row r="87" spans="1:10" x14ac:dyDescent="0.25">
      <c r="G87" s="63"/>
      <c r="H87" s="63"/>
      <c r="I87" s="63"/>
    </row>
    <row r="88" spans="1:10" x14ac:dyDescent="0.25">
      <c r="G88" s="63"/>
      <c r="H88" s="63"/>
      <c r="I88" s="63"/>
    </row>
    <row r="89" spans="1:10" x14ac:dyDescent="0.25">
      <c r="G89" s="63"/>
      <c r="H89" s="63"/>
      <c r="I89" s="63"/>
    </row>
    <row r="90" spans="1:10" x14ac:dyDescent="0.25">
      <c r="G90" s="63"/>
      <c r="H90" s="63"/>
      <c r="I90" s="63"/>
    </row>
    <row r="91" spans="1:10" x14ac:dyDescent="0.25">
      <c r="G91" s="63"/>
      <c r="H91" s="63"/>
      <c r="I91" s="63"/>
    </row>
    <row r="92" spans="1:10" x14ac:dyDescent="0.25">
      <c r="G92" s="63"/>
      <c r="H92" s="63"/>
      <c r="I92" s="63"/>
    </row>
    <row r="93" spans="1:10" x14ac:dyDescent="0.25">
      <c r="G93" s="63"/>
      <c r="H93" s="63"/>
      <c r="I93" s="63"/>
    </row>
    <row r="94" spans="1:10" x14ac:dyDescent="0.25">
      <c r="G94" s="63"/>
      <c r="H94" s="63"/>
      <c r="I94" s="63"/>
    </row>
    <row r="95" spans="1:10" x14ac:dyDescent="0.25">
      <c r="G95" s="63"/>
      <c r="H95" s="63"/>
      <c r="I95" s="63"/>
    </row>
    <row r="96" spans="1:10" x14ac:dyDescent="0.25">
      <c r="G96" s="63"/>
      <c r="H96" s="63"/>
      <c r="I96" s="63"/>
    </row>
    <row r="97" spans="7:9" x14ac:dyDescent="0.25">
      <c r="G97" s="63"/>
      <c r="H97" s="63"/>
      <c r="I97" s="63"/>
    </row>
    <row r="98" spans="7:9" x14ac:dyDescent="0.25">
      <c r="G98" s="63"/>
      <c r="H98" s="63"/>
      <c r="I98" s="63"/>
    </row>
    <row r="99" spans="7:9" x14ac:dyDescent="0.25">
      <c r="G99" s="63"/>
      <c r="H99" s="63"/>
      <c r="I99" s="63"/>
    </row>
    <row r="100" spans="7:9" x14ac:dyDescent="0.25">
      <c r="G100" s="63"/>
      <c r="H100" s="63"/>
      <c r="I100" s="63"/>
    </row>
    <row r="101" spans="7:9" x14ac:dyDescent="0.25">
      <c r="G101" s="63"/>
      <c r="H101" s="63"/>
      <c r="I101" s="63"/>
    </row>
    <row r="102" spans="7:9" x14ac:dyDescent="0.25">
      <c r="G102" s="63"/>
      <c r="H102" s="63"/>
      <c r="I102" s="63"/>
    </row>
    <row r="103" spans="7:9" x14ac:dyDescent="0.25">
      <c r="G103" s="63"/>
      <c r="H103" s="63"/>
      <c r="I103" s="63"/>
    </row>
    <row r="104" spans="7:9" x14ac:dyDescent="0.25">
      <c r="G104" s="63"/>
      <c r="H104" s="63"/>
      <c r="I104" s="63"/>
    </row>
    <row r="105" spans="7:9" x14ac:dyDescent="0.25">
      <c r="G105" s="63"/>
      <c r="H105" s="63"/>
      <c r="I105" s="63"/>
    </row>
    <row r="106" spans="7:9" x14ac:dyDescent="0.25">
      <c r="G106" s="63"/>
      <c r="H106" s="63"/>
      <c r="I106" s="63"/>
    </row>
    <row r="107" spans="7:9" x14ac:dyDescent="0.25">
      <c r="G107" s="63"/>
      <c r="H107" s="63"/>
      <c r="I107" s="63"/>
    </row>
    <row r="108" spans="7:9" x14ac:dyDescent="0.25">
      <c r="G108" s="63"/>
      <c r="H108" s="63"/>
      <c r="I108" s="63"/>
    </row>
    <row r="109" spans="7:9" x14ac:dyDescent="0.25">
      <c r="G109" s="63"/>
      <c r="H109" s="63"/>
      <c r="I109" s="63"/>
    </row>
    <row r="110" spans="7:9" x14ac:dyDescent="0.25">
      <c r="G110" s="63"/>
      <c r="H110" s="63"/>
      <c r="I110" s="63"/>
    </row>
    <row r="111" spans="7:9" x14ac:dyDescent="0.25">
      <c r="G111" s="63"/>
      <c r="H111" s="63"/>
      <c r="I111" s="63"/>
    </row>
    <row r="112" spans="7:9" x14ac:dyDescent="0.25">
      <c r="G112" s="63"/>
      <c r="H112" s="63"/>
      <c r="I112" s="63"/>
    </row>
    <row r="113" spans="7:9" x14ac:dyDescent="0.25">
      <c r="G113" s="63"/>
      <c r="H113" s="63"/>
      <c r="I113" s="63"/>
    </row>
    <row r="114" spans="7:9" x14ac:dyDescent="0.25">
      <c r="G114" s="63"/>
      <c r="H114" s="63"/>
      <c r="I114" s="63"/>
    </row>
    <row r="115" spans="7:9" x14ac:dyDescent="0.25">
      <c r="G115" s="63"/>
      <c r="H115" s="63"/>
      <c r="I115" s="63"/>
    </row>
    <row r="116" spans="7:9" x14ac:dyDescent="0.25">
      <c r="G116" s="63"/>
      <c r="H116" s="63"/>
      <c r="I116" s="63"/>
    </row>
    <row r="117" spans="7:9" x14ac:dyDescent="0.25">
      <c r="G117" s="63"/>
      <c r="H117" s="63"/>
      <c r="I117" s="63"/>
    </row>
    <row r="118" spans="7:9" x14ac:dyDescent="0.25">
      <c r="G118" s="63"/>
      <c r="H118" s="63"/>
      <c r="I118" s="63"/>
    </row>
    <row r="119" spans="7:9" x14ac:dyDescent="0.25">
      <c r="G119" s="63"/>
      <c r="H119" s="63"/>
      <c r="I119" s="63"/>
    </row>
    <row r="120" spans="7:9" x14ac:dyDescent="0.25">
      <c r="G120" s="63"/>
      <c r="H120" s="63"/>
      <c r="I120" s="63"/>
    </row>
    <row r="121" spans="7:9" x14ac:dyDescent="0.25">
      <c r="G121" s="63"/>
      <c r="H121" s="63"/>
      <c r="I121" s="63"/>
    </row>
    <row r="122" spans="7:9" x14ac:dyDescent="0.25">
      <c r="G122" s="63"/>
      <c r="H122" s="63"/>
      <c r="I122" s="63"/>
    </row>
    <row r="123" spans="7:9" x14ac:dyDescent="0.25">
      <c r="G123" s="63"/>
      <c r="H123" s="63"/>
      <c r="I123" s="63"/>
    </row>
    <row r="124" spans="7:9" x14ac:dyDescent="0.25">
      <c r="G124" s="63"/>
      <c r="H124" s="63"/>
      <c r="I124" s="63"/>
    </row>
    <row r="125" spans="7:9" x14ac:dyDescent="0.25">
      <c r="G125" s="63"/>
      <c r="H125" s="63"/>
      <c r="I125" s="63"/>
    </row>
    <row r="126" spans="7:9" x14ac:dyDescent="0.25">
      <c r="G126" s="63"/>
      <c r="H126" s="63"/>
      <c r="I126" s="63"/>
    </row>
    <row r="127" spans="7:9" x14ac:dyDescent="0.25">
      <c r="G127" s="63"/>
      <c r="H127" s="63"/>
      <c r="I127" s="63"/>
    </row>
    <row r="128" spans="7:9" x14ac:dyDescent="0.25">
      <c r="G128" s="63"/>
      <c r="H128" s="63"/>
      <c r="I128" s="63"/>
    </row>
    <row r="129" spans="7:9" x14ac:dyDescent="0.25">
      <c r="G129" s="63"/>
      <c r="H129" s="63"/>
      <c r="I129" s="63"/>
    </row>
    <row r="130" spans="7:9" x14ac:dyDescent="0.25">
      <c r="G130" s="63"/>
      <c r="H130" s="63"/>
      <c r="I130" s="63"/>
    </row>
    <row r="131" spans="7:9" x14ac:dyDescent="0.25">
      <c r="G131" s="63"/>
      <c r="H131" s="63"/>
      <c r="I131" s="63"/>
    </row>
    <row r="132" spans="7:9" x14ac:dyDescent="0.25">
      <c r="G132" s="63"/>
      <c r="H132" s="63"/>
      <c r="I132" s="63"/>
    </row>
    <row r="133" spans="7:9" x14ac:dyDescent="0.25">
      <c r="G133" s="63"/>
      <c r="H133" s="63"/>
      <c r="I133" s="63"/>
    </row>
    <row r="134" spans="7:9" x14ac:dyDescent="0.25">
      <c r="G134" s="63"/>
      <c r="H134" s="63"/>
      <c r="I134" s="63"/>
    </row>
    <row r="135" spans="7:9" x14ac:dyDescent="0.25">
      <c r="G135" s="63"/>
      <c r="H135" s="63"/>
      <c r="I135" s="63"/>
    </row>
    <row r="136" spans="7:9" x14ac:dyDescent="0.25">
      <c r="G136" s="63"/>
      <c r="H136" s="63"/>
      <c r="I136" s="63"/>
    </row>
    <row r="137" spans="7:9" x14ac:dyDescent="0.25">
      <c r="G137" s="63"/>
      <c r="H137" s="63"/>
      <c r="I137" s="63"/>
    </row>
    <row r="138" spans="7:9" x14ac:dyDescent="0.25">
      <c r="G138" s="63"/>
      <c r="H138" s="63"/>
      <c r="I138" s="63"/>
    </row>
    <row r="139" spans="7:9" x14ac:dyDescent="0.25">
      <c r="G139" s="63"/>
      <c r="H139" s="63"/>
      <c r="I139" s="63"/>
    </row>
    <row r="140" spans="7:9" x14ac:dyDescent="0.25">
      <c r="G140" s="63"/>
      <c r="H140" s="63"/>
      <c r="I140" s="63"/>
    </row>
    <row r="141" spans="7:9" x14ac:dyDescent="0.25">
      <c r="G141" s="63"/>
      <c r="H141" s="63"/>
      <c r="I141" s="63"/>
    </row>
    <row r="142" spans="7:9" x14ac:dyDescent="0.25">
      <c r="G142" s="63"/>
      <c r="H142" s="63"/>
      <c r="I142" s="63"/>
    </row>
    <row r="143" spans="7:9" x14ac:dyDescent="0.25">
      <c r="G143" s="63"/>
      <c r="H143" s="63"/>
      <c r="I143" s="63"/>
    </row>
    <row r="144" spans="7:9" x14ac:dyDescent="0.25">
      <c r="G144" s="63"/>
      <c r="H144" s="63"/>
      <c r="I144" s="63"/>
    </row>
    <row r="145" spans="7:9" x14ac:dyDescent="0.25">
      <c r="G145" s="63"/>
      <c r="H145" s="63"/>
      <c r="I145" s="63"/>
    </row>
    <row r="146" spans="7:9" x14ac:dyDescent="0.25">
      <c r="G146" s="63"/>
      <c r="H146" s="63"/>
      <c r="I146" s="63"/>
    </row>
    <row r="147" spans="7:9" x14ac:dyDescent="0.25">
      <c r="G147" s="63"/>
      <c r="H147" s="63"/>
      <c r="I147" s="63"/>
    </row>
    <row r="148" spans="7:9" x14ac:dyDescent="0.25">
      <c r="G148" s="63"/>
      <c r="H148" s="63"/>
      <c r="I148" s="63"/>
    </row>
    <row r="149" spans="7:9" x14ac:dyDescent="0.25">
      <c r="G149" s="63"/>
      <c r="H149" s="63"/>
      <c r="I149" s="63"/>
    </row>
    <row r="150" spans="7:9" x14ac:dyDescent="0.25">
      <c r="G150" s="63"/>
      <c r="H150" s="63"/>
      <c r="I150" s="63"/>
    </row>
    <row r="151" spans="7:9" x14ac:dyDescent="0.25">
      <c r="G151" s="63"/>
      <c r="H151" s="63"/>
      <c r="I151" s="63"/>
    </row>
    <row r="152" spans="7:9" x14ac:dyDescent="0.25">
      <c r="G152" s="63"/>
      <c r="H152" s="63"/>
      <c r="I152" s="63"/>
    </row>
    <row r="153" spans="7:9" x14ac:dyDescent="0.25">
      <c r="G153" s="63"/>
      <c r="H153" s="63"/>
      <c r="I153" s="63"/>
    </row>
    <row r="154" spans="7:9" x14ac:dyDescent="0.25">
      <c r="G154" s="63"/>
      <c r="H154" s="63"/>
      <c r="I154" s="63"/>
    </row>
    <row r="155" spans="7:9" x14ac:dyDescent="0.25">
      <c r="G155" s="63"/>
      <c r="H155" s="63"/>
      <c r="I155" s="63"/>
    </row>
    <row r="156" spans="7:9" x14ac:dyDescent="0.25">
      <c r="G156" s="63"/>
      <c r="H156" s="63"/>
      <c r="I156" s="63"/>
    </row>
    <row r="157" spans="7:9" x14ac:dyDescent="0.25">
      <c r="G157" s="63"/>
      <c r="H157" s="63"/>
      <c r="I157" s="63"/>
    </row>
    <row r="158" spans="7:9" x14ac:dyDescent="0.25">
      <c r="G158" s="63"/>
      <c r="H158" s="63"/>
      <c r="I158" s="63"/>
    </row>
    <row r="159" spans="7:9" x14ac:dyDescent="0.25">
      <c r="G159" s="63"/>
      <c r="H159" s="63"/>
      <c r="I159" s="63"/>
    </row>
    <row r="160" spans="7:9" x14ac:dyDescent="0.25">
      <c r="G160" s="63"/>
      <c r="H160" s="63"/>
      <c r="I160" s="63"/>
    </row>
    <row r="161" spans="7:9" x14ac:dyDescent="0.25">
      <c r="G161" s="63"/>
      <c r="H161" s="63"/>
      <c r="I161" s="63"/>
    </row>
    <row r="162" spans="7:9" x14ac:dyDescent="0.25">
      <c r="G162" s="63"/>
      <c r="H162" s="63"/>
      <c r="I162" s="63"/>
    </row>
    <row r="163" spans="7:9" x14ac:dyDescent="0.25">
      <c r="G163" s="63"/>
      <c r="H163" s="63"/>
      <c r="I163" s="63"/>
    </row>
    <row r="164" spans="7:9" x14ac:dyDescent="0.25">
      <c r="G164" s="63"/>
      <c r="H164" s="63"/>
      <c r="I164" s="63"/>
    </row>
    <row r="165" spans="7:9" x14ac:dyDescent="0.25">
      <c r="G165" s="63"/>
      <c r="H165" s="63"/>
      <c r="I165" s="63"/>
    </row>
    <row r="166" spans="7:9" x14ac:dyDescent="0.25">
      <c r="G166" s="63"/>
      <c r="H166" s="63"/>
      <c r="I166" s="63"/>
    </row>
    <row r="167" spans="7:9" x14ac:dyDescent="0.25">
      <c r="G167" s="63"/>
      <c r="H167" s="63"/>
      <c r="I167" s="63"/>
    </row>
    <row r="168" spans="7:9" x14ac:dyDescent="0.25">
      <c r="G168" s="63"/>
      <c r="H168" s="63"/>
      <c r="I168" s="63"/>
    </row>
    <row r="169" spans="7:9" x14ac:dyDescent="0.25">
      <c r="G169" s="63"/>
      <c r="H169" s="63"/>
      <c r="I169" s="63"/>
    </row>
    <row r="170" spans="7:9" x14ac:dyDescent="0.25">
      <c r="G170" s="63"/>
      <c r="H170" s="63"/>
      <c r="I170" s="63"/>
    </row>
    <row r="171" spans="7:9" x14ac:dyDescent="0.25">
      <c r="G171" s="63"/>
      <c r="H171" s="63"/>
      <c r="I171" s="63"/>
    </row>
    <row r="172" spans="7:9" x14ac:dyDescent="0.25">
      <c r="G172" s="63"/>
      <c r="H172" s="63"/>
      <c r="I172" s="63"/>
    </row>
    <row r="173" spans="7:9" x14ac:dyDescent="0.25">
      <c r="G173" s="63"/>
      <c r="H173" s="63"/>
      <c r="I173" s="63"/>
    </row>
    <row r="174" spans="7:9" x14ac:dyDescent="0.25">
      <c r="G174" s="63"/>
      <c r="H174" s="63"/>
      <c r="I174" s="63"/>
    </row>
    <row r="175" spans="7:9" x14ac:dyDescent="0.25">
      <c r="G175" s="63"/>
      <c r="H175" s="63"/>
      <c r="I175" s="63"/>
    </row>
    <row r="176" spans="7:9" x14ac:dyDescent="0.25">
      <c r="G176" s="63"/>
      <c r="H176" s="63"/>
      <c r="I176" s="63"/>
    </row>
    <row r="177" spans="7:9" x14ac:dyDescent="0.25">
      <c r="G177" s="63"/>
      <c r="H177" s="63"/>
      <c r="I177" s="63"/>
    </row>
    <row r="178" spans="7:9" x14ac:dyDescent="0.25">
      <c r="G178" s="63"/>
      <c r="H178" s="63"/>
      <c r="I178" s="63"/>
    </row>
    <row r="179" spans="7:9" x14ac:dyDescent="0.25">
      <c r="G179" s="63"/>
      <c r="H179" s="63"/>
      <c r="I179" s="63"/>
    </row>
    <row r="180" spans="7:9" x14ac:dyDescent="0.25">
      <c r="G180" s="63"/>
      <c r="H180" s="63"/>
      <c r="I180" s="63"/>
    </row>
    <row r="181" spans="7:9" x14ac:dyDescent="0.25">
      <c r="G181" s="63"/>
      <c r="H181" s="63"/>
      <c r="I181" s="63"/>
    </row>
    <row r="182" spans="7:9" x14ac:dyDescent="0.25">
      <c r="G182" s="63"/>
      <c r="H182" s="63"/>
      <c r="I182" s="63"/>
    </row>
    <row r="183" spans="7:9" x14ac:dyDescent="0.25">
      <c r="G183" s="63"/>
      <c r="H183" s="63"/>
      <c r="I183" s="63"/>
    </row>
    <row r="184" spans="7:9" x14ac:dyDescent="0.25">
      <c r="G184" s="63"/>
      <c r="H184" s="63"/>
      <c r="I184" s="63"/>
    </row>
    <row r="185" spans="7:9" x14ac:dyDescent="0.25">
      <c r="G185" s="63"/>
      <c r="H185" s="63"/>
      <c r="I185" s="63"/>
    </row>
    <row r="186" spans="7:9" x14ac:dyDescent="0.25">
      <c r="G186" s="63"/>
      <c r="H186" s="63"/>
      <c r="I186" s="63"/>
    </row>
    <row r="187" spans="7:9" x14ac:dyDescent="0.25">
      <c r="G187" s="63"/>
      <c r="H187" s="63"/>
      <c r="I187" s="63"/>
    </row>
    <row r="188" spans="7:9" x14ac:dyDescent="0.25">
      <c r="G188" s="63"/>
      <c r="H188" s="63"/>
      <c r="I188" s="63"/>
    </row>
    <row r="189" spans="7:9" x14ac:dyDescent="0.25">
      <c r="G189" s="63"/>
      <c r="H189" s="63"/>
      <c r="I189" s="63"/>
    </row>
    <row r="190" spans="7:9" x14ac:dyDescent="0.25">
      <c r="G190" s="63"/>
      <c r="H190" s="63"/>
      <c r="I190" s="63"/>
    </row>
    <row r="191" spans="7:9" x14ac:dyDescent="0.25">
      <c r="G191" s="63"/>
      <c r="H191" s="63"/>
      <c r="I191" s="63"/>
    </row>
    <row r="192" spans="7:9" x14ac:dyDescent="0.25">
      <c r="G192" s="63"/>
      <c r="H192" s="63"/>
      <c r="I192" s="63"/>
    </row>
    <row r="193" spans="7:9" x14ac:dyDescent="0.25">
      <c r="G193" s="63"/>
      <c r="H193" s="63"/>
      <c r="I193" s="63"/>
    </row>
    <row r="194" spans="7:9" x14ac:dyDescent="0.25">
      <c r="G194" s="63"/>
      <c r="H194" s="63"/>
      <c r="I194" s="63"/>
    </row>
    <row r="195" spans="7:9" x14ac:dyDescent="0.25">
      <c r="G195" s="63"/>
      <c r="H195" s="63"/>
      <c r="I195" s="63"/>
    </row>
    <row r="196" spans="7:9" x14ac:dyDescent="0.25">
      <c r="G196" s="63"/>
      <c r="H196" s="63"/>
      <c r="I196" s="63"/>
    </row>
    <row r="197" spans="7:9" x14ac:dyDescent="0.25">
      <c r="G197" s="63"/>
      <c r="H197" s="63"/>
      <c r="I197" s="63"/>
    </row>
    <row r="198" spans="7:9" x14ac:dyDescent="0.25">
      <c r="G198" s="63"/>
      <c r="H198" s="63"/>
      <c r="I198" s="63"/>
    </row>
    <row r="199" spans="7:9" x14ac:dyDescent="0.25">
      <c r="G199" s="63"/>
      <c r="H199" s="63"/>
      <c r="I199" s="63"/>
    </row>
    <row r="200" spans="7:9" x14ac:dyDescent="0.25">
      <c r="G200" s="63"/>
      <c r="H200" s="63"/>
      <c r="I200" s="63"/>
    </row>
    <row r="201" spans="7:9" x14ac:dyDescent="0.25">
      <c r="G201" s="63"/>
      <c r="H201" s="63"/>
      <c r="I201" s="63"/>
    </row>
    <row r="202" spans="7:9" x14ac:dyDescent="0.25">
      <c r="G202" s="63"/>
      <c r="H202" s="63"/>
      <c r="I202" s="63"/>
    </row>
    <row r="203" spans="7:9" x14ac:dyDescent="0.25">
      <c r="G203" s="63"/>
      <c r="H203" s="63"/>
      <c r="I203" s="63"/>
    </row>
    <row r="204" spans="7:9" x14ac:dyDescent="0.25">
      <c r="G204" s="63"/>
      <c r="H204" s="63"/>
      <c r="I204" s="63"/>
    </row>
    <row r="205" spans="7:9" x14ac:dyDescent="0.25">
      <c r="G205" s="63"/>
      <c r="H205" s="63"/>
      <c r="I205" s="63"/>
    </row>
    <row r="206" spans="7:9" x14ac:dyDescent="0.25">
      <c r="G206" s="63"/>
      <c r="H206" s="63"/>
      <c r="I206" s="63"/>
    </row>
    <row r="207" spans="7:9" x14ac:dyDescent="0.25">
      <c r="G207" s="63"/>
      <c r="H207" s="63"/>
      <c r="I207" s="63"/>
    </row>
    <row r="208" spans="7:9" x14ac:dyDescent="0.25">
      <c r="G208" s="63"/>
      <c r="H208" s="63"/>
      <c r="I208" s="63"/>
    </row>
    <row r="209" spans="7:9" x14ac:dyDescent="0.25">
      <c r="G209" s="63"/>
      <c r="H209" s="63"/>
      <c r="I209" s="63"/>
    </row>
    <row r="210" spans="7:9" x14ac:dyDescent="0.25">
      <c r="G210" s="63"/>
      <c r="H210" s="63"/>
      <c r="I210" s="63"/>
    </row>
    <row r="211" spans="7:9" x14ac:dyDescent="0.25">
      <c r="G211" s="63"/>
      <c r="H211" s="63"/>
      <c r="I211" s="63"/>
    </row>
    <row r="212" spans="7:9" x14ac:dyDescent="0.25">
      <c r="G212" s="63"/>
      <c r="H212" s="63"/>
      <c r="I212" s="63"/>
    </row>
    <row r="213" spans="7:9" x14ac:dyDescent="0.25">
      <c r="G213" s="63"/>
      <c r="H213" s="63"/>
      <c r="I213" s="63"/>
    </row>
    <row r="214" spans="7:9" x14ac:dyDescent="0.25">
      <c r="G214" s="63"/>
      <c r="H214" s="63"/>
      <c r="I214" s="63"/>
    </row>
    <row r="215" spans="7:9" x14ac:dyDescent="0.25">
      <c r="G215" s="63"/>
      <c r="H215" s="63"/>
      <c r="I215" s="63"/>
    </row>
    <row r="216" spans="7:9" x14ac:dyDescent="0.25">
      <c r="G216" s="63"/>
      <c r="H216" s="63"/>
      <c r="I216" s="63"/>
    </row>
    <row r="217" spans="7:9" x14ac:dyDescent="0.25">
      <c r="G217" s="63"/>
      <c r="H217" s="63"/>
      <c r="I217" s="63"/>
    </row>
    <row r="218" spans="7:9" x14ac:dyDescent="0.25">
      <c r="G218" s="63"/>
      <c r="H218" s="63"/>
      <c r="I218" s="63"/>
    </row>
    <row r="219" spans="7:9" x14ac:dyDescent="0.25">
      <c r="G219" s="63"/>
      <c r="H219" s="63"/>
      <c r="I219" s="63"/>
    </row>
    <row r="220" spans="7:9" x14ac:dyDescent="0.25">
      <c r="G220" s="63"/>
      <c r="H220" s="63"/>
      <c r="I220" s="63"/>
    </row>
    <row r="221" spans="7:9" x14ac:dyDescent="0.25">
      <c r="G221" s="63"/>
      <c r="H221" s="63"/>
      <c r="I221" s="63"/>
    </row>
    <row r="222" spans="7:9" x14ac:dyDescent="0.25">
      <c r="G222" s="63"/>
      <c r="H222" s="63"/>
      <c r="I222" s="63"/>
    </row>
    <row r="223" spans="7:9" x14ac:dyDescent="0.25">
      <c r="G223" s="63"/>
      <c r="H223" s="63"/>
      <c r="I223" s="63"/>
    </row>
    <row r="224" spans="7:9" x14ac:dyDescent="0.25">
      <c r="G224" s="63"/>
      <c r="H224" s="63"/>
      <c r="I224" s="63"/>
    </row>
    <row r="225" spans="7:9" x14ac:dyDescent="0.25">
      <c r="G225" s="63"/>
      <c r="H225" s="63"/>
      <c r="I225" s="63"/>
    </row>
    <row r="226" spans="7:9" x14ac:dyDescent="0.25">
      <c r="G226" s="63"/>
      <c r="H226" s="63"/>
      <c r="I226" s="63"/>
    </row>
    <row r="227" spans="7:9" x14ac:dyDescent="0.25">
      <c r="G227" s="63"/>
      <c r="H227" s="63"/>
      <c r="I227" s="63"/>
    </row>
    <row r="228" spans="7:9" x14ac:dyDescent="0.25">
      <c r="G228" s="63"/>
      <c r="H228" s="63"/>
      <c r="I228" s="63"/>
    </row>
    <row r="229" spans="7:9" x14ac:dyDescent="0.25">
      <c r="G229" s="63"/>
      <c r="H229" s="63"/>
      <c r="I229" s="63"/>
    </row>
    <row r="230" spans="7:9" x14ac:dyDescent="0.25">
      <c r="G230" s="63"/>
      <c r="H230" s="63"/>
      <c r="I230" s="63"/>
    </row>
    <row r="231" spans="7:9" x14ac:dyDescent="0.25">
      <c r="G231" s="63"/>
      <c r="H231" s="63"/>
      <c r="I231" s="63"/>
    </row>
    <row r="232" spans="7:9" x14ac:dyDescent="0.25">
      <c r="G232" s="63"/>
      <c r="H232" s="63"/>
      <c r="I232" s="63"/>
    </row>
    <row r="233" spans="7:9" x14ac:dyDescent="0.25">
      <c r="G233" s="63"/>
      <c r="H233" s="63"/>
      <c r="I233" s="63"/>
    </row>
    <row r="234" spans="7:9" x14ac:dyDescent="0.25">
      <c r="G234" s="63"/>
      <c r="H234" s="63"/>
      <c r="I234" s="63"/>
    </row>
    <row r="235" spans="7:9" x14ac:dyDescent="0.25">
      <c r="G235" s="63"/>
      <c r="H235" s="63"/>
      <c r="I235" s="63"/>
    </row>
    <row r="236" spans="7:9" x14ac:dyDescent="0.25">
      <c r="G236" s="63"/>
      <c r="H236" s="63"/>
      <c r="I236" s="63"/>
    </row>
    <row r="237" spans="7:9" x14ac:dyDescent="0.25">
      <c r="G237" s="63"/>
      <c r="H237" s="63"/>
      <c r="I237" s="63"/>
    </row>
    <row r="238" spans="7:9" x14ac:dyDescent="0.25">
      <c r="G238" s="63"/>
      <c r="H238" s="63"/>
      <c r="I238" s="63"/>
    </row>
    <row r="239" spans="7:9" x14ac:dyDescent="0.25">
      <c r="G239" s="63"/>
      <c r="H239" s="63"/>
      <c r="I239" s="63"/>
    </row>
    <row r="240" spans="7:9" x14ac:dyDescent="0.25">
      <c r="G240" s="63"/>
      <c r="H240" s="63"/>
      <c r="I240" s="63"/>
    </row>
    <row r="241" spans="7:9" x14ac:dyDescent="0.25">
      <c r="G241" s="63"/>
      <c r="H241" s="63"/>
      <c r="I241" s="63"/>
    </row>
    <row r="242" spans="7:9" x14ac:dyDescent="0.25">
      <c r="G242" s="63"/>
      <c r="H242" s="63"/>
      <c r="I242" s="63"/>
    </row>
    <row r="243" spans="7:9" x14ac:dyDescent="0.25">
      <c r="G243" s="63"/>
      <c r="H243" s="63"/>
      <c r="I243" s="63"/>
    </row>
    <row r="244" spans="7:9" x14ac:dyDescent="0.25">
      <c r="G244" s="63"/>
      <c r="H244" s="63"/>
      <c r="I244" s="63"/>
    </row>
    <row r="245" spans="7:9" x14ac:dyDescent="0.25">
      <c r="G245" s="63"/>
      <c r="H245" s="63"/>
      <c r="I245" s="63"/>
    </row>
    <row r="246" spans="7:9" x14ac:dyDescent="0.25">
      <c r="G246" s="63"/>
      <c r="H246" s="63"/>
      <c r="I246" s="63"/>
    </row>
    <row r="247" spans="7:9" x14ac:dyDescent="0.25">
      <c r="G247" s="63"/>
      <c r="H247" s="63"/>
      <c r="I247" s="63"/>
    </row>
    <row r="248" spans="7:9" x14ac:dyDescent="0.25">
      <c r="G248" s="63"/>
      <c r="H248" s="63"/>
      <c r="I248" s="63"/>
    </row>
    <row r="249" spans="7:9" x14ac:dyDescent="0.25">
      <c r="G249" s="63"/>
      <c r="H249" s="63"/>
      <c r="I249" s="63"/>
    </row>
    <row r="250" spans="7:9" x14ac:dyDescent="0.25">
      <c r="G250" s="63"/>
      <c r="H250" s="63"/>
      <c r="I250" s="63"/>
    </row>
    <row r="251" spans="7:9" x14ac:dyDescent="0.25">
      <c r="G251" s="63"/>
      <c r="H251" s="63"/>
      <c r="I251" s="63"/>
    </row>
    <row r="252" spans="7:9" x14ac:dyDescent="0.25">
      <c r="G252" s="63"/>
      <c r="H252" s="63"/>
      <c r="I252" s="63"/>
    </row>
    <row r="253" spans="7:9" x14ac:dyDescent="0.25">
      <c r="G253" s="63"/>
      <c r="H253" s="63"/>
      <c r="I253" s="63"/>
    </row>
    <row r="254" spans="7:9" x14ac:dyDescent="0.25">
      <c r="G254" s="63"/>
      <c r="H254" s="63"/>
      <c r="I254" s="63"/>
    </row>
    <row r="255" spans="7:9" x14ac:dyDescent="0.25">
      <c r="G255" s="63"/>
      <c r="H255" s="63"/>
      <c r="I255" s="63"/>
    </row>
    <row r="256" spans="7:9" x14ac:dyDescent="0.25">
      <c r="G256" s="63"/>
      <c r="H256" s="63"/>
      <c r="I256" s="63"/>
    </row>
    <row r="257" spans="7:9" x14ac:dyDescent="0.25">
      <c r="G257" s="63"/>
      <c r="H257" s="63"/>
      <c r="I257" s="63"/>
    </row>
    <row r="258" spans="7:9" x14ac:dyDescent="0.25">
      <c r="G258" s="63"/>
      <c r="H258" s="63"/>
      <c r="I258" s="63"/>
    </row>
    <row r="259" spans="7:9" x14ac:dyDescent="0.25">
      <c r="G259" s="63"/>
      <c r="H259" s="63"/>
      <c r="I259" s="63"/>
    </row>
    <row r="260" spans="7:9" x14ac:dyDescent="0.25">
      <c r="G260" s="63"/>
      <c r="H260" s="63"/>
      <c r="I260" s="63"/>
    </row>
    <row r="261" spans="7:9" x14ac:dyDescent="0.25">
      <c r="G261" s="63"/>
      <c r="H261" s="63"/>
      <c r="I261" s="63"/>
    </row>
    <row r="262" spans="7:9" x14ac:dyDescent="0.25">
      <c r="G262" s="63"/>
      <c r="H262" s="63"/>
      <c r="I262" s="63"/>
    </row>
    <row r="263" spans="7:9" x14ac:dyDescent="0.25">
      <c r="G263" s="63"/>
      <c r="H263" s="63"/>
      <c r="I263" s="63"/>
    </row>
    <row r="264" spans="7:9" x14ac:dyDescent="0.25">
      <c r="G264" s="63"/>
      <c r="H264" s="63"/>
      <c r="I264" s="63"/>
    </row>
    <row r="265" spans="7:9" x14ac:dyDescent="0.25">
      <c r="G265" s="63"/>
      <c r="H265" s="63"/>
      <c r="I265" s="63"/>
    </row>
    <row r="266" spans="7:9" x14ac:dyDescent="0.25">
      <c r="G266" s="63"/>
      <c r="H266" s="63"/>
      <c r="I266" s="63"/>
    </row>
    <row r="267" spans="7:9" x14ac:dyDescent="0.25">
      <c r="G267" s="63"/>
      <c r="H267" s="63"/>
      <c r="I267" s="63"/>
    </row>
    <row r="268" spans="7:9" x14ac:dyDescent="0.25">
      <c r="G268" s="63"/>
      <c r="H268" s="63"/>
      <c r="I268" s="63"/>
    </row>
    <row r="269" spans="7:9" x14ac:dyDescent="0.25">
      <c r="G269" s="63"/>
      <c r="H269" s="63"/>
      <c r="I269" s="63"/>
    </row>
    <row r="270" spans="7:9" x14ac:dyDescent="0.25">
      <c r="G270" s="63"/>
      <c r="H270" s="63"/>
      <c r="I270" s="63"/>
    </row>
    <row r="271" spans="7:9" x14ac:dyDescent="0.25">
      <c r="G271" s="63"/>
      <c r="H271" s="63"/>
      <c r="I271" s="63"/>
    </row>
    <row r="272" spans="7:9" x14ac:dyDescent="0.25">
      <c r="G272" s="63"/>
      <c r="H272" s="63"/>
      <c r="I272" s="63"/>
    </row>
    <row r="273" spans="7:9" x14ac:dyDescent="0.25">
      <c r="G273" s="63"/>
      <c r="H273" s="63"/>
      <c r="I273" s="63"/>
    </row>
    <row r="274" spans="7:9" x14ac:dyDescent="0.25">
      <c r="G274" s="63"/>
      <c r="H274" s="63"/>
      <c r="I274" s="63"/>
    </row>
    <row r="275" spans="7:9" x14ac:dyDescent="0.25">
      <c r="G275" s="63"/>
      <c r="H275" s="63"/>
      <c r="I275" s="63"/>
    </row>
    <row r="276" spans="7:9" x14ac:dyDescent="0.25">
      <c r="G276" s="63"/>
      <c r="H276" s="63"/>
      <c r="I276" s="63"/>
    </row>
    <row r="277" spans="7:9" x14ac:dyDescent="0.25">
      <c r="G277" s="63"/>
      <c r="H277" s="63"/>
      <c r="I277" s="63"/>
    </row>
    <row r="278" spans="7:9" x14ac:dyDescent="0.25">
      <c r="G278" s="63"/>
      <c r="H278" s="63"/>
      <c r="I278" s="63"/>
    </row>
    <row r="279" spans="7:9" x14ac:dyDescent="0.25">
      <c r="G279" s="63"/>
      <c r="H279" s="63"/>
      <c r="I279" s="63"/>
    </row>
    <row r="280" spans="7:9" x14ac:dyDescent="0.25">
      <c r="G280" s="63"/>
      <c r="H280" s="63"/>
      <c r="I280" s="63"/>
    </row>
    <row r="281" spans="7:9" x14ac:dyDescent="0.25">
      <c r="G281" s="63"/>
      <c r="H281" s="63"/>
      <c r="I281" s="63"/>
    </row>
    <row r="282" spans="7:9" x14ac:dyDescent="0.25">
      <c r="G282" s="63"/>
      <c r="H282" s="63"/>
      <c r="I282" s="63"/>
    </row>
    <row r="283" spans="7:9" x14ac:dyDescent="0.25">
      <c r="G283" s="63"/>
      <c r="H283" s="63"/>
      <c r="I283" s="63"/>
    </row>
    <row r="284" spans="7:9" x14ac:dyDescent="0.25">
      <c r="G284" s="63"/>
      <c r="H284" s="63"/>
      <c r="I284" s="63"/>
    </row>
    <row r="285" spans="7:9" x14ac:dyDescent="0.25">
      <c r="G285" s="63"/>
      <c r="H285" s="63"/>
      <c r="I285" s="63"/>
    </row>
    <row r="286" spans="7:9" x14ac:dyDescent="0.25">
      <c r="G286" s="63"/>
      <c r="H286" s="63"/>
      <c r="I286" s="63"/>
    </row>
    <row r="287" spans="7:9" x14ac:dyDescent="0.25">
      <c r="G287" s="63"/>
      <c r="H287" s="63"/>
      <c r="I287" s="63"/>
    </row>
    <row r="288" spans="7:9" x14ac:dyDescent="0.25">
      <c r="G288" s="63"/>
      <c r="H288" s="63"/>
      <c r="I288" s="63"/>
    </row>
    <row r="289" spans="7:9" x14ac:dyDescent="0.25">
      <c r="G289" s="63"/>
      <c r="H289" s="63"/>
      <c r="I289" s="63"/>
    </row>
    <row r="290" spans="7:9" x14ac:dyDescent="0.25">
      <c r="G290" s="63"/>
      <c r="H290" s="63"/>
      <c r="I290" s="63"/>
    </row>
    <row r="291" spans="7:9" x14ac:dyDescent="0.25">
      <c r="G291" s="63"/>
      <c r="H291" s="63"/>
      <c r="I291" s="63"/>
    </row>
    <row r="292" spans="7:9" x14ac:dyDescent="0.25">
      <c r="G292" s="63"/>
      <c r="H292" s="63"/>
      <c r="I292" s="63"/>
    </row>
    <row r="293" spans="7:9" x14ac:dyDescent="0.25">
      <c r="G293" s="63"/>
      <c r="H293" s="63"/>
      <c r="I293" s="63"/>
    </row>
    <row r="294" spans="7:9" x14ac:dyDescent="0.25">
      <c r="G294" s="63"/>
      <c r="H294" s="63"/>
      <c r="I294" s="63"/>
    </row>
    <row r="295" spans="7:9" x14ac:dyDescent="0.25">
      <c r="G295" s="63"/>
      <c r="H295" s="63"/>
      <c r="I295" s="63"/>
    </row>
    <row r="296" spans="7:9" x14ac:dyDescent="0.25">
      <c r="G296" s="63"/>
      <c r="H296" s="63"/>
      <c r="I296" s="63"/>
    </row>
    <row r="297" spans="7:9" x14ac:dyDescent="0.25">
      <c r="G297" s="63"/>
      <c r="H297" s="63"/>
      <c r="I297" s="63"/>
    </row>
    <row r="298" spans="7:9" x14ac:dyDescent="0.25">
      <c r="G298" s="63"/>
      <c r="H298" s="63"/>
      <c r="I298" s="63"/>
    </row>
    <row r="299" spans="7:9" x14ac:dyDescent="0.25">
      <c r="G299" s="63"/>
      <c r="H299" s="63"/>
      <c r="I299" s="63"/>
    </row>
    <row r="300" spans="7:9" x14ac:dyDescent="0.25">
      <c r="G300" s="63"/>
      <c r="H300" s="63"/>
      <c r="I300" s="63"/>
    </row>
    <row r="301" spans="7:9" x14ac:dyDescent="0.25">
      <c r="G301" s="63"/>
      <c r="H301" s="63"/>
      <c r="I301" s="63"/>
    </row>
    <row r="302" spans="7:9" x14ac:dyDescent="0.25">
      <c r="G302" s="63"/>
      <c r="H302" s="63"/>
      <c r="I302" s="63"/>
    </row>
    <row r="303" spans="7:9" x14ac:dyDescent="0.25">
      <c r="G303" s="63"/>
      <c r="H303" s="63"/>
      <c r="I303" s="63"/>
    </row>
    <row r="304" spans="7:9" x14ac:dyDescent="0.25">
      <c r="G304" s="63"/>
      <c r="H304" s="63"/>
      <c r="I304" s="63"/>
    </row>
    <row r="305" spans="7:9" x14ac:dyDescent="0.25">
      <c r="G305" s="63"/>
      <c r="H305" s="63"/>
      <c r="I305" s="63"/>
    </row>
    <row r="306" spans="7:9" x14ac:dyDescent="0.25">
      <c r="G306" s="63"/>
      <c r="H306" s="63"/>
      <c r="I306" s="63"/>
    </row>
    <row r="307" spans="7:9" x14ac:dyDescent="0.25">
      <c r="G307" s="63"/>
      <c r="H307" s="63"/>
      <c r="I307" s="63"/>
    </row>
    <row r="308" spans="7:9" x14ac:dyDescent="0.25">
      <c r="G308" s="63"/>
      <c r="H308" s="63"/>
      <c r="I308" s="63"/>
    </row>
    <row r="309" spans="7:9" x14ac:dyDescent="0.25">
      <c r="G309" s="63"/>
      <c r="H309" s="63"/>
      <c r="I309" s="63"/>
    </row>
    <row r="310" spans="7:9" x14ac:dyDescent="0.25">
      <c r="G310" s="63"/>
      <c r="H310" s="63"/>
      <c r="I310" s="63"/>
    </row>
    <row r="311" spans="7:9" x14ac:dyDescent="0.25">
      <c r="G311" s="63"/>
      <c r="H311" s="63"/>
      <c r="I311" s="63"/>
    </row>
    <row r="312" spans="7:9" x14ac:dyDescent="0.25">
      <c r="G312" s="63"/>
      <c r="H312" s="63"/>
      <c r="I312" s="63"/>
    </row>
    <row r="313" spans="7:9" x14ac:dyDescent="0.25">
      <c r="G313" s="63"/>
      <c r="H313" s="63"/>
      <c r="I313" s="63"/>
    </row>
    <row r="314" spans="7:9" x14ac:dyDescent="0.25">
      <c r="G314" s="63"/>
      <c r="H314" s="63"/>
      <c r="I314" s="63"/>
    </row>
    <row r="315" spans="7:9" x14ac:dyDescent="0.25">
      <c r="G315" s="63"/>
      <c r="H315" s="63"/>
      <c r="I315" s="63"/>
    </row>
    <row r="316" spans="7:9" x14ac:dyDescent="0.25">
      <c r="G316" s="63"/>
      <c r="H316" s="63"/>
      <c r="I316" s="63"/>
    </row>
    <row r="317" spans="7:9" x14ac:dyDescent="0.25">
      <c r="G317" s="63"/>
      <c r="H317" s="63"/>
      <c r="I317" s="63"/>
    </row>
    <row r="318" spans="7:9" x14ac:dyDescent="0.25">
      <c r="G318" s="63"/>
      <c r="H318" s="63"/>
      <c r="I318" s="63"/>
    </row>
    <row r="319" spans="7:9" x14ac:dyDescent="0.25">
      <c r="G319" s="63"/>
      <c r="H319" s="63"/>
      <c r="I319" s="63"/>
    </row>
    <row r="320" spans="7:9" x14ac:dyDescent="0.25">
      <c r="G320" s="63"/>
      <c r="H320" s="63"/>
      <c r="I320" s="63"/>
    </row>
    <row r="321" spans="7:9" x14ac:dyDescent="0.25">
      <c r="G321" s="63"/>
      <c r="H321" s="63"/>
      <c r="I321" s="63"/>
    </row>
    <row r="322" spans="7:9" x14ac:dyDescent="0.25">
      <c r="G322" s="63"/>
      <c r="H322" s="63"/>
      <c r="I322" s="63"/>
    </row>
    <row r="323" spans="7:9" x14ac:dyDescent="0.25">
      <c r="G323" s="63"/>
      <c r="H323" s="63"/>
      <c r="I323" s="63"/>
    </row>
    <row r="324" spans="7:9" x14ac:dyDescent="0.25">
      <c r="G324" s="63"/>
      <c r="H324" s="63"/>
      <c r="I324" s="63"/>
    </row>
    <row r="325" spans="7:9" x14ac:dyDescent="0.25">
      <c r="G325" s="63"/>
      <c r="H325" s="63"/>
      <c r="I325" s="63"/>
    </row>
    <row r="326" spans="7:9" x14ac:dyDescent="0.25">
      <c r="G326" s="63"/>
      <c r="H326" s="63"/>
      <c r="I326" s="63"/>
    </row>
    <row r="327" spans="7:9" x14ac:dyDescent="0.25">
      <c r="G327" s="63"/>
      <c r="H327" s="63"/>
      <c r="I327" s="63"/>
    </row>
    <row r="328" spans="7:9" x14ac:dyDescent="0.25">
      <c r="G328" s="63"/>
      <c r="H328" s="63"/>
      <c r="I328" s="63"/>
    </row>
    <row r="329" spans="7:9" x14ac:dyDescent="0.25">
      <c r="G329" s="63"/>
      <c r="H329" s="63"/>
      <c r="I329" s="63"/>
    </row>
    <row r="330" spans="7:9" x14ac:dyDescent="0.25">
      <c r="G330" s="63"/>
      <c r="H330" s="63"/>
      <c r="I330" s="63"/>
    </row>
    <row r="331" spans="7:9" x14ac:dyDescent="0.25">
      <c r="G331" s="63"/>
      <c r="H331" s="63"/>
      <c r="I331" s="63"/>
    </row>
    <row r="332" spans="7:9" x14ac:dyDescent="0.25">
      <c r="G332" s="63"/>
      <c r="H332" s="63"/>
      <c r="I332" s="63"/>
    </row>
    <row r="333" spans="7:9" x14ac:dyDescent="0.25">
      <c r="G333" s="63"/>
      <c r="H333" s="63"/>
      <c r="I333" s="63"/>
    </row>
    <row r="334" spans="7:9" x14ac:dyDescent="0.25">
      <c r="G334" s="63"/>
      <c r="H334" s="63"/>
      <c r="I334" s="63"/>
    </row>
    <row r="335" spans="7:9" x14ac:dyDescent="0.25">
      <c r="G335" s="63"/>
      <c r="H335" s="63"/>
      <c r="I335" s="63"/>
    </row>
    <row r="336" spans="7:9" x14ac:dyDescent="0.25">
      <c r="G336" s="63"/>
      <c r="H336" s="63"/>
      <c r="I336" s="63"/>
    </row>
    <row r="337" spans="7:9" x14ac:dyDescent="0.25">
      <c r="G337" s="63"/>
      <c r="H337" s="63"/>
      <c r="I337" s="63"/>
    </row>
    <row r="338" spans="7:9" x14ac:dyDescent="0.25">
      <c r="G338" s="63"/>
      <c r="H338" s="63"/>
      <c r="I338" s="63"/>
    </row>
    <row r="339" spans="7:9" x14ac:dyDescent="0.25">
      <c r="G339" s="63"/>
      <c r="H339" s="63"/>
      <c r="I339" s="63"/>
    </row>
    <row r="340" spans="7:9" x14ac:dyDescent="0.25">
      <c r="G340" s="63"/>
      <c r="H340" s="63"/>
      <c r="I340" s="63"/>
    </row>
    <row r="341" spans="7:9" x14ac:dyDescent="0.25">
      <c r="G341" s="63"/>
      <c r="H341" s="63"/>
      <c r="I341" s="63"/>
    </row>
    <row r="342" spans="7:9" x14ac:dyDescent="0.25">
      <c r="G342" s="63"/>
      <c r="H342" s="63"/>
      <c r="I342" s="63"/>
    </row>
    <row r="343" spans="7:9" x14ac:dyDescent="0.25">
      <c r="G343" s="63"/>
      <c r="H343" s="63"/>
      <c r="I343" s="63"/>
    </row>
    <row r="344" spans="7:9" x14ac:dyDescent="0.25">
      <c r="G344" s="63"/>
      <c r="H344" s="63"/>
      <c r="I344" s="63"/>
    </row>
    <row r="345" spans="7:9" x14ac:dyDescent="0.25">
      <c r="G345" s="63"/>
      <c r="H345" s="63"/>
      <c r="I345" s="63"/>
    </row>
    <row r="346" spans="7:9" x14ac:dyDescent="0.25">
      <c r="G346" s="63"/>
      <c r="H346" s="63"/>
      <c r="I346" s="63"/>
    </row>
    <row r="347" spans="7:9" x14ac:dyDescent="0.25">
      <c r="G347" s="63"/>
      <c r="H347" s="63"/>
      <c r="I347" s="63"/>
    </row>
    <row r="348" spans="7:9" x14ac:dyDescent="0.25">
      <c r="G348" s="63"/>
      <c r="H348" s="63"/>
      <c r="I348" s="63"/>
    </row>
    <row r="349" spans="7:9" x14ac:dyDescent="0.25">
      <c r="G349" s="63"/>
      <c r="H349" s="63"/>
      <c r="I349" s="63"/>
    </row>
    <row r="350" spans="7:9" x14ac:dyDescent="0.25">
      <c r="G350" s="63"/>
      <c r="H350" s="63"/>
      <c r="I350" s="63"/>
    </row>
    <row r="351" spans="7:9" x14ac:dyDescent="0.25">
      <c r="G351" s="63"/>
      <c r="H351" s="63"/>
      <c r="I351" s="63"/>
    </row>
    <row r="352" spans="7:9" x14ac:dyDescent="0.25">
      <c r="G352" s="63"/>
      <c r="H352" s="63"/>
      <c r="I352" s="63"/>
    </row>
    <row r="353" spans="7:9" x14ac:dyDescent="0.25">
      <c r="G353" s="63"/>
      <c r="H353" s="63"/>
      <c r="I353" s="63"/>
    </row>
    <row r="354" spans="7:9" x14ac:dyDescent="0.25">
      <c r="G354" s="63"/>
      <c r="H354" s="63"/>
      <c r="I354" s="63"/>
    </row>
    <row r="355" spans="7:9" x14ac:dyDescent="0.25">
      <c r="G355" s="63"/>
      <c r="H355" s="63"/>
      <c r="I355" s="63"/>
    </row>
    <row r="356" spans="7:9" x14ac:dyDescent="0.25">
      <c r="G356" s="63"/>
      <c r="H356" s="63"/>
      <c r="I356" s="63"/>
    </row>
    <row r="357" spans="7:9" x14ac:dyDescent="0.25">
      <c r="G357" s="63"/>
      <c r="H357" s="63"/>
      <c r="I357" s="63"/>
    </row>
    <row r="358" spans="7:9" x14ac:dyDescent="0.25">
      <c r="G358" s="63"/>
      <c r="H358" s="63"/>
      <c r="I358" s="63"/>
    </row>
    <row r="359" spans="7:9" x14ac:dyDescent="0.25">
      <c r="G359" s="63"/>
      <c r="H359" s="63"/>
      <c r="I359" s="63"/>
    </row>
    <row r="360" spans="7:9" x14ac:dyDescent="0.25">
      <c r="G360" s="63"/>
      <c r="H360" s="63"/>
      <c r="I360" s="63"/>
    </row>
    <row r="361" spans="7:9" x14ac:dyDescent="0.25">
      <c r="G361" s="63"/>
      <c r="H361" s="63"/>
      <c r="I361" s="63"/>
    </row>
    <row r="362" spans="7:9" x14ac:dyDescent="0.25">
      <c r="G362" s="63"/>
      <c r="H362" s="63"/>
      <c r="I362" s="63"/>
    </row>
    <row r="363" spans="7:9" x14ac:dyDescent="0.25">
      <c r="G363" s="63"/>
      <c r="H363" s="63"/>
      <c r="I363" s="63"/>
    </row>
    <row r="364" spans="7:9" x14ac:dyDescent="0.25">
      <c r="G364" s="63"/>
      <c r="H364" s="63"/>
      <c r="I364" s="63"/>
    </row>
    <row r="365" spans="7:9" x14ac:dyDescent="0.25">
      <c r="G365" s="63"/>
      <c r="H365" s="63"/>
      <c r="I365" s="63"/>
    </row>
    <row r="366" spans="7:9" x14ac:dyDescent="0.25">
      <c r="G366" s="63"/>
      <c r="H366" s="63"/>
      <c r="I366" s="63"/>
    </row>
    <row r="367" spans="7:9" x14ac:dyDescent="0.25">
      <c r="G367" s="63"/>
      <c r="H367" s="63"/>
      <c r="I367" s="63"/>
    </row>
    <row r="368" spans="7:9" x14ac:dyDescent="0.25">
      <c r="G368" s="63"/>
      <c r="H368" s="63"/>
      <c r="I368" s="63"/>
    </row>
    <row r="369" spans="7:9" x14ac:dyDescent="0.25">
      <c r="G369" s="63"/>
      <c r="H369" s="63"/>
      <c r="I369" s="63"/>
    </row>
    <row r="370" spans="7:9" x14ac:dyDescent="0.25">
      <c r="G370" s="63"/>
      <c r="H370" s="63"/>
      <c r="I370" s="63"/>
    </row>
    <row r="371" spans="7:9" x14ac:dyDescent="0.25">
      <c r="G371" s="63"/>
      <c r="H371" s="63"/>
      <c r="I371" s="63"/>
    </row>
    <row r="372" spans="7:9" x14ac:dyDescent="0.25">
      <c r="G372" s="63"/>
      <c r="H372" s="63"/>
      <c r="I372" s="63"/>
    </row>
    <row r="373" spans="7:9" x14ac:dyDescent="0.25">
      <c r="G373" s="63"/>
      <c r="H373" s="63"/>
      <c r="I373" s="63"/>
    </row>
    <row r="374" spans="7:9" x14ac:dyDescent="0.25">
      <c r="G374" s="63"/>
      <c r="H374" s="63"/>
      <c r="I374" s="63"/>
    </row>
    <row r="375" spans="7:9" x14ac:dyDescent="0.25">
      <c r="G375" s="63"/>
      <c r="H375" s="63"/>
      <c r="I375" s="63"/>
    </row>
    <row r="376" spans="7:9" x14ac:dyDescent="0.25">
      <c r="G376" s="63"/>
      <c r="H376" s="63"/>
      <c r="I376" s="63"/>
    </row>
    <row r="377" spans="7:9" x14ac:dyDescent="0.25">
      <c r="G377" s="63"/>
      <c r="H377" s="63"/>
      <c r="I377" s="63"/>
    </row>
    <row r="378" spans="7:9" x14ac:dyDescent="0.25">
      <c r="G378" s="63"/>
      <c r="H378" s="63"/>
      <c r="I378" s="63"/>
    </row>
    <row r="379" spans="7:9" x14ac:dyDescent="0.25">
      <c r="G379" s="63"/>
      <c r="H379" s="63"/>
      <c r="I379" s="63"/>
    </row>
    <row r="380" spans="7:9" x14ac:dyDescent="0.25">
      <c r="G380" s="63"/>
      <c r="H380" s="63"/>
      <c r="I380" s="63"/>
    </row>
    <row r="381" spans="7:9" x14ac:dyDescent="0.25">
      <c r="G381" s="63"/>
      <c r="H381" s="63"/>
      <c r="I381" s="63"/>
    </row>
    <row r="382" spans="7:9" x14ac:dyDescent="0.25">
      <c r="G382" s="63"/>
      <c r="H382" s="63"/>
      <c r="I382" s="63"/>
    </row>
    <row r="383" spans="7:9" x14ac:dyDescent="0.25">
      <c r="G383" s="63"/>
      <c r="H383" s="63"/>
      <c r="I383" s="63"/>
    </row>
    <row r="384" spans="7:9" x14ac:dyDescent="0.25">
      <c r="G384" s="63"/>
      <c r="H384" s="63"/>
      <c r="I384" s="63"/>
    </row>
    <row r="385" spans="7:9" x14ac:dyDescent="0.25">
      <c r="G385" s="63"/>
      <c r="H385" s="63"/>
      <c r="I385" s="63"/>
    </row>
    <row r="386" spans="7:9" x14ac:dyDescent="0.25">
      <c r="G386" s="63"/>
      <c r="H386" s="63"/>
      <c r="I386" s="63"/>
    </row>
    <row r="387" spans="7:9" x14ac:dyDescent="0.25">
      <c r="G387" s="63"/>
      <c r="H387" s="63"/>
      <c r="I387" s="63"/>
    </row>
    <row r="388" spans="7:9" x14ac:dyDescent="0.25">
      <c r="G388" s="63"/>
      <c r="H388" s="63"/>
      <c r="I388" s="63"/>
    </row>
    <row r="389" spans="7:9" x14ac:dyDescent="0.25">
      <c r="G389" s="63"/>
      <c r="H389" s="63"/>
      <c r="I389" s="63"/>
    </row>
    <row r="390" spans="7:9" x14ac:dyDescent="0.25">
      <c r="G390" s="63"/>
      <c r="H390" s="63"/>
      <c r="I390" s="63"/>
    </row>
    <row r="391" spans="7:9" x14ac:dyDescent="0.25">
      <c r="G391" s="63"/>
      <c r="H391" s="63"/>
      <c r="I391" s="63"/>
    </row>
    <row r="392" spans="7:9" x14ac:dyDescent="0.25">
      <c r="G392" s="63"/>
      <c r="H392" s="63"/>
      <c r="I392" s="63"/>
    </row>
    <row r="393" spans="7:9" x14ac:dyDescent="0.25">
      <c r="G393" s="63"/>
      <c r="H393" s="63"/>
      <c r="I393" s="63"/>
    </row>
    <row r="394" spans="7:9" x14ac:dyDescent="0.25">
      <c r="G394" s="63"/>
      <c r="H394" s="63"/>
      <c r="I394" s="63"/>
    </row>
    <row r="395" spans="7:9" x14ac:dyDescent="0.25">
      <c r="G395" s="63"/>
      <c r="H395" s="63"/>
      <c r="I395" s="63"/>
    </row>
    <row r="396" spans="7:9" x14ac:dyDescent="0.25">
      <c r="G396" s="63"/>
      <c r="H396" s="63"/>
      <c r="I396" s="63"/>
    </row>
    <row r="397" spans="7:9" x14ac:dyDescent="0.25">
      <c r="G397" s="63"/>
      <c r="H397" s="63"/>
      <c r="I397" s="63"/>
    </row>
    <row r="398" spans="7:9" x14ac:dyDescent="0.25">
      <c r="G398" s="63"/>
      <c r="H398" s="63"/>
      <c r="I398" s="63"/>
    </row>
    <row r="399" spans="7:9" x14ac:dyDescent="0.25">
      <c r="G399" s="63"/>
      <c r="H399" s="63"/>
      <c r="I399" s="63"/>
    </row>
    <row r="400" spans="7:9" x14ac:dyDescent="0.25">
      <c r="G400" s="63"/>
      <c r="H400" s="63"/>
      <c r="I400" s="63"/>
    </row>
    <row r="401" spans="7:9" x14ac:dyDescent="0.25">
      <c r="G401" s="63"/>
      <c r="H401" s="63"/>
      <c r="I401" s="63"/>
    </row>
    <row r="402" spans="7:9" x14ac:dyDescent="0.25">
      <c r="G402" s="63"/>
      <c r="H402" s="63"/>
      <c r="I402" s="63"/>
    </row>
    <row r="403" spans="7:9" x14ac:dyDescent="0.25">
      <c r="G403" s="63"/>
      <c r="H403" s="63"/>
      <c r="I403" s="63"/>
    </row>
    <row r="404" spans="7:9" x14ac:dyDescent="0.25">
      <c r="G404" s="63"/>
      <c r="H404" s="63"/>
      <c r="I404" s="63"/>
    </row>
    <row r="405" spans="7:9" x14ac:dyDescent="0.25">
      <c r="G405" s="63"/>
      <c r="H405" s="63"/>
      <c r="I405" s="63"/>
    </row>
    <row r="406" spans="7:9" x14ac:dyDescent="0.25">
      <c r="G406" s="63"/>
      <c r="H406" s="63"/>
      <c r="I406" s="63"/>
    </row>
    <row r="407" spans="7:9" x14ac:dyDescent="0.25">
      <c r="G407" s="63"/>
      <c r="H407" s="63"/>
      <c r="I407" s="63"/>
    </row>
    <row r="408" spans="7:9" x14ac:dyDescent="0.25">
      <c r="G408" s="63"/>
      <c r="H408" s="63"/>
      <c r="I408" s="63"/>
    </row>
    <row r="409" spans="7:9" x14ac:dyDescent="0.25">
      <c r="G409" s="63"/>
      <c r="H409" s="63"/>
      <c r="I409" s="63"/>
    </row>
    <row r="410" spans="7:9" x14ac:dyDescent="0.25">
      <c r="G410" s="63"/>
      <c r="H410" s="63"/>
      <c r="I410" s="63"/>
    </row>
    <row r="411" spans="7:9" x14ac:dyDescent="0.25">
      <c r="G411" s="63"/>
      <c r="H411" s="63"/>
      <c r="I411" s="63"/>
    </row>
    <row r="412" spans="7:9" x14ac:dyDescent="0.25">
      <c r="G412" s="63"/>
      <c r="H412" s="63"/>
      <c r="I412" s="63"/>
    </row>
    <row r="413" spans="7:9" x14ac:dyDescent="0.25">
      <c r="G413" s="63"/>
      <c r="H413" s="63"/>
      <c r="I413" s="63"/>
    </row>
    <row r="414" spans="7:9" x14ac:dyDescent="0.25">
      <c r="G414" s="63"/>
      <c r="H414" s="63"/>
      <c r="I414" s="63"/>
    </row>
    <row r="415" spans="7:9" x14ac:dyDescent="0.25">
      <c r="G415" s="63"/>
      <c r="H415" s="63"/>
      <c r="I415" s="63"/>
    </row>
    <row r="416" spans="7:9" x14ac:dyDescent="0.25">
      <c r="G416" s="63"/>
      <c r="H416" s="63"/>
      <c r="I416" s="63"/>
    </row>
    <row r="417" spans="7:9" x14ac:dyDescent="0.25">
      <c r="G417" s="63"/>
      <c r="H417" s="63"/>
      <c r="I417" s="63"/>
    </row>
    <row r="418" spans="7:9" x14ac:dyDescent="0.25">
      <c r="G418" s="63"/>
      <c r="H418" s="63"/>
      <c r="I418" s="63"/>
    </row>
    <row r="419" spans="7:9" x14ac:dyDescent="0.25">
      <c r="G419" s="63"/>
      <c r="H419" s="63"/>
      <c r="I419" s="63"/>
    </row>
    <row r="420" spans="7:9" x14ac:dyDescent="0.25">
      <c r="G420" s="63"/>
      <c r="H420" s="63"/>
      <c r="I420" s="63"/>
    </row>
    <row r="421" spans="7:9" x14ac:dyDescent="0.25">
      <c r="G421" s="63"/>
      <c r="H421" s="63"/>
      <c r="I421" s="63"/>
    </row>
    <row r="422" spans="7:9" x14ac:dyDescent="0.25">
      <c r="G422" s="63"/>
      <c r="H422" s="63"/>
      <c r="I422" s="63"/>
    </row>
    <row r="423" spans="7:9" x14ac:dyDescent="0.25">
      <c r="G423" s="63"/>
      <c r="H423" s="63"/>
      <c r="I423" s="63"/>
    </row>
    <row r="424" spans="7:9" x14ac:dyDescent="0.25">
      <c r="G424" s="63"/>
      <c r="H424" s="63"/>
      <c r="I424" s="63"/>
    </row>
    <row r="425" spans="7:9" x14ac:dyDescent="0.25">
      <c r="G425" s="63"/>
      <c r="H425" s="63"/>
      <c r="I425" s="63"/>
    </row>
    <row r="426" spans="7:9" x14ac:dyDescent="0.25">
      <c r="G426" s="63"/>
      <c r="H426" s="63"/>
      <c r="I426" s="63"/>
    </row>
    <row r="427" spans="7:9" x14ac:dyDescent="0.25">
      <c r="G427" s="63"/>
      <c r="H427" s="63"/>
      <c r="I427" s="63"/>
    </row>
    <row r="428" spans="7:9" x14ac:dyDescent="0.25">
      <c r="G428" s="63"/>
      <c r="H428" s="63"/>
      <c r="I428" s="63"/>
    </row>
    <row r="429" spans="7:9" x14ac:dyDescent="0.25">
      <c r="G429" s="63"/>
      <c r="H429" s="63"/>
      <c r="I429" s="63"/>
    </row>
    <row r="430" spans="7:9" x14ac:dyDescent="0.25">
      <c r="G430" s="63"/>
      <c r="H430" s="63"/>
      <c r="I430" s="63"/>
    </row>
    <row r="431" spans="7:9" x14ac:dyDescent="0.25">
      <c r="G431" s="63"/>
      <c r="H431" s="63"/>
      <c r="I431" s="63"/>
    </row>
    <row r="432" spans="7:9" x14ac:dyDescent="0.25">
      <c r="G432" s="63"/>
      <c r="H432" s="63"/>
      <c r="I432" s="63"/>
    </row>
    <row r="433" spans="7:9" x14ac:dyDescent="0.25">
      <c r="G433" s="63"/>
      <c r="H433" s="63"/>
      <c r="I433" s="63"/>
    </row>
    <row r="434" spans="7:9" x14ac:dyDescent="0.25">
      <c r="G434" s="63"/>
      <c r="H434" s="63"/>
      <c r="I434" s="63"/>
    </row>
    <row r="435" spans="7:9" x14ac:dyDescent="0.25">
      <c r="G435" s="63"/>
      <c r="H435" s="63"/>
      <c r="I435" s="63"/>
    </row>
    <row r="436" spans="7:9" x14ac:dyDescent="0.25">
      <c r="G436" s="63"/>
      <c r="H436" s="63"/>
      <c r="I436" s="63"/>
    </row>
    <row r="437" spans="7:9" x14ac:dyDescent="0.25">
      <c r="G437" s="63"/>
      <c r="H437" s="63"/>
      <c r="I437" s="63"/>
    </row>
    <row r="438" spans="7:9" x14ac:dyDescent="0.25">
      <c r="G438" s="63"/>
      <c r="H438" s="63"/>
      <c r="I438" s="63"/>
    </row>
    <row r="439" spans="7:9" x14ac:dyDescent="0.25">
      <c r="G439" s="63"/>
      <c r="H439" s="63"/>
      <c r="I439" s="63"/>
    </row>
    <row r="440" spans="7:9" x14ac:dyDescent="0.25">
      <c r="G440" s="63"/>
      <c r="H440" s="63"/>
      <c r="I440" s="63"/>
    </row>
    <row r="441" spans="7:9" x14ac:dyDescent="0.25">
      <c r="G441" s="63"/>
      <c r="H441" s="63"/>
      <c r="I441" s="63"/>
    </row>
    <row r="442" spans="7:9" x14ac:dyDescent="0.25">
      <c r="G442" s="63"/>
      <c r="H442" s="63"/>
      <c r="I442" s="63"/>
    </row>
    <row r="443" spans="7:9" x14ac:dyDescent="0.25">
      <c r="G443" s="63"/>
      <c r="H443" s="63"/>
      <c r="I443" s="63"/>
    </row>
    <row r="444" spans="7:9" x14ac:dyDescent="0.25">
      <c r="G444" s="63"/>
      <c r="H444" s="63"/>
      <c r="I444" s="63"/>
    </row>
    <row r="445" spans="7:9" x14ac:dyDescent="0.25">
      <c r="G445" s="63"/>
      <c r="H445" s="63"/>
      <c r="I445" s="63"/>
    </row>
    <row r="446" spans="7:9" x14ac:dyDescent="0.25">
      <c r="G446" s="63"/>
      <c r="H446" s="63"/>
      <c r="I446" s="63"/>
    </row>
    <row r="447" spans="7:9" x14ac:dyDescent="0.25">
      <c r="G447" s="63"/>
      <c r="H447" s="63"/>
      <c r="I447" s="63"/>
    </row>
    <row r="448" spans="7:9" x14ac:dyDescent="0.25">
      <c r="G448" s="63"/>
      <c r="H448" s="63"/>
      <c r="I448" s="63"/>
    </row>
    <row r="449" spans="7:9" x14ac:dyDescent="0.25">
      <c r="G449" s="63"/>
      <c r="H449" s="63"/>
      <c r="I449" s="63"/>
    </row>
    <row r="450" spans="7:9" x14ac:dyDescent="0.25">
      <c r="G450" s="63"/>
      <c r="H450" s="63"/>
      <c r="I450" s="63"/>
    </row>
    <row r="451" spans="7:9" x14ac:dyDescent="0.25">
      <c r="G451" s="63"/>
      <c r="H451" s="63"/>
      <c r="I451" s="63"/>
    </row>
    <row r="452" spans="7:9" x14ac:dyDescent="0.25">
      <c r="G452" s="63"/>
      <c r="H452" s="63"/>
      <c r="I452" s="63"/>
    </row>
    <row r="453" spans="7:9" x14ac:dyDescent="0.25">
      <c r="G453" s="63"/>
      <c r="H453" s="63"/>
      <c r="I453" s="63"/>
    </row>
    <row r="454" spans="7:9" x14ac:dyDescent="0.25">
      <c r="G454" s="63"/>
      <c r="H454" s="63"/>
      <c r="I454" s="63"/>
    </row>
    <row r="455" spans="7:9" x14ac:dyDescent="0.25">
      <c r="G455" s="63"/>
      <c r="H455" s="63"/>
      <c r="I455" s="63"/>
    </row>
    <row r="456" spans="7:9" x14ac:dyDescent="0.25">
      <c r="G456" s="63"/>
      <c r="H456" s="63"/>
      <c r="I456" s="63"/>
    </row>
    <row r="457" spans="7:9" x14ac:dyDescent="0.25">
      <c r="G457" s="63"/>
      <c r="H457" s="63"/>
      <c r="I457" s="63"/>
    </row>
    <row r="458" spans="7:9" x14ac:dyDescent="0.25">
      <c r="G458" s="63"/>
      <c r="H458" s="63"/>
      <c r="I458" s="63"/>
    </row>
    <row r="459" spans="7:9" x14ac:dyDescent="0.25">
      <c r="G459" s="63"/>
      <c r="H459" s="63"/>
      <c r="I459" s="63"/>
    </row>
    <row r="460" spans="7:9" x14ac:dyDescent="0.25">
      <c r="G460" s="63"/>
      <c r="H460" s="63"/>
      <c r="I460" s="63"/>
    </row>
    <row r="461" spans="7:9" x14ac:dyDescent="0.25">
      <c r="G461" s="63"/>
      <c r="H461" s="63"/>
      <c r="I461" s="63"/>
    </row>
    <row r="462" spans="7:9" x14ac:dyDescent="0.25">
      <c r="G462" s="63"/>
      <c r="H462" s="63"/>
      <c r="I462" s="63"/>
    </row>
    <row r="463" spans="7:9" x14ac:dyDescent="0.25">
      <c r="G463" s="63"/>
      <c r="H463" s="63"/>
      <c r="I463" s="63"/>
    </row>
    <row r="464" spans="7:9" x14ac:dyDescent="0.25">
      <c r="G464" s="63"/>
      <c r="H464" s="63"/>
      <c r="I464" s="63"/>
    </row>
    <row r="465" spans="7:9" x14ac:dyDescent="0.25">
      <c r="G465" s="63"/>
      <c r="H465" s="63"/>
      <c r="I465" s="63"/>
    </row>
    <row r="466" spans="7:9" x14ac:dyDescent="0.25">
      <c r="G466" s="63"/>
      <c r="H466" s="63"/>
      <c r="I466" s="63"/>
    </row>
    <row r="467" spans="7:9" x14ac:dyDescent="0.25">
      <c r="G467" s="63"/>
      <c r="H467" s="63"/>
      <c r="I467" s="63"/>
    </row>
    <row r="468" spans="7:9" x14ac:dyDescent="0.25">
      <c r="G468" s="63"/>
      <c r="H468" s="63"/>
      <c r="I468" s="63"/>
    </row>
    <row r="469" spans="7:9" x14ac:dyDescent="0.25">
      <c r="G469" s="63"/>
      <c r="H469" s="63"/>
      <c r="I469" s="63"/>
    </row>
    <row r="470" spans="7:9" x14ac:dyDescent="0.25">
      <c r="G470" s="63"/>
      <c r="H470" s="63"/>
      <c r="I470" s="63"/>
    </row>
    <row r="471" spans="7:9" x14ac:dyDescent="0.25">
      <c r="G471" s="63"/>
      <c r="H471" s="63"/>
      <c r="I471" s="63"/>
    </row>
    <row r="472" spans="7:9" x14ac:dyDescent="0.25">
      <c r="G472" s="63"/>
      <c r="H472" s="63"/>
      <c r="I472" s="63"/>
    </row>
    <row r="473" spans="7:9" x14ac:dyDescent="0.25">
      <c r="G473" s="63"/>
      <c r="H473" s="63"/>
      <c r="I473" s="63"/>
    </row>
    <row r="474" spans="7:9" x14ac:dyDescent="0.25">
      <c r="G474" s="63"/>
      <c r="H474" s="63"/>
      <c r="I474" s="63"/>
    </row>
    <row r="475" spans="7:9" x14ac:dyDescent="0.25">
      <c r="G475" s="63"/>
      <c r="H475" s="63"/>
      <c r="I475" s="63"/>
    </row>
    <row r="476" spans="7:9" x14ac:dyDescent="0.25">
      <c r="G476" s="63"/>
      <c r="H476" s="63"/>
      <c r="I476" s="63"/>
    </row>
    <row r="477" spans="7:9" x14ac:dyDescent="0.25">
      <c r="G477" s="63"/>
      <c r="H477" s="63"/>
      <c r="I477" s="63"/>
    </row>
    <row r="478" spans="7:9" x14ac:dyDescent="0.25">
      <c r="G478" s="63"/>
      <c r="H478" s="63"/>
      <c r="I478" s="63"/>
    </row>
    <row r="479" spans="7:9" x14ac:dyDescent="0.25">
      <c r="G479" s="63"/>
      <c r="H479" s="63"/>
      <c r="I479" s="63"/>
    </row>
    <row r="480" spans="7:9" x14ac:dyDescent="0.25">
      <c r="G480" s="63"/>
      <c r="H480" s="63"/>
      <c r="I480" s="63"/>
    </row>
    <row r="481" spans="7:9" x14ac:dyDescent="0.25">
      <c r="G481" s="63"/>
      <c r="H481" s="63"/>
      <c r="I481" s="63"/>
    </row>
    <row r="482" spans="7:9" x14ac:dyDescent="0.25">
      <c r="G482" s="63"/>
      <c r="H482" s="63"/>
      <c r="I482" s="63"/>
    </row>
    <row r="483" spans="7:9" x14ac:dyDescent="0.25">
      <c r="G483" s="63"/>
      <c r="H483" s="63"/>
      <c r="I483" s="63"/>
    </row>
    <row r="484" spans="7:9" x14ac:dyDescent="0.25">
      <c r="G484" s="63"/>
      <c r="H484" s="63"/>
      <c r="I484" s="63"/>
    </row>
    <row r="485" spans="7:9" x14ac:dyDescent="0.25">
      <c r="G485" s="63"/>
      <c r="H485" s="63"/>
      <c r="I485" s="63"/>
    </row>
    <row r="486" spans="7:9" x14ac:dyDescent="0.25">
      <c r="G486" s="63"/>
      <c r="H486" s="63"/>
      <c r="I486" s="63"/>
    </row>
    <row r="487" spans="7:9" x14ac:dyDescent="0.25">
      <c r="G487" s="63"/>
      <c r="H487" s="63"/>
      <c r="I487" s="63"/>
    </row>
    <row r="488" spans="7:9" x14ac:dyDescent="0.25">
      <c r="G488" s="63"/>
      <c r="H488" s="63"/>
      <c r="I488" s="63"/>
    </row>
    <row r="489" spans="7:9" x14ac:dyDescent="0.25">
      <c r="G489" s="63"/>
      <c r="H489" s="63"/>
      <c r="I489" s="63"/>
    </row>
    <row r="490" spans="7:9" x14ac:dyDescent="0.25">
      <c r="G490" s="63"/>
      <c r="H490" s="63"/>
      <c r="I490" s="63"/>
    </row>
    <row r="491" spans="7:9" x14ac:dyDescent="0.25">
      <c r="G491" s="63"/>
      <c r="H491" s="63"/>
      <c r="I491" s="63"/>
    </row>
    <row r="492" spans="7:9" x14ac:dyDescent="0.25">
      <c r="G492" s="63"/>
      <c r="H492" s="63"/>
      <c r="I492" s="63"/>
    </row>
    <row r="493" spans="7:9" x14ac:dyDescent="0.25">
      <c r="G493" s="63"/>
      <c r="H493" s="63"/>
      <c r="I493" s="63"/>
    </row>
    <row r="494" spans="7:9" x14ac:dyDescent="0.25">
      <c r="G494" s="63"/>
      <c r="H494" s="63"/>
      <c r="I494" s="63"/>
    </row>
    <row r="495" spans="7:9" x14ac:dyDescent="0.25">
      <c r="G495" s="63"/>
      <c r="H495" s="63"/>
      <c r="I495" s="63"/>
    </row>
    <row r="496" spans="7:9" x14ac:dyDescent="0.25">
      <c r="G496" s="63"/>
      <c r="H496" s="63"/>
      <c r="I496" s="63"/>
    </row>
    <row r="497" spans="7:9" x14ac:dyDescent="0.25">
      <c r="G497" s="63"/>
      <c r="H497" s="63"/>
      <c r="I497" s="63"/>
    </row>
    <row r="498" spans="7:9" x14ac:dyDescent="0.25">
      <c r="G498" s="63"/>
      <c r="H498" s="63"/>
      <c r="I498" s="63"/>
    </row>
    <row r="499" spans="7:9" x14ac:dyDescent="0.25">
      <c r="G499" s="63"/>
      <c r="H499" s="63"/>
      <c r="I499" s="63"/>
    </row>
    <row r="500" spans="7:9" x14ac:dyDescent="0.25">
      <c r="G500" s="63"/>
      <c r="H500" s="63"/>
      <c r="I500" s="63"/>
    </row>
    <row r="501" spans="7:9" x14ac:dyDescent="0.25">
      <c r="G501" s="63"/>
      <c r="H501" s="63"/>
      <c r="I501" s="63"/>
    </row>
    <row r="502" spans="7:9" x14ac:dyDescent="0.25">
      <c r="G502" s="63"/>
      <c r="H502" s="63"/>
      <c r="I502" s="63"/>
    </row>
    <row r="503" spans="7:9" x14ac:dyDescent="0.25">
      <c r="G503" s="63"/>
      <c r="H503" s="63"/>
      <c r="I503" s="63"/>
    </row>
    <row r="504" spans="7:9" x14ac:dyDescent="0.25">
      <c r="G504" s="63"/>
      <c r="H504" s="63"/>
      <c r="I504" s="63"/>
    </row>
    <row r="505" spans="7:9" x14ac:dyDescent="0.25">
      <c r="G505" s="63"/>
      <c r="H505" s="63"/>
      <c r="I505" s="63"/>
    </row>
    <row r="506" spans="7:9" x14ac:dyDescent="0.25">
      <c r="G506" s="63"/>
      <c r="H506" s="63"/>
      <c r="I506" s="63"/>
    </row>
    <row r="507" spans="7:9" x14ac:dyDescent="0.25">
      <c r="G507" s="63"/>
      <c r="H507" s="63"/>
      <c r="I507" s="63"/>
    </row>
    <row r="508" spans="7:9" x14ac:dyDescent="0.25">
      <c r="G508" s="63"/>
      <c r="H508" s="63"/>
      <c r="I508" s="63"/>
    </row>
    <row r="509" spans="7:9" x14ac:dyDescent="0.25">
      <c r="G509" s="63"/>
      <c r="H509" s="63"/>
      <c r="I509" s="63"/>
    </row>
    <row r="510" spans="7:9" x14ac:dyDescent="0.25">
      <c r="G510" s="63"/>
      <c r="H510" s="63"/>
      <c r="I510" s="63"/>
    </row>
    <row r="511" spans="7:9" x14ac:dyDescent="0.25">
      <c r="G511" s="63"/>
      <c r="H511" s="63"/>
      <c r="I511" s="63"/>
    </row>
    <row r="512" spans="7:9" x14ac:dyDescent="0.25">
      <c r="G512" s="63"/>
      <c r="H512" s="63"/>
      <c r="I512" s="63"/>
    </row>
    <row r="513" spans="7:9" x14ac:dyDescent="0.25">
      <c r="G513" s="63"/>
      <c r="H513" s="63"/>
      <c r="I513" s="63"/>
    </row>
    <row r="514" spans="7:9" x14ac:dyDescent="0.25">
      <c r="G514" s="63"/>
      <c r="H514" s="63"/>
      <c r="I514" s="63"/>
    </row>
    <row r="515" spans="7:9" x14ac:dyDescent="0.25">
      <c r="G515" s="63"/>
      <c r="H515" s="63"/>
      <c r="I515" s="63"/>
    </row>
    <row r="516" spans="7:9" x14ac:dyDescent="0.25">
      <c r="G516" s="63"/>
      <c r="H516" s="63"/>
      <c r="I516" s="63"/>
    </row>
    <row r="517" spans="7:9" x14ac:dyDescent="0.25">
      <c r="G517" s="63"/>
      <c r="H517" s="63"/>
      <c r="I517" s="63"/>
    </row>
    <row r="518" spans="7:9" x14ac:dyDescent="0.25">
      <c r="G518" s="63"/>
      <c r="H518" s="63"/>
      <c r="I518" s="63"/>
    </row>
    <row r="519" spans="7:9" x14ac:dyDescent="0.25">
      <c r="G519" s="63"/>
      <c r="H519" s="63"/>
      <c r="I519" s="63"/>
    </row>
    <row r="520" spans="7:9" x14ac:dyDescent="0.25">
      <c r="G520" s="63"/>
      <c r="H520" s="63"/>
      <c r="I520" s="63"/>
    </row>
    <row r="521" spans="7:9" x14ac:dyDescent="0.25">
      <c r="G521" s="63"/>
      <c r="H521" s="63"/>
      <c r="I521" s="63"/>
    </row>
    <row r="522" spans="7:9" x14ac:dyDescent="0.25">
      <c r="G522" s="63"/>
      <c r="H522" s="63"/>
      <c r="I522" s="63"/>
    </row>
    <row r="523" spans="7:9" x14ac:dyDescent="0.25">
      <c r="G523" s="63"/>
      <c r="H523" s="63"/>
      <c r="I523" s="63"/>
    </row>
    <row r="524" spans="7:9" x14ac:dyDescent="0.25">
      <c r="G524" s="63"/>
      <c r="H524" s="63"/>
      <c r="I524" s="63"/>
    </row>
    <row r="525" spans="7:9" x14ac:dyDescent="0.25">
      <c r="G525" s="63"/>
      <c r="H525" s="63"/>
      <c r="I525" s="63"/>
    </row>
    <row r="526" spans="7:9" x14ac:dyDescent="0.25">
      <c r="G526" s="63"/>
      <c r="H526" s="63"/>
      <c r="I526" s="63"/>
    </row>
    <row r="527" spans="7:9" x14ac:dyDescent="0.25">
      <c r="G527" s="63"/>
      <c r="H527" s="63"/>
      <c r="I527" s="63"/>
    </row>
    <row r="528" spans="7:9" x14ac:dyDescent="0.25">
      <c r="G528" s="63"/>
      <c r="H528" s="63"/>
      <c r="I528" s="63"/>
    </row>
    <row r="529" spans="7:9" x14ac:dyDescent="0.25">
      <c r="G529" s="63"/>
      <c r="H529" s="63"/>
      <c r="I529" s="63"/>
    </row>
    <row r="530" spans="7:9" x14ac:dyDescent="0.25">
      <c r="G530" s="63"/>
      <c r="H530" s="63"/>
      <c r="I530" s="63"/>
    </row>
    <row r="531" spans="7:9" x14ac:dyDescent="0.25">
      <c r="G531" s="63"/>
      <c r="H531" s="63"/>
      <c r="I531" s="63"/>
    </row>
    <row r="532" spans="7:9" x14ac:dyDescent="0.25">
      <c r="G532" s="63"/>
      <c r="H532" s="63"/>
      <c r="I532" s="63"/>
    </row>
    <row r="533" spans="7:9" x14ac:dyDescent="0.25">
      <c r="G533" s="63"/>
      <c r="H533" s="63"/>
      <c r="I533" s="63"/>
    </row>
    <row r="534" spans="7:9" x14ac:dyDescent="0.25">
      <c r="G534" s="63"/>
      <c r="H534" s="63"/>
      <c r="I534" s="63"/>
    </row>
    <row r="535" spans="7:9" x14ac:dyDescent="0.25">
      <c r="G535" s="63"/>
      <c r="H535" s="63"/>
      <c r="I535" s="63"/>
    </row>
    <row r="536" spans="7:9" x14ac:dyDescent="0.25">
      <c r="G536" s="63"/>
      <c r="H536" s="63"/>
      <c r="I536" s="63"/>
    </row>
    <row r="537" spans="7:9" x14ac:dyDescent="0.25">
      <c r="G537" s="63"/>
      <c r="H537" s="63"/>
      <c r="I537" s="63"/>
    </row>
    <row r="538" spans="7:9" x14ac:dyDescent="0.25">
      <c r="G538" s="63"/>
      <c r="H538" s="63"/>
      <c r="I538" s="63"/>
    </row>
    <row r="539" spans="7:9" x14ac:dyDescent="0.25">
      <c r="G539" s="63"/>
      <c r="H539" s="63"/>
      <c r="I539" s="63"/>
    </row>
    <row r="540" spans="7:9" x14ac:dyDescent="0.25">
      <c r="G540" s="63"/>
      <c r="H540" s="63"/>
      <c r="I540" s="63"/>
    </row>
    <row r="541" spans="7:9" x14ac:dyDescent="0.25">
      <c r="G541" s="63"/>
      <c r="H541" s="63"/>
      <c r="I541" s="63"/>
    </row>
    <row r="542" spans="7:9" x14ac:dyDescent="0.25">
      <c r="G542" s="63"/>
      <c r="H542" s="63"/>
      <c r="I542" s="63"/>
    </row>
    <row r="543" spans="7:9" x14ac:dyDescent="0.25">
      <c r="G543" s="63"/>
      <c r="H543" s="63"/>
      <c r="I543" s="63"/>
    </row>
    <row r="544" spans="7:9" x14ac:dyDescent="0.25">
      <c r="G544" s="63"/>
      <c r="H544" s="63"/>
      <c r="I544" s="63"/>
    </row>
    <row r="545" spans="7:9" x14ac:dyDescent="0.25">
      <c r="G545" s="63"/>
      <c r="H545" s="63"/>
      <c r="I545" s="63"/>
    </row>
    <row r="546" spans="7:9" x14ac:dyDescent="0.25">
      <c r="G546" s="63"/>
      <c r="H546" s="63"/>
      <c r="I546" s="63"/>
    </row>
    <row r="547" spans="7:9" x14ac:dyDescent="0.25">
      <c r="G547" s="63"/>
      <c r="H547" s="63"/>
      <c r="I547" s="63"/>
    </row>
    <row r="548" spans="7:9" x14ac:dyDescent="0.25">
      <c r="G548" s="63"/>
      <c r="H548" s="63"/>
      <c r="I548" s="63"/>
    </row>
    <row r="549" spans="7:9" x14ac:dyDescent="0.25">
      <c r="G549" s="63"/>
      <c r="H549" s="63"/>
      <c r="I549" s="63"/>
    </row>
    <row r="550" spans="7:9" x14ac:dyDescent="0.25">
      <c r="G550" s="63"/>
      <c r="H550" s="63"/>
      <c r="I550" s="63"/>
    </row>
    <row r="551" spans="7:9" x14ac:dyDescent="0.25">
      <c r="G551" s="63"/>
      <c r="H551" s="63"/>
      <c r="I551" s="63"/>
    </row>
    <row r="552" spans="7:9" x14ac:dyDescent="0.25">
      <c r="G552" s="63"/>
      <c r="H552" s="63"/>
      <c r="I552" s="63"/>
    </row>
    <row r="553" spans="7:9" x14ac:dyDescent="0.25">
      <c r="G553" s="63"/>
      <c r="H553" s="63"/>
      <c r="I553" s="63"/>
    </row>
    <row r="554" spans="7:9" x14ac:dyDescent="0.25">
      <c r="G554" s="63"/>
      <c r="H554" s="63"/>
      <c r="I554" s="63"/>
    </row>
    <row r="555" spans="7:9" x14ac:dyDescent="0.25">
      <c r="G555" s="63"/>
      <c r="H555" s="63"/>
      <c r="I555" s="63"/>
    </row>
    <row r="556" spans="7:9" x14ac:dyDescent="0.25">
      <c r="G556" s="63"/>
      <c r="H556" s="63"/>
      <c r="I556" s="63"/>
    </row>
    <row r="557" spans="7:9" x14ac:dyDescent="0.25">
      <c r="G557" s="63"/>
      <c r="H557" s="63"/>
      <c r="I557" s="63"/>
    </row>
    <row r="558" spans="7:9" x14ac:dyDescent="0.25">
      <c r="G558" s="63"/>
      <c r="H558" s="63"/>
      <c r="I558" s="63"/>
    </row>
    <row r="559" spans="7:9" x14ac:dyDescent="0.25">
      <c r="G559" s="63"/>
      <c r="H559" s="63"/>
      <c r="I559" s="63"/>
    </row>
    <row r="560" spans="7:9" x14ac:dyDescent="0.25">
      <c r="G560" s="63"/>
      <c r="H560" s="63"/>
      <c r="I560" s="63"/>
    </row>
    <row r="561" spans="7:9" x14ac:dyDescent="0.25">
      <c r="G561" s="63"/>
      <c r="H561" s="63"/>
      <c r="I561" s="63"/>
    </row>
    <row r="562" spans="7:9" x14ac:dyDescent="0.25">
      <c r="G562" s="63"/>
      <c r="H562" s="63"/>
      <c r="I562" s="63"/>
    </row>
    <row r="563" spans="7:9" x14ac:dyDescent="0.25">
      <c r="G563" s="63"/>
      <c r="H563" s="63"/>
      <c r="I563" s="63"/>
    </row>
    <row r="564" spans="7:9" x14ac:dyDescent="0.25">
      <c r="G564" s="63"/>
      <c r="H564" s="63"/>
      <c r="I564" s="63"/>
    </row>
    <row r="565" spans="7:9" x14ac:dyDescent="0.25">
      <c r="G565" s="63"/>
      <c r="H565" s="63"/>
      <c r="I565" s="63"/>
    </row>
    <row r="566" spans="7:9" x14ac:dyDescent="0.25">
      <c r="G566" s="63"/>
      <c r="H566" s="63"/>
      <c r="I566" s="63"/>
    </row>
    <row r="567" spans="7:9" x14ac:dyDescent="0.25">
      <c r="G567" s="63"/>
      <c r="H567" s="63"/>
      <c r="I567" s="63"/>
    </row>
    <row r="568" spans="7:9" x14ac:dyDescent="0.25">
      <c r="G568" s="63"/>
      <c r="H568" s="63"/>
      <c r="I568" s="63"/>
    </row>
    <row r="569" spans="7:9" x14ac:dyDescent="0.25">
      <c r="G569" s="63"/>
      <c r="H569" s="63"/>
      <c r="I569" s="63"/>
    </row>
    <row r="570" spans="7:9" x14ac:dyDescent="0.25">
      <c r="G570" s="63"/>
      <c r="H570" s="63"/>
      <c r="I570" s="63"/>
    </row>
    <row r="571" spans="7:9" x14ac:dyDescent="0.25">
      <c r="G571" s="63"/>
      <c r="H571" s="63"/>
      <c r="I571" s="63"/>
    </row>
    <row r="572" spans="7:9" x14ac:dyDescent="0.25">
      <c r="G572" s="63"/>
      <c r="H572" s="63"/>
      <c r="I572" s="63"/>
    </row>
    <row r="573" spans="7:9" x14ac:dyDescent="0.25">
      <c r="G573" s="63"/>
      <c r="H573" s="63"/>
      <c r="I573" s="63"/>
    </row>
    <row r="574" spans="7:9" x14ac:dyDescent="0.25">
      <c r="G574" s="63"/>
      <c r="H574" s="63"/>
      <c r="I574" s="63"/>
    </row>
    <row r="575" spans="7:9" x14ac:dyDescent="0.25">
      <c r="G575" s="63"/>
      <c r="H575" s="63"/>
      <c r="I575" s="63"/>
    </row>
    <row r="576" spans="7:9" x14ac:dyDescent="0.25">
      <c r="G576" s="63"/>
      <c r="H576" s="63"/>
      <c r="I576" s="63"/>
    </row>
    <row r="577" spans="7:9" x14ac:dyDescent="0.25">
      <c r="G577" s="63"/>
      <c r="H577" s="63"/>
      <c r="I577" s="63"/>
    </row>
    <row r="578" spans="7:9" x14ac:dyDescent="0.25">
      <c r="G578" s="63"/>
      <c r="H578" s="63"/>
      <c r="I578" s="63"/>
    </row>
    <row r="579" spans="7:9" x14ac:dyDescent="0.25">
      <c r="G579" s="63"/>
      <c r="H579" s="63"/>
      <c r="I579" s="63"/>
    </row>
    <row r="580" spans="7:9" x14ac:dyDescent="0.25">
      <c r="G580" s="63"/>
      <c r="H580" s="63"/>
      <c r="I580" s="63"/>
    </row>
    <row r="581" spans="7:9" x14ac:dyDescent="0.25">
      <c r="G581" s="63"/>
      <c r="H581" s="63"/>
      <c r="I581" s="63"/>
    </row>
    <row r="582" spans="7:9" x14ac:dyDescent="0.25">
      <c r="G582" s="63"/>
      <c r="H582" s="63"/>
      <c r="I582" s="63"/>
    </row>
    <row r="583" spans="7:9" x14ac:dyDescent="0.25">
      <c r="G583" s="63"/>
      <c r="H583" s="63"/>
      <c r="I583" s="63"/>
    </row>
    <row r="584" spans="7:9" x14ac:dyDescent="0.25">
      <c r="G584" s="63"/>
      <c r="H584" s="63"/>
      <c r="I584" s="63"/>
    </row>
    <row r="585" spans="7:9" x14ac:dyDescent="0.25">
      <c r="G585" s="63"/>
      <c r="H585" s="63"/>
      <c r="I585" s="63"/>
    </row>
    <row r="586" spans="7:9" x14ac:dyDescent="0.25">
      <c r="G586" s="63"/>
      <c r="H586" s="63"/>
      <c r="I586" s="63"/>
    </row>
    <row r="587" spans="7:9" x14ac:dyDescent="0.25">
      <c r="G587" s="63"/>
      <c r="H587" s="63"/>
      <c r="I587" s="63"/>
    </row>
    <row r="588" spans="7:9" x14ac:dyDescent="0.25">
      <c r="G588" s="63"/>
      <c r="H588" s="63"/>
      <c r="I588" s="63"/>
    </row>
    <row r="589" spans="7:9" x14ac:dyDescent="0.25">
      <c r="G589" s="63"/>
      <c r="H589" s="63"/>
      <c r="I589" s="63"/>
    </row>
    <row r="590" spans="7:9" x14ac:dyDescent="0.25">
      <c r="G590" s="63"/>
      <c r="H590" s="63"/>
      <c r="I590" s="63"/>
    </row>
    <row r="591" spans="7:9" x14ac:dyDescent="0.25">
      <c r="G591" s="63"/>
      <c r="H591" s="63"/>
      <c r="I591" s="63"/>
    </row>
    <row r="592" spans="7:9" x14ac:dyDescent="0.25">
      <c r="G592" s="63"/>
      <c r="H592" s="63"/>
      <c r="I592" s="63"/>
    </row>
    <row r="593" spans="7:9" x14ac:dyDescent="0.25">
      <c r="G593" s="63"/>
      <c r="H593" s="63"/>
      <c r="I593" s="63"/>
    </row>
    <row r="594" spans="7:9" x14ac:dyDescent="0.25">
      <c r="G594" s="63"/>
      <c r="H594" s="63"/>
      <c r="I594" s="63"/>
    </row>
    <row r="595" spans="7:9" x14ac:dyDescent="0.25">
      <c r="G595" s="63"/>
      <c r="H595" s="63"/>
      <c r="I595" s="63"/>
    </row>
    <row r="596" spans="7:9" x14ac:dyDescent="0.25">
      <c r="G596" s="63"/>
      <c r="H596" s="63"/>
      <c r="I596" s="63"/>
    </row>
    <row r="597" spans="7:9" x14ac:dyDescent="0.25">
      <c r="G597" s="63"/>
      <c r="H597" s="63"/>
      <c r="I597" s="63"/>
    </row>
    <row r="598" spans="7:9" x14ac:dyDescent="0.25">
      <c r="G598" s="63"/>
      <c r="H598" s="63"/>
      <c r="I598" s="63"/>
    </row>
    <row r="599" spans="7:9" x14ac:dyDescent="0.25">
      <c r="G599" s="63"/>
      <c r="H599" s="63"/>
      <c r="I599" s="63"/>
    </row>
    <row r="600" spans="7:9" x14ac:dyDescent="0.25">
      <c r="G600" s="63"/>
      <c r="H600" s="63"/>
      <c r="I600" s="63"/>
    </row>
    <row r="601" spans="7:9" x14ac:dyDescent="0.25">
      <c r="G601" s="63"/>
      <c r="H601" s="63"/>
      <c r="I601" s="63"/>
    </row>
    <row r="602" spans="7:9" x14ac:dyDescent="0.25">
      <c r="G602" s="63"/>
      <c r="H602" s="63"/>
      <c r="I602" s="63"/>
    </row>
    <row r="603" spans="7:9" x14ac:dyDescent="0.25">
      <c r="G603" s="63"/>
      <c r="H603" s="63"/>
      <c r="I603" s="63"/>
    </row>
    <row r="604" spans="7:9" x14ac:dyDescent="0.25">
      <c r="G604" s="63"/>
      <c r="H604" s="63"/>
      <c r="I604" s="63"/>
    </row>
    <row r="605" spans="7:9" x14ac:dyDescent="0.25">
      <c r="G605" s="63"/>
      <c r="H605" s="63"/>
      <c r="I605" s="63"/>
    </row>
    <row r="606" spans="7:9" x14ac:dyDescent="0.25">
      <c r="G606" s="63"/>
      <c r="H606" s="63"/>
      <c r="I606" s="63"/>
    </row>
    <row r="607" spans="7:9" x14ac:dyDescent="0.25">
      <c r="G607" s="63"/>
      <c r="H607" s="63"/>
      <c r="I607" s="63"/>
    </row>
    <row r="608" spans="7:9" x14ac:dyDescent="0.25">
      <c r="G608" s="63"/>
      <c r="H608" s="63"/>
      <c r="I608" s="63"/>
    </row>
    <row r="609" spans="7:9" x14ac:dyDescent="0.25">
      <c r="G609" s="63"/>
      <c r="H609" s="63"/>
      <c r="I609" s="63"/>
    </row>
    <row r="610" spans="7:9" x14ac:dyDescent="0.25">
      <c r="G610" s="63"/>
      <c r="H610" s="63"/>
      <c r="I610" s="63"/>
    </row>
    <row r="611" spans="7:9" x14ac:dyDescent="0.25">
      <c r="G611" s="63"/>
      <c r="H611" s="63"/>
      <c r="I611" s="63"/>
    </row>
    <row r="612" spans="7:9" x14ac:dyDescent="0.25">
      <c r="G612" s="63"/>
      <c r="H612" s="63"/>
      <c r="I612" s="63"/>
    </row>
    <row r="613" spans="7:9" x14ac:dyDescent="0.25">
      <c r="G613" s="63"/>
      <c r="H613" s="63"/>
      <c r="I613" s="63"/>
    </row>
    <row r="614" spans="7:9" x14ac:dyDescent="0.25">
      <c r="G614" s="63"/>
      <c r="H614" s="63"/>
      <c r="I614" s="63"/>
    </row>
    <row r="615" spans="7:9" x14ac:dyDescent="0.25">
      <c r="G615" s="63"/>
      <c r="H615" s="63"/>
      <c r="I615" s="63"/>
    </row>
    <row r="616" spans="7:9" x14ac:dyDescent="0.25">
      <c r="G616" s="63"/>
      <c r="H616" s="63"/>
      <c r="I616" s="63"/>
    </row>
    <row r="617" spans="7:9" x14ac:dyDescent="0.25">
      <c r="G617" s="63"/>
      <c r="H617" s="63"/>
      <c r="I617" s="63"/>
    </row>
    <row r="618" spans="7:9" x14ac:dyDescent="0.25">
      <c r="G618" s="63"/>
      <c r="H618" s="63"/>
      <c r="I618" s="63"/>
    </row>
    <row r="619" spans="7:9" x14ac:dyDescent="0.25">
      <c r="G619" s="63"/>
      <c r="H619" s="63"/>
      <c r="I619" s="63"/>
    </row>
    <row r="620" spans="7:9" x14ac:dyDescent="0.25">
      <c r="G620" s="63"/>
      <c r="H620" s="63"/>
      <c r="I620" s="63"/>
    </row>
    <row r="621" spans="7:9" x14ac:dyDescent="0.25">
      <c r="G621" s="63"/>
      <c r="H621" s="63"/>
      <c r="I621" s="63"/>
    </row>
    <row r="622" spans="7:9" x14ac:dyDescent="0.25">
      <c r="G622" s="63"/>
      <c r="H622" s="63"/>
      <c r="I622" s="63"/>
    </row>
    <row r="623" spans="7:9" x14ac:dyDescent="0.25">
      <c r="G623" s="63"/>
      <c r="H623" s="63"/>
      <c r="I623" s="63"/>
    </row>
    <row r="624" spans="7:9" x14ac:dyDescent="0.25">
      <c r="G624" s="63"/>
      <c r="H624" s="63"/>
      <c r="I624" s="63"/>
    </row>
    <row r="625" spans="7:9" x14ac:dyDescent="0.25">
      <c r="G625" s="63"/>
      <c r="H625" s="63"/>
      <c r="I625" s="63"/>
    </row>
    <row r="626" spans="7:9" x14ac:dyDescent="0.25">
      <c r="G626" s="63"/>
      <c r="H626" s="63"/>
      <c r="I626" s="63"/>
    </row>
    <row r="627" spans="7:9" x14ac:dyDescent="0.25">
      <c r="G627" s="63"/>
      <c r="H627" s="63"/>
      <c r="I627" s="63"/>
    </row>
    <row r="628" spans="7:9" x14ac:dyDescent="0.25">
      <c r="G628" s="63"/>
      <c r="H628" s="63"/>
      <c r="I628" s="63"/>
    </row>
    <row r="629" spans="7:9" x14ac:dyDescent="0.25">
      <c r="G629" s="63"/>
      <c r="H629" s="63"/>
      <c r="I629" s="63"/>
    </row>
    <row r="630" spans="7:9" x14ac:dyDescent="0.25">
      <c r="G630" s="63"/>
      <c r="H630" s="63"/>
      <c r="I630" s="63"/>
    </row>
    <row r="631" spans="7:9" x14ac:dyDescent="0.25">
      <c r="G631" s="63"/>
      <c r="H631" s="63"/>
      <c r="I631" s="63"/>
    </row>
    <row r="632" spans="7:9" x14ac:dyDescent="0.25">
      <c r="G632" s="63"/>
      <c r="H632" s="63"/>
      <c r="I632" s="63"/>
    </row>
    <row r="633" spans="7:9" x14ac:dyDescent="0.25">
      <c r="G633" s="63"/>
      <c r="H633" s="63"/>
      <c r="I633" s="63"/>
    </row>
    <row r="634" spans="7:9" x14ac:dyDescent="0.25">
      <c r="G634" s="63"/>
      <c r="H634" s="63"/>
      <c r="I634" s="63"/>
    </row>
    <row r="635" spans="7:9" x14ac:dyDescent="0.25">
      <c r="G635" s="63"/>
      <c r="H635" s="63"/>
      <c r="I635" s="63"/>
    </row>
    <row r="636" spans="7:9" x14ac:dyDescent="0.25">
      <c r="G636" s="63"/>
      <c r="H636" s="63"/>
      <c r="I636" s="63"/>
    </row>
    <row r="637" spans="7:9" x14ac:dyDescent="0.25">
      <c r="G637" s="63"/>
      <c r="H637" s="63"/>
      <c r="I637" s="63"/>
    </row>
    <row r="638" spans="7:9" x14ac:dyDescent="0.25">
      <c r="G638" s="63"/>
      <c r="H638" s="63"/>
      <c r="I638" s="63"/>
    </row>
    <row r="639" spans="7:9" x14ac:dyDescent="0.25">
      <c r="G639" s="63"/>
      <c r="H639" s="63"/>
      <c r="I639" s="63"/>
    </row>
    <row r="640" spans="7:9" x14ac:dyDescent="0.25">
      <c r="G640" s="63"/>
      <c r="H640" s="63"/>
      <c r="I640" s="63"/>
    </row>
    <row r="641" spans="7:9" x14ac:dyDescent="0.25">
      <c r="G641" s="63"/>
      <c r="H641" s="63"/>
      <c r="I641" s="63"/>
    </row>
    <row r="642" spans="7:9" x14ac:dyDescent="0.25">
      <c r="G642" s="63"/>
      <c r="H642" s="63"/>
      <c r="I642" s="63"/>
    </row>
    <row r="643" spans="7:9" x14ac:dyDescent="0.25">
      <c r="G643" s="63"/>
      <c r="H643" s="63"/>
      <c r="I643" s="63"/>
    </row>
    <row r="644" spans="7:9" x14ac:dyDescent="0.25">
      <c r="G644" s="63"/>
      <c r="H644" s="63"/>
      <c r="I644" s="63"/>
    </row>
    <row r="645" spans="7:9" x14ac:dyDescent="0.25">
      <c r="G645" s="63"/>
      <c r="H645" s="63"/>
      <c r="I645" s="63"/>
    </row>
    <row r="646" spans="7:9" x14ac:dyDescent="0.25">
      <c r="G646" s="63"/>
      <c r="H646" s="63"/>
      <c r="I646" s="63"/>
    </row>
    <row r="647" spans="7:9" x14ac:dyDescent="0.25">
      <c r="G647" s="63"/>
      <c r="H647" s="63"/>
      <c r="I647" s="63"/>
    </row>
    <row r="648" spans="7:9" x14ac:dyDescent="0.25">
      <c r="G648" s="63"/>
      <c r="H648" s="63"/>
      <c r="I648" s="63"/>
    </row>
    <row r="649" spans="7:9" x14ac:dyDescent="0.25">
      <c r="G649" s="63"/>
      <c r="H649" s="63"/>
      <c r="I649" s="63"/>
    </row>
    <row r="650" spans="7:9" x14ac:dyDescent="0.25">
      <c r="G650" s="63"/>
      <c r="H650" s="63"/>
      <c r="I650" s="63"/>
    </row>
    <row r="651" spans="7:9" x14ac:dyDescent="0.25">
      <c r="G651" s="63"/>
      <c r="H651" s="63"/>
      <c r="I651" s="63"/>
    </row>
    <row r="652" spans="7:9" x14ac:dyDescent="0.25">
      <c r="G652" s="63"/>
      <c r="H652" s="63"/>
      <c r="I652" s="63"/>
    </row>
    <row r="653" spans="7:9" x14ac:dyDescent="0.25">
      <c r="G653" s="63"/>
      <c r="H653" s="63"/>
      <c r="I653" s="63"/>
    </row>
    <row r="654" spans="7:9" x14ac:dyDescent="0.25">
      <c r="G654" s="63"/>
      <c r="H654" s="63"/>
      <c r="I654" s="63"/>
    </row>
    <row r="655" spans="7:9" x14ac:dyDescent="0.25">
      <c r="G655" s="63"/>
      <c r="H655" s="63"/>
      <c r="I655" s="63"/>
    </row>
    <row r="656" spans="7:9" x14ac:dyDescent="0.25">
      <c r="G656" s="63"/>
      <c r="H656" s="63"/>
      <c r="I656" s="63"/>
    </row>
    <row r="657" spans="7:9" x14ac:dyDescent="0.25">
      <c r="G657" s="63"/>
      <c r="H657" s="63"/>
      <c r="I657" s="63"/>
    </row>
    <row r="658" spans="7:9" x14ac:dyDescent="0.25">
      <c r="G658" s="63"/>
      <c r="H658" s="63"/>
      <c r="I658" s="63"/>
    </row>
    <row r="659" spans="7:9" x14ac:dyDescent="0.25">
      <c r="G659" s="63"/>
      <c r="H659" s="63"/>
      <c r="I659" s="63"/>
    </row>
    <row r="660" spans="7:9" x14ac:dyDescent="0.25">
      <c r="G660" s="63"/>
      <c r="H660" s="63"/>
      <c r="I660" s="63"/>
    </row>
    <row r="661" spans="7:9" x14ac:dyDescent="0.25">
      <c r="G661" s="63"/>
      <c r="H661" s="63"/>
      <c r="I661" s="63"/>
    </row>
    <row r="662" spans="7:9" x14ac:dyDescent="0.25">
      <c r="G662" s="63"/>
      <c r="H662" s="63"/>
      <c r="I662" s="63"/>
    </row>
    <row r="663" spans="7:9" x14ac:dyDescent="0.25">
      <c r="G663" s="63"/>
      <c r="H663" s="63"/>
      <c r="I663" s="63"/>
    </row>
    <row r="664" spans="7:9" x14ac:dyDescent="0.25">
      <c r="G664" s="63"/>
      <c r="H664" s="63"/>
      <c r="I664" s="63"/>
    </row>
    <row r="665" spans="7:9" x14ac:dyDescent="0.25">
      <c r="G665" s="63"/>
      <c r="H665" s="63"/>
      <c r="I665" s="63"/>
    </row>
    <row r="666" spans="7:9" x14ac:dyDescent="0.25">
      <c r="G666" s="63"/>
      <c r="H666" s="63"/>
      <c r="I666" s="63"/>
    </row>
    <row r="667" spans="7:9" x14ac:dyDescent="0.25">
      <c r="G667" s="63"/>
      <c r="H667" s="63"/>
      <c r="I667" s="63"/>
    </row>
    <row r="668" spans="7:9" x14ac:dyDescent="0.25">
      <c r="G668" s="63"/>
      <c r="H668" s="63"/>
      <c r="I668" s="63"/>
    </row>
    <row r="669" spans="7:9" x14ac:dyDescent="0.25">
      <c r="G669" s="63"/>
      <c r="H669" s="63"/>
      <c r="I669" s="63"/>
    </row>
    <row r="670" spans="7:9" x14ac:dyDescent="0.25">
      <c r="G670" s="63"/>
      <c r="H670" s="63"/>
      <c r="I670" s="63"/>
    </row>
    <row r="671" spans="7:9" x14ac:dyDescent="0.25">
      <c r="G671" s="63"/>
      <c r="H671" s="63"/>
      <c r="I671" s="63"/>
    </row>
    <row r="672" spans="7:9" x14ac:dyDescent="0.25">
      <c r="G672" s="63"/>
      <c r="H672" s="63"/>
      <c r="I672" s="63"/>
    </row>
    <row r="673" spans="7:9" x14ac:dyDescent="0.25">
      <c r="G673" s="63"/>
      <c r="H673" s="63"/>
      <c r="I673" s="63"/>
    </row>
    <row r="674" spans="7:9" x14ac:dyDescent="0.25">
      <c r="G674" s="63"/>
      <c r="H674" s="63"/>
      <c r="I674" s="63"/>
    </row>
    <row r="675" spans="7:9" x14ac:dyDescent="0.25">
      <c r="G675" s="63"/>
      <c r="H675" s="63"/>
      <c r="I675" s="63"/>
    </row>
    <row r="676" spans="7:9" x14ac:dyDescent="0.25">
      <c r="G676" s="63"/>
      <c r="H676" s="63"/>
      <c r="I676" s="63"/>
    </row>
    <row r="677" spans="7:9" x14ac:dyDescent="0.25">
      <c r="G677" s="63"/>
      <c r="H677" s="63"/>
      <c r="I677" s="63"/>
    </row>
    <row r="678" spans="7:9" x14ac:dyDescent="0.25">
      <c r="G678" s="63"/>
      <c r="H678" s="63"/>
      <c r="I678" s="63"/>
    </row>
    <row r="679" spans="7:9" x14ac:dyDescent="0.25">
      <c r="G679" s="63"/>
      <c r="H679" s="63"/>
      <c r="I679" s="63"/>
    </row>
    <row r="680" spans="7:9" x14ac:dyDescent="0.25">
      <c r="G680" s="63"/>
      <c r="H680" s="63"/>
      <c r="I680" s="63"/>
    </row>
    <row r="681" spans="7:9" x14ac:dyDescent="0.25">
      <c r="G681" s="63"/>
      <c r="H681" s="63"/>
      <c r="I681" s="63"/>
    </row>
    <row r="682" spans="7:9" x14ac:dyDescent="0.25">
      <c r="G682" s="63"/>
      <c r="H682" s="63"/>
      <c r="I682" s="63"/>
    </row>
    <row r="683" spans="7:9" x14ac:dyDescent="0.25">
      <c r="G683" s="63"/>
      <c r="H683" s="63"/>
      <c r="I683" s="63"/>
    </row>
    <row r="684" spans="7:9" x14ac:dyDescent="0.25">
      <c r="G684" s="63"/>
      <c r="H684" s="63"/>
      <c r="I684" s="63"/>
    </row>
    <row r="685" spans="7:9" x14ac:dyDescent="0.25">
      <c r="G685" s="63"/>
      <c r="H685" s="63"/>
      <c r="I685" s="63"/>
    </row>
    <row r="686" spans="7:9" x14ac:dyDescent="0.25">
      <c r="G686" s="63"/>
      <c r="H686" s="63"/>
      <c r="I686" s="63"/>
    </row>
    <row r="687" spans="7:9" x14ac:dyDescent="0.25">
      <c r="G687" s="63"/>
      <c r="H687" s="63"/>
      <c r="I687" s="63"/>
    </row>
    <row r="688" spans="7:9" x14ac:dyDescent="0.25">
      <c r="G688" s="63"/>
      <c r="H688" s="63"/>
      <c r="I688" s="63"/>
    </row>
    <row r="689" spans="7:9" x14ac:dyDescent="0.25">
      <c r="G689" s="63"/>
      <c r="H689" s="63"/>
      <c r="I689" s="63"/>
    </row>
    <row r="690" spans="7:9" x14ac:dyDescent="0.25">
      <c r="G690" s="63"/>
      <c r="H690" s="63"/>
      <c r="I690" s="63"/>
    </row>
    <row r="691" spans="7:9" x14ac:dyDescent="0.25">
      <c r="G691" s="63"/>
      <c r="H691" s="63"/>
      <c r="I691" s="63"/>
    </row>
    <row r="692" spans="7:9" x14ac:dyDescent="0.25">
      <c r="G692" s="63"/>
      <c r="H692" s="63"/>
      <c r="I692" s="63"/>
    </row>
    <row r="693" spans="7:9" x14ac:dyDescent="0.25">
      <c r="G693" s="63"/>
      <c r="H693" s="63"/>
      <c r="I693" s="63"/>
    </row>
    <row r="694" spans="7:9" x14ac:dyDescent="0.25">
      <c r="G694" s="63"/>
      <c r="H694" s="63"/>
      <c r="I694" s="63"/>
    </row>
    <row r="695" spans="7:9" x14ac:dyDescent="0.25">
      <c r="G695" s="63"/>
      <c r="H695" s="63"/>
      <c r="I695" s="63"/>
    </row>
    <row r="696" spans="7:9" x14ac:dyDescent="0.25">
      <c r="G696" s="63"/>
      <c r="H696" s="63"/>
      <c r="I696" s="63"/>
    </row>
    <row r="697" spans="7:9" x14ac:dyDescent="0.25">
      <c r="G697" s="63"/>
      <c r="H697" s="63"/>
      <c r="I697" s="63"/>
    </row>
    <row r="698" spans="7:9" x14ac:dyDescent="0.25">
      <c r="G698" s="63"/>
      <c r="H698" s="63"/>
      <c r="I698" s="63"/>
    </row>
    <row r="699" spans="7:9" x14ac:dyDescent="0.25">
      <c r="G699" s="63"/>
      <c r="H699" s="63"/>
      <c r="I699" s="63"/>
    </row>
    <row r="700" spans="7:9" x14ac:dyDescent="0.25">
      <c r="G700" s="63"/>
      <c r="H700" s="63"/>
      <c r="I700" s="63"/>
    </row>
    <row r="701" spans="7:9" x14ac:dyDescent="0.25">
      <c r="G701" s="63"/>
      <c r="H701" s="63"/>
      <c r="I701" s="63"/>
    </row>
    <row r="702" spans="7:9" x14ac:dyDescent="0.25">
      <c r="G702" s="63"/>
      <c r="H702" s="63"/>
      <c r="I702" s="63"/>
    </row>
    <row r="703" spans="7:9" x14ac:dyDescent="0.25">
      <c r="G703" s="63"/>
      <c r="H703" s="63"/>
      <c r="I703" s="63"/>
    </row>
    <row r="704" spans="7:9" x14ac:dyDescent="0.25">
      <c r="G704" s="63"/>
      <c r="H704" s="63"/>
      <c r="I704" s="63"/>
    </row>
    <row r="705" spans="7:9" x14ac:dyDescent="0.25">
      <c r="G705" s="63"/>
      <c r="H705" s="63"/>
      <c r="I705" s="63"/>
    </row>
    <row r="706" spans="7:9" x14ac:dyDescent="0.25">
      <c r="G706" s="63"/>
      <c r="H706" s="63"/>
      <c r="I706" s="63"/>
    </row>
    <row r="707" spans="7:9" x14ac:dyDescent="0.25">
      <c r="G707" s="63"/>
      <c r="H707" s="63"/>
      <c r="I707" s="63"/>
    </row>
    <row r="708" spans="7:9" x14ac:dyDescent="0.25">
      <c r="G708" s="63"/>
      <c r="H708" s="63"/>
      <c r="I708" s="63"/>
    </row>
    <row r="709" spans="7:9" x14ac:dyDescent="0.25">
      <c r="G709" s="63"/>
      <c r="H709" s="63"/>
      <c r="I709" s="63"/>
    </row>
    <row r="710" spans="7:9" x14ac:dyDescent="0.25">
      <c r="G710" s="63"/>
      <c r="H710" s="63"/>
      <c r="I710" s="63"/>
    </row>
    <row r="711" spans="7:9" x14ac:dyDescent="0.25">
      <c r="G711" s="63"/>
      <c r="H711" s="63"/>
      <c r="I711" s="63"/>
    </row>
    <row r="712" spans="7:9" x14ac:dyDescent="0.25">
      <c r="G712" s="63"/>
      <c r="H712" s="63"/>
      <c r="I712" s="63"/>
    </row>
    <row r="713" spans="7:9" x14ac:dyDescent="0.25">
      <c r="G713" s="63"/>
      <c r="H713" s="63"/>
      <c r="I713" s="63"/>
    </row>
    <row r="714" spans="7:9" x14ac:dyDescent="0.25">
      <c r="G714" s="63"/>
      <c r="H714" s="63"/>
      <c r="I714" s="63"/>
    </row>
    <row r="715" spans="7:9" x14ac:dyDescent="0.25">
      <c r="G715" s="63"/>
      <c r="H715" s="63"/>
      <c r="I715" s="63"/>
    </row>
    <row r="716" spans="7:9" x14ac:dyDescent="0.25">
      <c r="G716" s="63"/>
      <c r="H716" s="63"/>
      <c r="I716" s="63"/>
    </row>
    <row r="717" spans="7:9" x14ac:dyDescent="0.25">
      <c r="G717" s="63"/>
      <c r="H717" s="63"/>
      <c r="I717" s="63"/>
    </row>
    <row r="718" spans="7:9" x14ac:dyDescent="0.25">
      <c r="G718" s="63"/>
      <c r="H718" s="63"/>
      <c r="I718" s="63"/>
    </row>
    <row r="719" spans="7:9" x14ac:dyDescent="0.25">
      <c r="G719" s="63"/>
      <c r="H719" s="63"/>
      <c r="I719" s="63"/>
    </row>
    <row r="720" spans="7:9" x14ac:dyDescent="0.25">
      <c r="G720" s="63"/>
      <c r="H720" s="63"/>
      <c r="I720" s="63"/>
    </row>
    <row r="721" spans="7:9" x14ac:dyDescent="0.25">
      <c r="G721" s="63"/>
      <c r="H721" s="63"/>
      <c r="I721" s="63"/>
    </row>
    <row r="722" spans="7:9" x14ac:dyDescent="0.25">
      <c r="G722" s="63"/>
      <c r="H722" s="63"/>
      <c r="I722" s="63"/>
    </row>
    <row r="723" spans="7:9" x14ac:dyDescent="0.25">
      <c r="G723" s="63"/>
      <c r="H723" s="63"/>
      <c r="I723" s="63"/>
    </row>
    <row r="724" spans="7:9" x14ac:dyDescent="0.25">
      <c r="G724" s="63"/>
      <c r="H724" s="63"/>
      <c r="I724" s="63"/>
    </row>
    <row r="725" spans="7:9" x14ac:dyDescent="0.25">
      <c r="G725" s="63"/>
      <c r="H725" s="63"/>
      <c r="I725" s="63"/>
    </row>
    <row r="726" spans="7:9" x14ac:dyDescent="0.25">
      <c r="G726" s="63"/>
      <c r="H726" s="63"/>
      <c r="I726" s="63"/>
    </row>
    <row r="727" spans="7:9" x14ac:dyDescent="0.25">
      <c r="G727" s="63"/>
      <c r="H727" s="63"/>
      <c r="I727" s="63"/>
    </row>
    <row r="728" spans="7:9" x14ac:dyDescent="0.25">
      <c r="G728" s="63"/>
      <c r="H728" s="63"/>
      <c r="I728" s="63"/>
    </row>
    <row r="729" spans="7:9" x14ac:dyDescent="0.25">
      <c r="G729" s="63"/>
      <c r="H729" s="63"/>
      <c r="I729" s="63"/>
    </row>
    <row r="730" spans="7:9" x14ac:dyDescent="0.25">
      <c r="G730" s="63"/>
      <c r="H730" s="63"/>
      <c r="I730" s="63"/>
    </row>
    <row r="731" spans="7:9" x14ac:dyDescent="0.25">
      <c r="G731" s="63"/>
      <c r="H731" s="63"/>
      <c r="I731" s="63"/>
    </row>
    <row r="732" spans="7:9" x14ac:dyDescent="0.25">
      <c r="G732" s="63"/>
      <c r="H732" s="63"/>
      <c r="I732" s="63"/>
    </row>
    <row r="733" spans="7:9" x14ac:dyDescent="0.25">
      <c r="G733" s="63"/>
      <c r="H733" s="63"/>
      <c r="I733" s="63"/>
    </row>
    <row r="734" spans="7:9" x14ac:dyDescent="0.25">
      <c r="G734" s="63"/>
      <c r="H734" s="63"/>
      <c r="I734" s="63"/>
    </row>
    <row r="735" spans="7:9" x14ac:dyDescent="0.25">
      <c r="G735" s="63"/>
      <c r="H735" s="63"/>
      <c r="I735" s="63"/>
    </row>
    <row r="736" spans="7:9" x14ac:dyDescent="0.25">
      <c r="G736" s="63"/>
      <c r="H736" s="63"/>
      <c r="I736" s="63"/>
    </row>
    <row r="737" spans="7:9" x14ac:dyDescent="0.25">
      <c r="G737" s="63"/>
      <c r="H737" s="63"/>
      <c r="I737" s="63"/>
    </row>
    <row r="738" spans="7:9" x14ac:dyDescent="0.25">
      <c r="G738" s="63"/>
      <c r="H738" s="63"/>
      <c r="I738" s="63"/>
    </row>
    <row r="739" spans="7:9" x14ac:dyDescent="0.25">
      <c r="G739" s="63"/>
      <c r="H739" s="63"/>
      <c r="I739" s="63"/>
    </row>
    <row r="740" spans="7:9" x14ac:dyDescent="0.25">
      <c r="G740" s="63"/>
      <c r="H740" s="63"/>
      <c r="I740" s="63"/>
    </row>
    <row r="741" spans="7:9" x14ac:dyDescent="0.25">
      <c r="G741" s="63"/>
      <c r="H741" s="63"/>
      <c r="I741" s="63"/>
    </row>
    <row r="742" spans="7:9" x14ac:dyDescent="0.25">
      <c r="G742" s="63"/>
      <c r="H742" s="63"/>
      <c r="I742" s="63"/>
    </row>
    <row r="743" spans="7:9" x14ac:dyDescent="0.25">
      <c r="G743" s="63"/>
      <c r="H743" s="63"/>
      <c r="I743" s="63"/>
    </row>
    <row r="744" spans="7:9" x14ac:dyDescent="0.25">
      <c r="G744" s="63"/>
      <c r="H744" s="63"/>
      <c r="I744" s="63"/>
    </row>
    <row r="745" spans="7:9" x14ac:dyDescent="0.25">
      <c r="G745" s="63"/>
      <c r="H745" s="63"/>
      <c r="I745" s="63"/>
    </row>
    <row r="746" spans="7:9" x14ac:dyDescent="0.25">
      <c r="G746" s="63"/>
      <c r="H746" s="63"/>
      <c r="I746" s="63"/>
    </row>
    <row r="747" spans="7:9" x14ac:dyDescent="0.25">
      <c r="G747" s="63"/>
      <c r="H747" s="63"/>
      <c r="I747" s="63"/>
    </row>
    <row r="748" spans="7:9" x14ac:dyDescent="0.25">
      <c r="G748" s="63"/>
      <c r="H748" s="63"/>
      <c r="I748" s="63"/>
    </row>
    <row r="749" spans="7:9" x14ac:dyDescent="0.25">
      <c r="G749" s="63"/>
      <c r="H749" s="63"/>
      <c r="I749" s="63"/>
    </row>
    <row r="750" spans="7:9" x14ac:dyDescent="0.25">
      <c r="G750" s="63"/>
      <c r="H750" s="63"/>
      <c r="I750" s="63"/>
    </row>
    <row r="751" spans="7:9" x14ac:dyDescent="0.25">
      <c r="G751" s="63"/>
      <c r="H751" s="63"/>
      <c r="I751" s="63"/>
    </row>
    <row r="752" spans="7:9" x14ac:dyDescent="0.25">
      <c r="G752" s="63"/>
      <c r="H752" s="63"/>
      <c r="I752" s="63"/>
    </row>
    <row r="753" spans="7:9" x14ac:dyDescent="0.25">
      <c r="G753" s="63"/>
      <c r="H753" s="63"/>
      <c r="I753" s="63"/>
    </row>
    <row r="754" spans="7:9" x14ac:dyDescent="0.25">
      <c r="G754" s="63"/>
      <c r="H754" s="63"/>
      <c r="I754" s="63"/>
    </row>
    <row r="755" spans="7:9" x14ac:dyDescent="0.25">
      <c r="G755" s="63"/>
      <c r="H755" s="63"/>
      <c r="I755" s="63"/>
    </row>
    <row r="756" spans="7:9" x14ac:dyDescent="0.25">
      <c r="G756" s="63"/>
      <c r="H756" s="63"/>
      <c r="I756" s="63"/>
    </row>
    <row r="757" spans="7:9" x14ac:dyDescent="0.25">
      <c r="G757" s="63"/>
      <c r="H757" s="63"/>
      <c r="I757" s="63"/>
    </row>
    <row r="758" spans="7:9" x14ac:dyDescent="0.25">
      <c r="G758" s="63"/>
      <c r="H758" s="63"/>
      <c r="I758" s="63"/>
    </row>
    <row r="759" spans="7:9" x14ac:dyDescent="0.25">
      <c r="G759" s="63"/>
      <c r="H759" s="63"/>
      <c r="I759" s="63"/>
    </row>
    <row r="760" spans="7:9" x14ac:dyDescent="0.25">
      <c r="G760" s="63"/>
      <c r="H760" s="63"/>
      <c r="I760" s="63"/>
    </row>
    <row r="761" spans="7:9" x14ac:dyDescent="0.25">
      <c r="G761" s="63"/>
      <c r="H761" s="63"/>
      <c r="I761" s="63"/>
    </row>
    <row r="762" spans="7:9" x14ac:dyDescent="0.25">
      <c r="G762" s="63"/>
      <c r="H762" s="63"/>
      <c r="I762" s="63"/>
    </row>
    <row r="763" spans="7:9" x14ac:dyDescent="0.25">
      <c r="G763" s="63"/>
      <c r="H763" s="63"/>
      <c r="I763" s="63"/>
    </row>
    <row r="764" spans="7:9" x14ac:dyDescent="0.25">
      <c r="G764" s="63"/>
      <c r="H764" s="63"/>
      <c r="I764" s="63"/>
    </row>
    <row r="765" spans="7:9" x14ac:dyDescent="0.25">
      <c r="G765" s="63"/>
      <c r="H765" s="63"/>
      <c r="I765" s="63"/>
    </row>
    <row r="766" spans="7:9" x14ac:dyDescent="0.25">
      <c r="G766" s="63"/>
      <c r="H766" s="63"/>
      <c r="I766" s="63"/>
    </row>
    <row r="767" spans="7:9" x14ac:dyDescent="0.25">
      <c r="G767" s="63"/>
      <c r="H767" s="63"/>
      <c r="I767" s="63"/>
    </row>
    <row r="768" spans="7:9" x14ac:dyDescent="0.25">
      <c r="G768" s="63"/>
      <c r="H768" s="63"/>
      <c r="I768" s="63"/>
    </row>
    <row r="769" spans="7:9" x14ac:dyDescent="0.25">
      <c r="G769" s="63"/>
      <c r="H769" s="63"/>
      <c r="I769" s="63"/>
    </row>
    <row r="770" spans="7:9" x14ac:dyDescent="0.25">
      <c r="G770" s="63"/>
      <c r="H770" s="63"/>
      <c r="I770" s="63"/>
    </row>
    <row r="771" spans="7:9" x14ac:dyDescent="0.25">
      <c r="G771" s="63"/>
      <c r="H771" s="63"/>
      <c r="I771" s="63"/>
    </row>
    <row r="772" spans="7:9" x14ac:dyDescent="0.25">
      <c r="G772" s="63"/>
      <c r="H772" s="63"/>
      <c r="I772" s="63"/>
    </row>
    <row r="773" spans="7:9" x14ac:dyDescent="0.25">
      <c r="G773" s="63"/>
      <c r="H773" s="63"/>
      <c r="I773" s="63"/>
    </row>
    <row r="774" spans="7:9" x14ac:dyDescent="0.25">
      <c r="G774" s="63"/>
      <c r="H774" s="63"/>
      <c r="I774" s="63"/>
    </row>
    <row r="775" spans="7:9" x14ac:dyDescent="0.25">
      <c r="G775" s="63"/>
      <c r="H775" s="63"/>
      <c r="I775" s="63"/>
    </row>
    <row r="776" spans="7:9" x14ac:dyDescent="0.25">
      <c r="G776" s="63"/>
      <c r="H776" s="63"/>
      <c r="I776" s="63"/>
    </row>
    <row r="777" spans="7:9" x14ac:dyDescent="0.25">
      <c r="G777" s="63"/>
      <c r="H777" s="63"/>
      <c r="I777" s="63"/>
    </row>
    <row r="778" spans="7:9" x14ac:dyDescent="0.25">
      <c r="G778" s="63"/>
      <c r="H778" s="63"/>
      <c r="I778" s="63"/>
    </row>
    <row r="779" spans="7:9" x14ac:dyDescent="0.25">
      <c r="G779" s="63"/>
      <c r="H779" s="63"/>
      <c r="I779" s="63"/>
    </row>
    <row r="780" spans="7:9" x14ac:dyDescent="0.25">
      <c r="G780" s="63"/>
      <c r="H780" s="63"/>
      <c r="I780" s="63"/>
    </row>
    <row r="781" spans="7:9" x14ac:dyDescent="0.25">
      <c r="G781" s="63"/>
      <c r="H781" s="63"/>
      <c r="I781" s="63"/>
    </row>
    <row r="782" spans="7:9" x14ac:dyDescent="0.25">
      <c r="G782" s="63"/>
      <c r="H782" s="63"/>
      <c r="I782" s="63"/>
    </row>
    <row r="783" spans="7:9" x14ac:dyDescent="0.25">
      <c r="G783" s="63"/>
      <c r="H783" s="63"/>
      <c r="I783" s="63"/>
    </row>
    <row r="784" spans="7:9" x14ac:dyDescent="0.25">
      <c r="G784" s="63"/>
      <c r="H784" s="63"/>
      <c r="I784" s="63"/>
    </row>
    <row r="785" spans="7:9" x14ac:dyDescent="0.25">
      <c r="G785" s="63"/>
      <c r="H785" s="63"/>
      <c r="I785" s="63"/>
    </row>
    <row r="786" spans="7:9" x14ac:dyDescent="0.25">
      <c r="G786" s="63"/>
      <c r="H786" s="63"/>
      <c r="I786" s="63"/>
    </row>
    <row r="787" spans="7:9" x14ac:dyDescent="0.25">
      <c r="G787" s="63"/>
      <c r="H787" s="63"/>
      <c r="I787" s="63"/>
    </row>
    <row r="788" spans="7:9" x14ac:dyDescent="0.25">
      <c r="G788" s="63"/>
      <c r="H788" s="63"/>
      <c r="I788" s="63"/>
    </row>
    <row r="789" spans="7:9" x14ac:dyDescent="0.25">
      <c r="G789" s="63"/>
      <c r="H789" s="63"/>
      <c r="I789" s="63"/>
    </row>
    <row r="790" spans="7:9" x14ac:dyDescent="0.25">
      <c r="G790" s="63"/>
      <c r="H790" s="63"/>
      <c r="I790" s="63"/>
    </row>
    <row r="791" spans="7:9" x14ac:dyDescent="0.25">
      <c r="G791" s="63"/>
      <c r="H791" s="63"/>
      <c r="I791" s="63"/>
    </row>
    <row r="792" spans="7:9" x14ac:dyDescent="0.25">
      <c r="G792" s="63"/>
      <c r="H792" s="63"/>
      <c r="I792" s="63"/>
    </row>
    <row r="793" spans="7:9" x14ac:dyDescent="0.25">
      <c r="G793" s="63"/>
      <c r="H793" s="63"/>
      <c r="I793" s="63"/>
    </row>
    <row r="794" spans="7:9" x14ac:dyDescent="0.25">
      <c r="G794" s="63"/>
      <c r="H794" s="63"/>
      <c r="I794" s="63"/>
    </row>
    <row r="795" spans="7:9" x14ac:dyDescent="0.25">
      <c r="G795" s="63"/>
      <c r="H795" s="63"/>
      <c r="I795" s="63"/>
    </row>
    <row r="796" spans="7:9" x14ac:dyDescent="0.25">
      <c r="G796" s="63"/>
      <c r="H796" s="63"/>
      <c r="I796" s="63"/>
    </row>
    <row r="797" spans="7:9" x14ac:dyDescent="0.25">
      <c r="G797" s="63"/>
      <c r="H797" s="63"/>
      <c r="I797" s="63"/>
    </row>
    <row r="798" spans="7:9" x14ac:dyDescent="0.25">
      <c r="G798" s="63"/>
      <c r="H798" s="63"/>
      <c r="I798" s="63"/>
    </row>
    <row r="799" spans="7:9" x14ac:dyDescent="0.25">
      <c r="G799" s="63"/>
      <c r="H799" s="63"/>
      <c r="I799" s="63"/>
    </row>
    <row r="800" spans="7:9" x14ac:dyDescent="0.25">
      <c r="G800" s="63"/>
      <c r="H800" s="63"/>
      <c r="I800" s="63"/>
    </row>
    <row r="801" spans="7:9" x14ac:dyDescent="0.25">
      <c r="G801" s="63"/>
      <c r="H801" s="63"/>
      <c r="I801" s="63"/>
    </row>
    <row r="802" spans="7:9" x14ac:dyDescent="0.25">
      <c r="G802" s="63"/>
      <c r="H802" s="63"/>
      <c r="I802" s="63"/>
    </row>
    <row r="803" spans="7:9" x14ac:dyDescent="0.25">
      <c r="G803" s="63"/>
      <c r="H803" s="63"/>
      <c r="I803" s="63"/>
    </row>
    <row r="804" spans="7:9" x14ac:dyDescent="0.25">
      <c r="G804" s="63"/>
      <c r="H804" s="63"/>
      <c r="I804" s="63"/>
    </row>
    <row r="805" spans="7:9" x14ac:dyDescent="0.25">
      <c r="G805" s="63"/>
      <c r="H805" s="63"/>
      <c r="I805" s="63"/>
    </row>
    <row r="806" spans="7:9" x14ac:dyDescent="0.25">
      <c r="G806" s="63"/>
      <c r="H806" s="63"/>
      <c r="I806" s="63"/>
    </row>
    <row r="807" spans="7:9" x14ac:dyDescent="0.25">
      <c r="G807" s="63"/>
      <c r="H807" s="63"/>
      <c r="I807" s="63"/>
    </row>
    <row r="808" spans="7:9" x14ac:dyDescent="0.25">
      <c r="G808" s="63"/>
      <c r="H808" s="63"/>
      <c r="I808" s="63"/>
    </row>
    <row r="809" spans="7:9" x14ac:dyDescent="0.25">
      <c r="G809" s="63"/>
      <c r="H809" s="63"/>
      <c r="I809" s="63"/>
    </row>
    <row r="810" spans="7:9" x14ac:dyDescent="0.25">
      <c r="G810" s="63"/>
      <c r="H810" s="63"/>
      <c r="I810" s="63"/>
    </row>
    <row r="811" spans="7:9" x14ac:dyDescent="0.25">
      <c r="G811" s="63"/>
      <c r="H811" s="63"/>
      <c r="I811" s="63"/>
    </row>
    <row r="812" spans="7:9" x14ac:dyDescent="0.25">
      <c r="G812" s="63"/>
      <c r="H812" s="63"/>
      <c r="I812" s="63"/>
    </row>
    <row r="813" spans="7:9" x14ac:dyDescent="0.25">
      <c r="G813" s="63"/>
      <c r="H813" s="63"/>
      <c r="I813" s="63"/>
    </row>
    <row r="814" spans="7:9" x14ac:dyDescent="0.25">
      <c r="G814" s="63"/>
      <c r="H814" s="63"/>
      <c r="I814" s="63"/>
    </row>
    <row r="815" spans="7:9" x14ac:dyDescent="0.25">
      <c r="G815" s="63"/>
      <c r="H815" s="63"/>
      <c r="I815" s="63"/>
    </row>
    <row r="816" spans="7:9" x14ac:dyDescent="0.25">
      <c r="G816" s="63"/>
      <c r="H816" s="63"/>
      <c r="I816" s="63"/>
    </row>
    <row r="817" spans="7:9" x14ac:dyDescent="0.25">
      <c r="G817" s="63"/>
      <c r="H817" s="63"/>
      <c r="I817" s="63"/>
    </row>
    <row r="818" spans="7:9" x14ac:dyDescent="0.25">
      <c r="G818" s="63"/>
      <c r="H818" s="63"/>
      <c r="I818" s="63"/>
    </row>
    <row r="819" spans="7:9" x14ac:dyDescent="0.25">
      <c r="G819" s="63"/>
      <c r="H819" s="63"/>
      <c r="I819" s="63"/>
    </row>
    <row r="820" spans="7:9" x14ac:dyDescent="0.25">
      <c r="G820" s="63"/>
      <c r="H820" s="63"/>
      <c r="I820" s="63"/>
    </row>
    <row r="821" spans="7:9" x14ac:dyDescent="0.25">
      <c r="G821" s="63"/>
      <c r="H821" s="63"/>
      <c r="I821" s="63"/>
    </row>
    <row r="822" spans="7:9" x14ac:dyDescent="0.25">
      <c r="G822" s="63"/>
      <c r="H822" s="63"/>
      <c r="I822" s="63"/>
    </row>
    <row r="823" spans="7:9" x14ac:dyDescent="0.25">
      <c r="G823" s="63"/>
      <c r="H823" s="63"/>
      <c r="I823" s="63"/>
    </row>
    <row r="824" spans="7:9" x14ac:dyDescent="0.25">
      <c r="G824" s="63"/>
      <c r="H824" s="63"/>
      <c r="I824" s="63"/>
    </row>
    <row r="825" spans="7:9" x14ac:dyDescent="0.25">
      <c r="G825" s="63"/>
      <c r="H825" s="63"/>
      <c r="I825" s="63"/>
    </row>
    <row r="826" spans="7:9" x14ac:dyDescent="0.25">
      <c r="G826" s="63"/>
      <c r="H826" s="63"/>
      <c r="I826" s="63"/>
    </row>
    <row r="827" spans="7:9" x14ac:dyDescent="0.25">
      <c r="G827" s="63"/>
      <c r="H827" s="63"/>
      <c r="I827" s="63"/>
    </row>
    <row r="828" spans="7:9" x14ac:dyDescent="0.25">
      <c r="G828" s="63"/>
      <c r="H828" s="63"/>
      <c r="I828" s="63"/>
    </row>
    <row r="829" spans="7:9" x14ac:dyDescent="0.25">
      <c r="G829" s="63"/>
      <c r="H829" s="63"/>
      <c r="I829" s="63"/>
    </row>
    <row r="830" spans="7:9" x14ac:dyDescent="0.25">
      <c r="G830" s="63"/>
      <c r="H830" s="63"/>
      <c r="I830" s="63"/>
    </row>
    <row r="831" spans="7:9" x14ac:dyDescent="0.25">
      <c r="G831" s="63"/>
      <c r="H831" s="63"/>
      <c r="I831" s="63"/>
    </row>
    <row r="832" spans="7:9" x14ac:dyDescent="0.25">
      <c r="G832" s="63"/>
      <c r="H832" s="63"/>
      <c r="I832" s="63"/>
    </row>
    <row r="833" spans="7:9" x14ac:dyDescent="0.25">
      <c r="G833" s="63"/>
      <c r="H833" s="63"/>
      <c r="I833" s="63"/>
    </row>
    <row r="834" spans="7:9" x14ac:dyDescent="0.25">
      <c r="G834" s="63"/>
      <c r="H834" s="63"/>
      <c r="I834" s="63"/>
    </row>
    <row r="835" spans="7:9" x14ac:dyDescent="0.25">
      <c r="G835" s="63"/>
      <c r="H835" s="63"/>
      <c r="I835" s="63"/>
    </row>
    <row r="836" spans="7:9" x14ac:dyDescent="0.25">
      <c r="G836" s="63"/>
      <c r="H836" s="63"/>
      <c r="I836" s="63"/>
    </row>
    <row r="837" spans="7:9" x14ac:dyDescent="0.25">
      <c r="G837" s="63"/>
      <c r="H837" s="63"/>
      <c r="I837" s="63"/>
    </row>
    <row r="838" spans="7:9" x14ac:dyDescent="0.25">
      <c r="G838" s="63"/>
      <c r="H838" s="63"/>
      <c r="I838" s="63"/>
    </row>
    <row r="839" spans="7:9" x14ac:dyDescent="0.25">
      <c r="G839" s="63"/>
      <c r="H839" s="63"/>
      <c r="I839" s="63"/>
    </row>
    <row r="840" spans="7:9" x14ac:dyDescent="0.25">
      <c r="G840" s="63"/>
      <c r="H840" s="63"/>
      <c r="I840" s="63"/>
    </row>
    <row r="841" spans="7:9" x14ac:dyDescent="0.25">
      <c r="G841" s="63"/>
      <c r="H841" s="63"/>
      <c r="I841" s="63"/>
    </row>
    <row r="842" spans="7:9" x14ac:dyDescent="0.25">
      <c r="G842" s="63"/>
      <c r="H842" s="63"/>
      <c r="I842" s="63"/>
    </row>
    <row r="843" spans="7:9" x14ac:dyDescent="0.25">
      <c r="G843" s="63"/>
      <c r="H843" s="63"/>
      <c r="I843" s="63"/>
    </row>
    <row r="844" spans="7:9" x14ac:dyDescent="0.25">
      <c r="G844" s="63"/>
      <c r="H844" s="63"/>
      <c r="I844" s="63"/>
    </row>
    <row r="845" spans="7:9" x14ac:dyDescent="0.25">
      <c r="G845" s="63"/>
      <c r="H845" s="63"/>
      <c r="I845" s="63"/>
    </row>
    <row r="846" spans="7:9" x14ac:dyDescent="0.25">
      <c r="G846" s="63"/>
      <c r="H846" s="63"/>
      <c r="I846" s="63"/>
    </row>
    <row r="847" spans="7:9" x14ac:dyDescent="0.25">
      <c r="G847" s="63"/>
      <c r="H847" s="63"/>
      <c r="I847" s="63"/>
    </row>
    <row r="848" spans="7:9" x14ac:dyDescent="0.25">
      <c r="G848" s="63"/>
      <c r="H848" s="63"/>
      <c r="I848" s="63"/>
    </row>
    <row r="849" spans="7:9" x14ac:dyDescent="0.25">
      <c r="G849" s="63"/>
      <c r="H849" s="63"/>
      <c r="I849" s="63"/>
    </row>
    <row r="850" spans="7:9" x14ac:dyDescent="0.25">
      <c r="G850" s="63"/>
      <c r="H850" s="63"/>
      <c r="I850" s="63"/>
    </row>
    <row r="851" spans="7:9" x14ac:dyDescent="0.25">
      <c r="G851" s="63"/>
      <c r="H851" s="63"/>
      <c r="I851" s="63"/>
    </row>
    <row r="852" spans="7:9" x14ac:dyDescent="0.25">
      <c r="G852" s="63"/>
      <c r="H852" s="63"/>
      <c r="I852" s="63"/>
    </row>
    <row r="853" spans="7:9" x14ac:dyDescent="0.25">
      <c r="G853" s="63"/>
      <c r="H853" s="63"/>
      <c r="I853" s="63"/>
    </row>
    <row r="854" spans="7:9" x14ac:dyDescent="0.25">
      <c r="G854" s="63"/>
      <c r="H854" s="63"/>
      <c r="I854" s="63"/>
    </row>
    <row r="855" spans="7:9" x14ac:dyDescent="0.25">
      <c r="G855" s="63"/>
      <c r="H855" s="63"/>
      <c r="I855" s="63"/>
    </row>
    <row r="856" spans="7:9" x14ac:dyDescent="0.25">
      <c r="G856" s="63"/>
      <c r="H856" s="63"/>
      <c r="I856" s="63"/>
    </row>
    <row r="857" spans="7:9" x14ac:dyDescent="0.25">
      <c r="G857" s="63"/>
      <c r="H857" s="63"/>
      <c r="I857" s="63"/>
    </row>
    <row r="858" spans="7:9" x14ac:dyDescent="0.25">
      <c r="G858" s="63"/>
      <c r="H858" s="63"/>
      <c r="I858" s="63"/>
    </row>
    <row r="859" spans="7:9" x14ac:dyDescent="0.25">
      <c r="G859" s="63"/>
      <c r="H859" s="63"/>
      <c r="I859" s="63"/>
    </row>
    <row r="860" spans="7:9" x14ac:dyDescent="0.25">
      <c r="G860" s="63"/>
      <c r="H860" s="63"/>
      <c r="I860" s="63"/>
    </row>
    <row r="861" spans="7:9" x14ac:dyDescent="0.25">
      <c r="G861" s="63"/>
      <c r="H861" s="63"/>
      <c r="I861" s="63"/>
    </row>
    <row r="862" spans="7:9" x14ac:dyDescent="0.25">
      <c r="G862" s="63"/>
      <c r="H862" s="63"/>
      <c r="I862" s="63"/>
    </row>
    <row r="863" spans="7:9" x14ac:dyDescent="0.25">
      <c r="G863" s="63"/>
      <c r="H863" s="63"/>
      <c r="I863" s="63"/>
    </row>
    <row r="864" spans="7:9" x14ac:dyDescent="0.25">
      <c r="G864" s="63"/>
      <c r="H864" s="63"/>
      <c r="I864" s="63"/>
    </row>
    <row r="865" spans="7:9" x14ac:dyDescent="0.25">
      <c r="G865" s="63"/>
      <c r="H865" s="63"/>
      <c r="I865" s="63"/>
    </row>
    <row r="866" spans="7:9" x14ac:dyDescent="0.25">
      <c r="G866" s="63"/>
      <c r="H866" s="63"/>
      <c r="I866" s="63"/>
    </row>
    <row r="867" spans="7:9" x14ac:dyDescent="0.25">
      <c r="G867" s="63"/>
      <c r="H867" s="63"/>
      <c r="I867" s="63"/>
    </row>
    <row r="868" spans="7:9" x14ac:dyDescent="0.25">
      <c r="G868" s="63"/>
      <c r="H868" s="63"/>
      <c r="I868" s="63"/>
    </row>
    <row r="869" spans="7:9" x14ac:dyDescent="0.25">
      <c r="G869" s="63"/>
      <c r="H869" s="63"/>
      <c r="I869" s="63"/>
    </row>
    <row r="870" spans="7:9" x14ac:dyDescent="0.25">
      <c r="G870" s="63"/>
      <c r="H870" s="63"/>
      <c r="I870" s="63"/>
    </row>
    <row r="871" spans="7:9" x14ac:dyDescent="0.25">
      <c r="G871" s="63"/>
      <c r="H871" s="63"/>
      <c r="I871" s="63"/>
    </row>
    <row r="872" spans="7:9" x14ac:dyDescent="0.25">
      <c r="G872" s="63"/>
      <c r="H872" s="63"/>
      <c r="I872" s="63"/>
    </row>
    <row r="873" spans="7:9" x14ac:dyDescent="0.25">
      <c r="G873" s="63"/>
      <c r="H873" s="63"/>
      <c r="I873" s="63"/>
    </row>
    <row r="874" spans="7:9" x14ac:dyDescent="0.25">
      <c r="G874" s="63"/>
      <c r="H874" s="63"/>
      <c r="I874" s="63"/>
    </row>
    <row r="875" spans="7:9" x14ac:dyDescent="0.25">
      <c r="G875" s="63"/>
      <c r="H875" s="63"/>
      <c r="I875" s="63"/>
    </row>
    <row r="876" spans="7:9" x14ac:dyDescent="0.25">
      <c r="G876" s="63"/>
      <c r="H876" s="63"/>
      <c r="I876" s="63"/>
    </row>
    <row r="877" spans="7:9" x14ac:dyDescent="0.25">
      <c r="G877" s="63"/>
      <c r="H877" s="63"/>
      <c r="I877" s="63"/>
    </row>
    <row r="878" spans="7:9" x14ac:dyDescent="0.25">
      <c r="G878" s="63"/>
      <c r="H878" s="63"/>
      <c r="I878" s="63"/>
    </row>
    <row r="879" spans="7:9" x14ac:dyDescent="0.25">
      <c r="G879" s="63"/>
      <c r="H879" s="63"/>
      <c r="I879" s="63"/>
    </row>
    <row r="880" spans="7:9" x14ac:dyDescent="0.25">
      <c r="G880" s="63"/>
      <c r="H880" s="63"/>
      <c r="I880" s="63"/>
    </row>
    <row r="881" spans="7:9" x14ac:dyDescent="0.25">
      <c r="G881" s="63"/>
      <c r="H881" s="63"/>
      <c r="I881" s="63"/>
    </row>
    <row r="882" spans="7:9" x14ac:dyDescent="0.25">
      <c r="G882" s="63"/>
      <c r="H882" s="63"/>
      <c r="I882" s="63"/>
    </row>
    <row r="883" spans="7:9" x14ac:dyDescent="0.25">
      <c r="G883" s="63"/>
      <c r="H883" s="63"/>
      <c r="I883" s="63"/>
    </row>
    <row r="884" spans="7:9" x14ac:dyDescent="0.25">
      <c r="G884" s="63"/>
      <c r="H884" s="63"/>
      <c r="I884" s="63"/>
    </row>
    <row r="885" spans="7:9" x14ac:dyDescent="0.25">
      <c r="G885" s="63"/>
      <c r="H885" s="63"/>
      <c r="I885" s="63"/>
    </row>
    <row r="886" spans="7:9" x14ac:dyDescent="0.25">
      <c r="G886" s="63"/>
      <c r="H886" s="63"/>
      <c r="I886" s="63"/>
    </row>
    <row r="887" spans="7:9" x14ac:dyDescent="0.25">
      <c r="G887" s="63"/>
      <c r="H887" s="63"/>
      <c r="I887" s="63"/>
    </row>
    <row r="888" spans="7:9" x14ac:dyDescent="0.25">
      <c r="G888" s="63"/>
      <c r="H888" s="63"/>
      <c r="I888" s="63"/>
    </row>
    <row r="889" spans="7:9" x14ac:dyDescent="0.25">
      <c r="G889" s="63"/>
      <c r="H889" s="63"/>
      <c r="I889" s="63"/>
    </row>
    <row r="890" spans="7:9" x14ac:dyDescent="0.25">
      <c r="G890" s="63"/>
      <c r="H890" s="63"/>
      <c r="I890" s="63"/>
    </row>
    <row r="891" spans="7:9" x14ac:dyDescent="0.25">
      <c r="G891" s="63"/>
      <c r="H891" s="63"/>
      <c r="I891" s="63"/>
    </row>
    <row r="892" spans="7:9" x14ac:dyDescent="0.25">
      <c r="G892" s="63"/>
      <c r="H892" s="63"/>
      <c r="I892" s="63"/>
    </row>
    <row r="893" spans="7:9" x14ac:dyDescent="0.25">
      <c r="G893" s="63"/>
      <c r="H893" s="63"/>
      <c r="I893" s="63"/>
    </row>
    <row r="894" spans="7:9" x14ac:dyDescent="0.25">
      <c r="G894" s="63"/>
      <c r="H894" s="63"/>
      <c r="I894" s="63"/>
    </row>
    <row r="895" spans="7:9" x14ac:dyDescent="0.25">
      <c r="G895" s="63"/>
      <c r="H895" s="63"/>
      <c r="I895" s="63"/>
    </row>
    <row r="896" spans="7:9" x14ac:dyDescent="0.25">
      <c r="G896" s="63"/>
      <c r="H896" s="63"/>
      <c r="I896" s="63"/>
    </row>
    <row r="897" spans="7:9" x14ac:dyDescent="0.25">
      <c r="G897" s="63"/>
      <c r="H897" s="63"/>
      <c r="I897" s="63"/>
    </row>
    <row r="898" spans="7:9" x14ac:dyDescent="0.25">
      <c r="G898" s="63"/>
      <c r="H898" s="63"/>
      <c r="I898" s="63"/>
    </row>
    <row r="899" spans="7:9" x14ac:dyDescent="0.25">
      <c r="G899" s="63"/>
      <c r="H899" s="63"/>
      <c r="I899" s="63"/>
    </row>
    <row r="900" spans="7:9" x14ac:dyDescent="0.25">
      <c r="G900" s="63"/>
      <c r="H900" s="63"/>
      <c r="I900" s="63"/>
    </row>
    <row r="901" spans="7:9" x14ac:dyDescent="0.25">
      <c r="G901" s="63"/>
      <c r="H901" s="63"/>
      <c r="I901" s="63"/>
    </row>
    <row r="902" spans="7:9" x14ac:dyDescent="0.25">
      <c r="G902" s="63"/>
      <c r="H902" s="63"/>
      <c r="I902" s="63"/>
    </row>
    <row r="903" spans="7:9" x14ac:dyDescent="0.25">
      <c r="G903" s="63"/>
      <c r="H903" s="63"/>
      <c r="I903" s="63"/>
    </row>
    <row r="904" spans="7:9" x14ac:dyDescent="0.25">
      <c r="G904" s="63"/>
      <c r="H904" s="63"/>
      <c r="I904" s="63"/>
    </row>
    <row r="905" spans="7:9" x14ac:dyDescent="0.25">
      <c r="G905" s="63"/>
      <c r="H905" s="63"/>
      <c r="I905" s="63"/>
    </row>
    <row r="906" spans="7:9" x14ac:dyDescent="0.25">
      <c r="G906" s="63"/>
      <c r="H906" s="63"/>
      <c r="I906" s="63"/>
    </row>
    <row r="907" spans="7:9" x14ac:dyDescent="0.25">
      <c r="G907" s="63"/>
      <c r="H907" s="63"/>
      <c r="I907" s="63"/>
    </row>
    <row r="908" spans="7:9" x14ac:dyDescent="0.25">
      <c r="G908" s="63"/>
      <c r="H908" s="63"/>
      <c r="I908" s="63"/>
    </row>
    <row r="909" spans="7:9" x14ac:dyDescent="0.25">
      <c r="G909" s="63"/>
      <c r="H909" s="63"/>
      <c r="I909" s="63"/>
    </row>
    <row r="910" spans="7:9" x14ac:dyDescent="0.25">
      <c r="G910" s="63"/>
      <c r="H910" s="63"/>
      <c r="I910" s="63"/>
    </row>
    <row r="911" spans="7:9" x14ac:dyDescent="0.25">
      <c r="G911" s="63"/>
      <c r="H911" s="63"/>
      <c r="I911" s="63"/>
    </row>
    <row r="912" spans="7:9" x14ac:dyDescent="0.25">
      <c r="G912" s="63"/>
      <c r="H912" s="63"/>
      <c r="I912" s="63"/>
    </row>
    <row r="913" spans="7:9" x14ac:dyDescent="0.25">
      <c r="G913" s="63"/>
      <c r="H913" s="63"/>
      <c r="I913" s="63"/>
    </row>
    <row r="914" spans="7:9" x14ac:dyDescent="0.25">
      <c r="G914" s="63"/>
      <c r="H914" s="63"/>
      <c r="I914" s="63"/>
    </row>
    <row r="915" spans="7:9" x14ac:dyDescent="0.25">
      <c r="G915" s="63"/>
      <c r="H915" s="63"/>
      <c r="I915" s="63"/>
    </row>
    <row r="916" spans="7:9" x14ac:dyDescent="0.25">
      <c r="G916" s="63"/>
      <c r="H916" s="63"/>
      <c r="I916" s="63"/>
    </row>
    <row r="917" spans="7:9" x14ac:dyDescent="0.25">
      <c r="G917" s="63"/>
      <c r="H917" s="63"/>
      <c r="I917" s="63"/>
    </row>
    <row r="918" spans="7:9" x14ac:dyDescent="0.25">
      <c r="G918" s="63"/>
      <c r="H918" s="63"/>
      <c r="I918" s="63"/>
    </row>
    <row r="919" spans="7:9" x14ac:dyDescent="0.25">
      <c r="G919" s="63"/>
      <c r="H919" s="63"/>
      <c r="I919" s="63"/>
    </row>
    <row r="920" spans="7:9" x14ac:dyDescent="0.25">
      <c r="G920" s="63"/>
      <c r="H920" s="63"/>
      <c r="I920" s="63"/>
    </row>
    <row r="921" spans="7:9" x14ac:dyDescent="0.25">
      <c r="G921" s="63"/>
      <c r="H921" s="63"/>
      <c r="I921" s="63"/>
    </row>
    <row r="922" spans="7:9" x14ac:dyDescent="0.25">
      <c r="G922" s="63"/>
      <c r="H922" s="63"/>
      <c r="I922" s="63"/>
    </row>
    <row r="923" spans="7:9" x14ac:dyDescent="0.25">
      <c r="G923" s="63"/>
      <c r="H923" s="63"/>
      <c r="I923" s="63"/>
    </row>
    <row r="924" spans="7:9" x14ac:dyDescent="0.25">
      <c r="G924" s="63"/>
      <c r="H924" s="63"/>
      <c r="I924" s="63"/>
    </row>
    <row r="925" spans="7:9" x14ac:dyDescent="0.25">
      <c r="G925" s="63"/>
      <c r="H925" s="63"/>
      <c r="I925" s="63"/>
    </row>
    <row r="926" spans="7:9" x14ac:dyDescent="0.25">
      <c r="G926" s="63"/>
      <c r="H926" s="63"/>
      <c r="I926" s="63"/>
    </row>
    <row r="927" spans="7:9" x14ac:dyDescent="0.25">
      <c r="G927" s="63"/>
      <c r="H927" s="63"/>
      <c r="I927" s="63"/>
    </row>
    <row r="928" spans="7:9" x14ac:dyDescent="0.25">
      <c r="G928" s="63"/>
      <c r="H928" s="63"/>
      <c r="I928" s="63"/>
    </row>
    <row r="929" spans="7:9" x14ac:dyDescent="0.25">
      <c r="G929" s="63"/>
      <c r="H929" s="63"/>
      <c r="I929" s="63"/>
    </row>
    <row r="930" spans="7:9" x14ac:dyDescent="0.25">
      <c r="G930" s="63"/>
      <c r="H930" s="63"/>
      <c r="I930" s="63"/>
    </row>
    <row r="931" spans="7:9" x14ac:dyDescent="0.25">
      <c r="G931" s="63"/>
      <c r="H931" s="63"/>
      <c r="I931" s="63"/>
    </row>
    <row r="932" spans="7:9" x14ac:dyDescent="0.25">
      <c r="G932" s="63"/>
      <c r="H932" s="63"/>
      <c r="I932" s="63"/>
    </row>
    <row r="933" spans="7:9" x14ac:dyDescent="0.25">
      <c r="G933" s="63"/>
      <c r="H933" s="63"/>
      <c r="I933" s="63"/>
    </row>
    <row r="934" spans="7:9" x14ac:dyDescent="0.25">
      <c r="G934" s="63"/>
      <c r="H934" s="63"/>
      <c r="I934" s="63"/>
    </row>
    <row r="935" spans="7:9" x14ac:dyDescent="0.25">
      <c r="G935" s="63"/>
      <c r="H935" s="63"/>
      <c r="I935" s="63"/>
    </row>
    <row r="936" spans="7:9" x14ac:dyDescent="0.25">
      <c r="G936" s="63"/>
      <c r="H936" s="63"/>
      <c r="I936" s="63"/>
    </row>
    <row r="937" spans="7:9" x14ac:dyDescent="0.25">
      <c r="G937" s="63"/>
      <c r="H937" s="63"/>
      <c r="I937" s="63"/>
    </row>
    <row r="938" spans="7:9" x14ac:dyDescent="0.25">
      <c r="G938" s="63"/>
      <c r="H938" s="63"/>
      <c r="I938" s="63"/>
    </row>
    <row r="939" spans="7:9" x14ac:dyDescent="0.25">
      <c r="G939" s="63"/>
      <c r="H939" s="63"/>
      <c r="I939" s="63"/>
    </row>
    <row r="940" spans="7:9" x14ac:dyDescent="0.25">
      <c r="G940" s="63"/>
      <c r="H940" s="63"/>
      <c r="I940" s="63"/>
    </row>
    <row r="941" spans="7:9" x14ac:dyDescent="0.25">
      <c r="G941" s="63"/>
      <c r="H941" s="63"/>
      <c r="I941" s="63"/>
    </row>
    <row r="942" spans="7:9" x14ac:dyDescent="0.25">
      <c r="G942" s="63"/>
      <c r="H942" s="63"/>
      <c r="I942" s="63"/>
    </row>
    <row r="943" spans="7:9" x14ac:dyDescent="0.25">
      <c r="G943" s="63"/>
      <c r="H943" s="63"/>
      <c r="I943" s="63"/>
    </row>
    <row r="944" spans="7:9" x14ac:dyDescent="0.25">
      <c r="G944" s="63"/>
      <c r="H944" s="63"/>
      <c r="I944" s="63"/>
    </row>
    <row r="945" spans="7:9" x14ac:dyDescent="0.25">
      <c r="G945" s="63"/>
      <c r="H945" s="63"/>
      <c r="I945" s="63"/>
    </row>
    <row r="946" spans="7:9" x14ac:dyDescent="0.25">
      <c r="G946" s="63"/>
      <c r="H946" s="63"/>
      <c r="I946" s="63"/>
    </row>
    <row r="947" spans="7:9" x14ac:dyDescent="0.25">
      <c r="G947" s="63"/>
      <c r="H947" s="63"/>
      <c r="I947" s="63"/>
    </row>
    <row r="948" spans="7:9" x14ac:dyDescent="0.25">
      <c r="G948" s="63"/>
      <c r="H948" s="63"/>
      <c r="I948" s="63"/>
    </row>
    <row r="949" spans="7:9" x14ac:dyDescent="0.25">
      <c r="G949" s="63"/>
      <c r="H949" s="63"/>
      <c r="I949" s="63"/>
    </row>
    <row r="950" spans="7:9" x14ac:dyDescent="0.25">
      <c r="G950" s="63"/>
      <c r="H950" s="63"/>
      <c r="I950" s="63"/>
    </row>
    <row r="951" spans="7:9" x14ac:dyDescent="0.25">
      <c r="G951" s="63"/>
      <c r="H951" s="63"/>
      <c r="I951" s="63"/>
    </row>
    <row r="952" spans="7:9" x14ac:dyDescent="0.25">
      <c r="G952" s="63"/>
      <c r="H952" s="63"/>
      <c r="I952" s="63"/>
    </row>
    <row r="953" spans="7:9" x14ac:dyDescent="0.25">
      <c r="G953" s="63"/>
      <c r="H953" s="63"/>
      <c r="I953" s="63"/>
    </row>
    <row r="954" spans="7:9" x14ac:dyDescent="0.25">
      <c r="G954" s="63"/>
      <c r="H954" s="63"/>
      <c r="I954" s="63"/>
    </row>
    <row r="955" spans="7:9" x14ac:dyDescent="0.25">
      <c r="G955" s="63"/>
      <c r="H955" s="63"/>
      <c r="I955" s="63"/>
    </row>
    <row r="956" spans="7:9" x14ac:dyDescent="0.25">
      <c r="G956" s="63"/>
      <c r="H956" s="63"/>
      <c r="I956" s="63"/>
    </row>
    <row r="957" spans="7:9" x14ac:dyDescent="0.25">
      <c r="G957" s="63"/>
      <c r="H957" s="63"/>
      <c r="I957" s="63"/>
    </row>
    <row r="958" spans="7:9" x14ac:dyDescent="0.25">
      <c r="G958" s="63"/>
      <c r="H958" s="63"/>
      <c r="I958" s="63"/>
    </row>
    <row r="959" spans="7:9" x14ac:dyDescent="0.25">
      <c r="G959" s="63"/>
      <c r="H959" s="63"/>
      <c r="I959" s="63"/>
    </row>
    <row r="960" spans="7:9" x14ac:dyDescent="0.25">
      <c r="G960" s="63"/>
      <c r="H960" s="63"/>
      <c r="I960" s="63"/>
    </row>
    <row r="961" spans="7:9" x14ac:dyDescent="0.25">
      <c r="G961" s="63"/>
      <c r="H961" s="63"/>
      <c r="I961" s="63"/>
    </row>
    <row r="962" spans="7:9" x14ac:dyDescent="0.25">
      <c r="G962" s="63"/>
      <c r="H962" s="63"/>
      <c r="I962" s="63"/>
    </row>
    <row r="963" spans="7:9" x14ac:dyDescent="0.25">
      <c r="G963" s="63"/>
      <c r="H963" s="63"/>
      <c r="I963" s="63"/>
    </row>
    <row r="964" spans="7:9" x14ac:dyDescent="0.25">
      <c r="G964" s="63"/>
      <c r="H964" s="63"/>
      <c r="I964" s="63"/>
    </row>
    <row r="965" spans="7:9" x14ac:dyDescent="0.25">
      <c r="G965" s="63"/>
      <c r="H965" s="63"/>
      <c r="I965" s="63"/>
    </row>
    <row r="966" spans="7:9" x14ac:dyDescent="0.25">
      <c r="G966" s="63"/>
      <c r="H966" s="63"/>
      <c r="I966" s="63"/>
    </row>
    <row r="967" spans="7:9" x14ac:dyDescent="0.25">
      <c r="G967" s="63"/>
      <c r="H967" s="63"/>
      <c r="I967" s="63"/>
    </row>
    <row r="968" spans="7:9" x14ac:dyDescent="0.25">
      <c r="G968" s="63"/>
      <c r="H968" s="63"/>
      <c r="I968" s="63"/>
    </row>
    <row r="969" spans="7:9" x14ac:dyDescent="0.25">
      <c r="G969" s="63"/>
      <c r="H969" s="63"/>
      <c r="I969" s="63"/>
    </row>
    <row r="970" spans="7:9" x14ac:dyDescent="0.25">
      <c r="G970" s="63"/>
      <c r="H970" s="63"/>
      <c r="I970" s="63"/>
    </row>
    <row r="971" spans="7:9" x14ac:dyDescent="0.25">
      <c r="G971" s="63"/>
      <c r="H971" s="63"/>
      <c r="I971" s="63"/>
    </row>
    <row r="972" spans="7:9" x14ac:dyDescent="0.25">
      <c r="G972" s="63"/>
      <c r="H972" s="63"/>
      <c r="I972" s="63"/>
    </row>
    <row r="973" spans="7:9" x14ac:dyDescent="0.25">
      <c r="G973" s="63"/>
      <c r="H973" s="63"/>
      <c r="I973" s="63"/>
    </row>
    <row r="974" spans="7:9" x14ac:dyDescent="0.25">
      <c r="G974" s="63"/>
      <c r="H974" s="63"/>
      <c r="I974" s="63"/>
    </row>
    <row r="975" spans="7:9" x14ac:dyDescent="0.25">
      <c r="G975" s="63"/>
      <c r="H975" s="63"/>
      <c r="I975" s="63"/>
    </row>
    <row r="976" spans="7:9" x14ac:dyDescent="0.25">
      <c r="G976" s="63"/>
      <c r="H976" s="63"/>
      <c r="I976" s="63"/>
    </row>
    <row r="977" spans="7:9" x14ac:dyDescent="0.25">
      <c r="G977" s="63"/>
      <c r="H977" s="63"/>
      <c r="I977" s="63"/>
    </row>
    <row r="978" spans="7:9" x14ac:dyDescent="0.25">
      <c r="G978" s="63"/>
      <c r="H978" s="63"/>
      <c r="I978" s="63"/>
    </row>
    <row r="979" spans="7:9" x14ac:dyDescent="0.25">
      <c r="G979" s="63"/>
      <c r="H979" s="63"/>
      <c r="I979" s="63"/>
    </row>
    <row r="980" spans="7:9" x14ac:dyDescent="0.25">
      <c r="G980" s="63"/>
      <c r="H980" s="63"/>
      <c r="I980" s="63"/>
    </row>
    <row r="981" spans="7:9" x14ac:dyDescent="0.25">
      <c r="G981" s="63"/>
      <c r="H981" s="63"/>
      <c r="I981" s="63"/>
    </row>
    <row r="982" spans="7:9" x14ac:dyDescent="0.25">
      <c r="G982" s="63"/>
      <c r="H982" s="63"/>
      <c r="I982" s="63"/>
    </row>
    <row r="983" spans="7:9" x14ac:dyDescent="0.25">
      <c r="G983" s="63"/>
      <c r="H983" s="63"/>
      <c r="I983" s="63"/>
    </row>
    <row r="984" spans="7:9" x14ac:dyDescent="0.25">
      <c r="G984" s="63"/>
      <c r="H984" s="63"/>
      <c r="I984" s="63"/>
    </row>
    <row r="985" spans="7:9" x14ac:dyDescent="0.25">
      <c r="G985" s="63"/>
      <c r="H985" s="63"/>
      <c r="I985" s="63"/>
    </row>
    <row r="986" spans="7:9" x14ac:dyDescent="0.25">
      <c r="G986" s="63"/>
      <c r="H986" s="63"/>
      <c r="I986" s="63"/>
    </row>
    <row r="987" spans="7:9" x14ac:dyDescent="0.25">
      <c r="G987" s="63"/>
      <c r="H987" s="63"/>
      <c r="I987" s="63"/>
    </row>
    <row r="988" spans="7:9" x14ac:dyDescent="0.25">
      <c r="G988" s="63"/>
      <c r="H988" s="63"/>
      <c r="I988" s="63"/>
    </row>
    <row r="989" spans="7:9" x14ac:dyDescent="0.25">
      <c r="G989" s="63"/>
      <c r="H989" s="63"/>
      <c r="I989" s="63"/>
    </row>
    <row r="990" spans="7:9" x14ac:dyDescent="0.25">
      <c r="G990" s="63"/>
      <c r="H990" s="63"/>
      <c r="I990" s="63"/>
    </row>
    <row r="991" spans="7:9" x14ac:dyDescent="0.25">
      <c r="G991" s="63"/>
      <c r="H991" s="63"/>
      <c r="I991" s="63"/>
    </row>
    <row r="992" spans="7:9" x14ac:dyDescent="0.25">
      <c r="G992" s="63"/>
      <c r="H992" s="63"/>
      <c r="I992" s="63"/>
    </row>
    <row r="993" spans="7:9" x14ac:dyDescent="0.25">
      <c r="G993" s="63"/>
      <c r="H993" s="63"/>
      <c r="I993" s="63"/>
    </row>
    <row r="994" spans="7:9" x14ac:dyDescent="0.25">
      <c r="G994" s="63"/>
      <c r="H994" s="63"/>
      <c r="I994" s="63"/>
    </row>
    <row r="995" spans="7:9" x14ac:dyDescent="0.25">
      <c r="G995" s="63"/>
      <c r="H995" s="63"/>
      <c r="I995" s="63"/>
    </row>
    <row r="996" spans="7:9" x14ac:dyDescent="0.25">
      <c r="G996" s="63"/>
      <c r="H996" s="63"/>
      <c r="I996" s="63"/>
    </row>
    <row r="997" spans="7:9" x14ac:dyDescent="0.25">
      <c r="G997" s="63"/>
      <c r="H997" s="63"/>
      <c r="I997" s="63"/>
    </row>
    <row r="998" spans="7:9" x14ac:dyDescent="0.25">
      <c r="G998" s="63"/>
      <c r="H998" s="63"/>
      <c r="I998" s="63"/>
    </row>
    <row r="999" spans="7:9" x14ac:dyDescent="0.25">
      <c r="G999" s="63"/>
      <c r="H999" s="63"/>
      <c r="I999" s="63"/>
    </row>
    <row r="1000" spans="7:9" x14ac:dyDescent="0.25">
      <c r="G1000" s="63"/>
      <c r="H1000" s="63"/>
      <c r="I1000" s="63"/>
    </row>
    <row r="1001" spans="7:9" x14ac:dyDescent="0.25">
      <c r="G1001" s="63"/>
      <c r="H1001" s="63"/>
      <c r="I1001" s="63"/>
    </row>
    <row r="1002" spans="7:9" x14ac:dyDescent="0.25">
      <c r="G1002" s="63"/>
      <c r="H1002" s="63"/>
      <c r="I1002" s="63"/>
    </row>
    <row r="1003" spans="7:9" x14ac:dyDescent="0.25">
      <c r="G1003" s="63"/>
      <c r="H1003" s="63"/>
      <c r="I1003" s="63"/>
    </row>
    <row r="1004" spans="7:9" x14ac:dyDescent="0.25">
      <c r="G1004" s="63"/>
      <c r="H1004" s="63"/>
      <c r="I1004" s="63"/>
    </row>
    <row r="1005" spans="7:9" x14ac:dyDescent="0.25">
      <c r="G1005" s="63"/>
      <c r="H1005" s="63"/>
      <c r="I1005" s="63"/>
    </row>
    <row r="1006" spans="7:9" x14ac:dyDescent="0.25">
      <c r="G1006" s="63"/>
      <c r="H1006" s="63"/>
      <c r="I1006" s="63"/>
    </row>
    <row r="1007" spans="7:9" x14ac:dyDescent="0.25">
      <c r="G1007" s="63"/>
      <c r="H1007" s="63"/>
      <c r="I1007" s="63"/>
    </row>
    <row r="1008" spans="7:9" x14ac:dyDescent="0.25">
      <c r="G1008" s="63"/>
      <c r="H1008" s="63"/>
      <c r="I1008" s="63"/>
    </row>
    <row r="1009" spans="7:9" x14ac:dyDescent="0.25">
      <c r="G1009" s="63"/>
      <c r="H1009" s="63"/>
      <c r="I1009" s="63"/>
    </row>
    <row r="1010" spans="7:9" x14ac:dyDescent="0.25">
      <c r="G1010" s="63"/>
      <c r="H1010" s="63"/>
      <c r="I1010" s="63"/>
    </row>
    <row r="1011" spans="7:9" x14ac:dyDescent="0.25">
      <c r="G1011" s="63"/>
      <c r="H1011" s="63"/>
      <c r="I1011" s="63"/>
    </row>
    <row r="1012" spans="7:9" x14ac:dyDescent="0.25">
      <c r="G1012" s="63"/>
      <c r="H1012" s="63"/>
      <c r="I1012" s="63"/>
    </row>
    <row r="1013" spans="7:9" x14ac:dyDescent="0.25">
      <c r="G1013" s="63"/>
      <c r="H1013" s="63"/>
      <c r="I1013" s="63"/>
    </row>
    <row r="1014" spans="7:9" x14ac:dyDescent="0.25">
      <c r="G1014" s="63"/>
      <c r="H1014" s="63"/>
      <c r="I1014" s="63"/>
    </row>
    <row r="1015" spans="7:9" x14ac:dyDescent="0.25">
      <c r="G1015" s="63"/>
      <c r="H1015" s="63"/>
      <c r="I1015" s="63"/>
    </row>
    <row r="1016" spans="7:9" x14ac:dyDescent="0.25">
      <c r="G1016" s="63"/>
      <c r="H1016" s="63"/>
      <c r="I1016" s="63"/>
    </row>
    <row r="1017" spans="7:9" x14ac:dyDescent="0.25">
      <c r="G1017" s="63"/>
      <c r="H1017" s="63"/>
      <c r="I1017" s="63"/>
    </row>
    <row r="1018" spans="7:9" x14ac:dyDescent="0.25">
      <c r="G1018" s="63"/>
      <c r="H1018" s="63"/>
      <c r="I1018" s="63"/>
    </row>
    <row r="1019" spans="7:9" x14ac:dyDescent="0.25">
      <c r="G1019" s="63"/>
      <c r="H1019" s="63"/>
      <c r="I1019" s="63"/>
    </row>
    <row r="1020" spans="7:9" x14ac:dyDescent="0.25">
      <c r="G1020" s="63"/>
      <c r="H1020" s="63"/>
      <c r="I1020" s="63"/>
    </row>
    <row r="1021" spans="7:9" x14ac:dyDescent="0.25">
      <c r="G1021" s="63"/>
      <c r="H1021" s="63"/>
      <c r="I1021" s="63"/>
    </row>
    <row r="1022" spans="7:9" x14ac:dyDescent="0.25">
      <c r="G1022" s="63"/>
      <c r="H1022" s="63"/>
      <c r="I1022" s="63"/>
    </row>
    <row r="1023" spans="7:9" x14ac:dyDescent="0.25">
      <c r="G1023" s="63"/>
      <c r="H1023" s="63"/>
      <c r="I1023" s="63"/>
    </row>
    <row r="1024" spans="7:9" x14ac:dyDescent="0.25">
      <c r="G1024" s="63"/>
      <c r="H1024" s="63"/>
      <c r="I1024" s="63"/>
    </row>
    <row r="1025" spans="7:9" x14ac:dyDescent="0.25">
      <c r="G1025" s="63"/>
      <c r="H1025" s="63"/>
      <c r="I1025" s="63"/>
    </row>
    <row r="1026" spans="7:9" x14ac:dyDescent="0.25">
      <c r="G1026" s="63"/>
      <c r="H1026" s="63"/>
      <c r="I1026" s="63"/>
    </row>
    <row r="1027" spans="7:9" x14ac:dyDescent="0.25">
      <c r="G1027" s="63"/>
      <c r="H1027" s="63"/>
      <c r="I1027" s="63"/>
    </row>
    <row r="1028" spans="7:9" x14ac:dyDescent="0.25">
      <c r="G1028" s="63"/>
      <c r="H1028" s="63"/>
      <c r="I1028" s="63"/>
    </row>
    <row r="1029" spans="7:9" x14ac:dyDescent="0.25">
      <c r="G1029" s="63"/>
      <c r="H1029" s="63"/>
      <c r="I1029" s="63"/>
    </row>
    <row r="1030" spans="7:9" x14ac:dyDescent="0.25">
      <c r="G1030" s="63"/>
      <c r="H1030" s="63"/>
      <c r="I1030" s="63"/>
    </row>
    <row r="1031" spans="7:9" x14ac:dyDescent="0.25">
      <c r="G1031" s="63"/>
      <c r="H1031" s="63"/>
      <c r="I1031" s="63"/>
    </row>
    <row r="1032" spans="7:9" x14ac:dyDescent="0.25">
      <c r="G1032" s="63"/>
      <c r="H1032" s="63"/>
      <c r="I1032" s="63"/>
    </row>
    <row r="1033" spans="7:9" x14ac:dyDescent="0.25">
      <c r="G1033" s="63"/>
      <c r="H1033" s="63"/>
      <c r="I1033" s="63"/>
    </row>
    <row r="1034" spans="7:9" x14ac:dyDescent="0.25">
      <c r="G1034" s="63"/>
      <c r="H1034" s="63"/>
      <c r="I1034" s="63"/>
    </row>
    <row r="1035" spans="7:9" x14ac:dyDescent="0.25">
      <c r="G1035" s="63"/>
      <c r="H1035" s="63"/>
      <c r="I1035" s="63"/>
    </row>
    <row r="1036" spans="7:9" x14ac:dyDescent="0.25">
      <c r="G1036" s="63"/>
      <c r="H1036" s="63"/>
      <c r="I1036" s="63"/>
    </row>
    <row r="1037" spans="7:9" x14ac:dyDescent="0.25">
      <c r="G1037" s="63"/>
      <c r="H1037" s="63"/>
      <c r="I1037" s="63"/>
    </row>
    <row r="1038" spans="7:9" x14ac:dyDescent="0.25">
      <c r="G1038" s="63"/>
      <c r="H1038" s="63"/>
      <c r="I1038" s="63"/>
    </row>
    <row r="1039" spans="7:9" x14ac:dyDescent="0.25">
      <c r="G1039" s="63"/>
      <c r="H1039" s="63"/>
      <c r="I1039" s="63"/>
    </row>
    <row r="1040" spans="7:9" x14ac:dyDescent="0.25">
      <c r="G1040" s="63"/>
      <c r="H1040" s="63"/>
      <c r="I1040" s="63"/>
    </row>
    <row r="1041" spans="7:9" x14ac:dyDescent="0.25">
      <c r="G1041" s="63"/>
      <c r="H1041" s="63"/>
      <c r="I1041" s="63"/>
    </row>
    <row r="1042" spans="7:9" x14ac:dyDescent="0.25">
      <c r="G1042" s="63"/>
      <c r="H1042" s="63"/>
      <c r="I1042" s="63"/>
    </row>
    <row r="1043" spans="7:9" x14ac:dyDescent="0.25">
      <c r="G1043" s="63"/>
      <c r="H1043" s="63"/>
      <c r="I1043" s="63"/>
    </row>
    <row r="1044" spans="7:9" x14ac:dyDescent="0.25">
      <c r="G1044" s="63"/>
      <c r="H1044" s="63"/>
      <c r="I1044" s="63"/>
    </row>
    <row r="1045" spans="7:9" x14ac:dyDescent="0.25">
      <c r="G1045" s="63"/>
      <c r="H1045" s="63"/>
      <c r="I1045" s="63"/>
    </row>
    <row r="1046" spans="7:9" x14ac:dyDescent="0.25">
      <c r="G1046" s="63"/>
      <c r="H1046" s="63"/>
      <c r="I1046" s="63"/>
    </row>
    <row r="1047" spans="7:9" x14ac:dyDescent="0.25">
      <c r="G1047" s="63"/>
      <c r="H1047" s="63"/>
      <c r="I1047" s="63"/>
    </row>
    <row r="1048" spans="7:9" x14ac:dyDescent="0.25">
      <c r="G1048" s="63"/>
      <c r="H1048" s="63"/>
      <c r="I1048" s="63"/>
    </row>
    <row r="1049" spans="7:9" x14ac:dyDescent="0.25">
      <c r="G1049" s="63"/>
      <c r="H1049" s="63"/>
      <c r="I1049" s="63"/>
    </row>
    <row r="1050" spans="7:9" x14ac:dyDescent="0.25">
      <c r="G1050" s="63"/>
      <c r="H1050" s="63"/>
      <c r="I1050" s="63"/>
    </row>
    <row r="1051" spans="7:9" x14ac:dyDescent="0.25">
      <c r="G1051" s="63"/>
      <c r="H1051" s="63"/>
      <c r="I1051" s="63"/>
    </row>
    <row r="1052" spans="7:9" x14ac:dyDescent="0.25">
      <c r="G1052" s="63"/>
      <c r="H1052" s="63"/>
      <c r="I1052" s="63"/>
    </row>
    <row r="1053" spans="7:9" x14ac:dyDescent="0.25">
      <c r="G1053" s="63"/>
      <c r="H1053" s="63"/>
      <c r="I1053" s="63"/>
    </row>
    <row r="1054" spans="7:9" x14ac:dyDescent="0.25">
      <c r="G1054" s="63"/>
      <c r="H1054" s="63"/>
      <c r="I1054" s="63"/>
    </row>
    <row r="1055" spans="7:9" x14ac:dyDescent="0.25">
      <c r="G1055" s="63"/>
      <c r="H1055" s="63"/>
      <c r="I1055" s="63"/>
    </row>
    <row r="1056" spans="7:9" x14ac:dyDescent="0.25">
      <c r="G1056" s="63"/>
      <c r="H1056" s="63"/>
      <c r="I1056" s="63"/>
    </row>
    <row r="1057" spans="7:9" x14ac:dyDescent="0.25">
      <c r="G1057" s="63"/>
      <c r="H1057" s="63"/>
      <c r="I1057" s="63"/>
    </row>
    <row r="1058" spans="7:9" x14ac:dyDescent="0.25">
      <c r="G1058" s="63"/>
      <c r="H1058" s="63"/>
      <c r="I1058" s="63"/>
    </row>
    <row r="1059" spans="7:9" x14ac:dyDescent="0.25">
      <c r="G1059" s="63"/>
      <c r="H1059" s="63"/>
      <c r="I1059" s="63"/>
    </row>
    <row r="1060" spans="7:9" x14ac:dyDescent="0.25">
      <c r="G1060" s="63"/>
      <c r="H1060" s="63"/>
      <c r="I1060" s="63"/>
    </row>
    <row r="1061" spans="7:9" x14ac:dyDescent="0.25">
      <c r="G1061" s="63"/>
      <c r="H1061" s="63"/>
      <c r="I1061" s="63"/>
    </row>
    <row r="1062" spans="7:9" x14ac:dyDescent="0.25">
      <c r="G1062" s="63"/>
      <c r="H1062" s="63"/>
      <c r="I1062" s="63"/>
    </row>
    <row r="1063" spans="7:9" x14ac:dyDescent="0.25">
      <c r="G1063" s="63"/>
      <c r="H1063" s="63"/>
      <c r="I1063" s="63"/>
    </row>
    <row r="1064" spans="7:9" x14ac:dyDescent="0.25">
      <c r="G1064" s="63"/>
      <c r="H1064" s="63"/>
      <c r="I1064" s="63"/>
    </row>
    <row r="1065" spans="7:9" x14ac:dyDescent="0.25">
      <c r="G1065" s="63"/>
      <c r="H1065" s="63"/>
      <c r="I1065" s="63"/>
    </row>
    <row r="1066" spans="7:9" x14ac:dyDescent="0.25">
      <c r="G1066" s="63"/>
      <c r="H1066" s="63"/>
      <c r="I1066" s="63"/>
    </row>
    <row r="1067" spans="7:9" x14ac:dyDescent="0.25">
      <c r="G1067" s="63"/>
      <c r="H1067" s="63"/>
      <c r="I1067" s="63"/>
    </row>
    <row r="1068" spans="7:9" x14ac:dyDescent="0.25">
      <c r="G1068" s="63"/>
      <c r="H1068" s="63"/>
      <c r="I1068" s="63"/>
    </row>
    <row r="1069" spans="7:9" x14ac:dyDescent="0.25">
      <c r="G1069" s="63"/>
      <c r="H1069" s="63"/>
      <c r="I1069" s="63"/>
    </row>
    <row r="1070" spans="7:9" x14ac:dyDescent="0.25">
      <c r="G1070" s="63"/>
      <c r="H1070" s="63"/>
      <c r="I1070" s="63"/>
    </row>
    <row r="1071" spans="7:9" x14ac:dyDescent="0.25">
      <c r="G1071" s="63"/>
      <c r="H1071" s="63"/>
      <c r="I1071" s="63"/>
    </row>
    <row r="1072" spans="7:9" x14ac:dyDescent="0.25">
      <c r="G1072" s="63"/>
      <c r="H1072" s="63"/>
      <c r="I1072" s="63"/>
    </row>
    <row r="1073" spans="7:9" x14ac:dyDescent="0.25">
      <c r="G1073" s="63"/>
      <c r="H1073" s="63"/>
      <c r="I1073" s="63"/>
    </row>
    <row r="1074" spans="7:9" x14ac:dyDescent="0.25">
      <c r="G1074" s="63"/>
      <c r="H1074" s="63"/>
      <c r="I1074" s="63"/>
    </row>
    <row r="1075" spans="7:9" x14ac:dyDescent="0.25">
      <c r="G1075" s="63"/>
      <c r="H1075" s="63"/>
      <c r="I1075" s="63"/>
    </row>
    <row r="1076" spans="7:9" x14ac:dyDescent="0.25">
      <c r="G1076" s="63"/>
      <c r="H1076" s="63"/>
      <c r="I1076" s="63"/>
    </row>
    <row r="1077" spans="7:9" x14ac:dyDescent="0.25">
      <c r="G1077" s="63"/>
      <c r="H1077" s="63"/>
      <c r="I1077" s="63"/>
    </row>
    <row r="1078" spans="7:9" x14ac:dyDescent="0.25">
      <c r="G1078" s="63"/>
      <c r="H1078" s="63"/>
      <c r="I1078" s="63"/>
    </row>
    <row r="1079" spans="7:9" x14ac:dyDescent="0.25">
      <c r="G1079" s="63"/>
      <c r="H1079" s="63"/>
      <c r="I1079" s="63"/>
    </row>
    <row r="1080" spans="7:9" x14ac:dyDescent="0.25">
      <c r="G1080" s="63"/>
      <c r="H1080" s="63"/>
      <c r="I1080" s="63"/>
    </row>
    <row r="1081" spans="7:9" x14ac:dyDescent="0.25">
      <c r="G1081" s="63"/>
      <c r="H1081" s="63"/>
      <c r="I1081" s="63"/>
    </row>
    <row r="1082" spans="7:9" x14ac:dyDescent="0.25">
      <c r="G1082" s="63"/>
      <c r="H1082" s="63"/>
      <c r="I1082" s="63"/>
    </row>
    <row r="1083" spans="7:9" x14ac:dyDescent="0.25">
      <c r="G1083" s="63"/>
      <c r="H1083" s="63"/>
      <c r="I1083" s="63"/>
    </row>
    <row r="1084" spans="7:9" x14ac:dyDescent="0.25">
      <c r="G1084" s="63"/>
      <c r="H1084" s="63"/>
      <c r="I1084" s="63"/>
    </row>
    <row r="1085" spans="7:9" x14ac:dyDescent="0.25">
      <c r="G1085" s="63"/>
      <c r="H1085" s="63"/>
      <c r="I1085" s="63"/>
    </row>
    <row r="1086" spans="7:9" x14ac:dyDescent="0.25">
      <c r="G1086" s="63"/>
      <c r="H1086" s="63"/>
      <c r="I1086" s="63"/>
    </row>
    <row r="1087" spans="7:9" x14ac:dyDescent="0.25">
      <c r="G1087" s="63"/>
      <c r="H1087" s="63"/>
      <c r="I1087" s="63"/>
    </row>
    <row r="1088" spans="7:9" x14ac:dyDescent="0.25">
      <c r="G1088" s="63"/>
      <c r="H1088" s="63"/>
      <c r="I1088" s="63"/>
    </row>
    <row r="1089" spans="7:9" x14ac:dyDescent="0.25">
      <c r="G1089" s="63"/>
      <c r="H1089" s="63"/>
      <c r="I1089" s="63"/>
    </row>
    <row r="1090" spans="7:9" x14ac:dyDescent="0.25">
      <c r="G1090" s="63"/>
      <c r="H1090" s="63"/>
      <c r="I1090" s="63"/>
    </row>
    <row r="1091" spans="7:9" x14ac:dyDescent="0.25">
      <c r="G1091" s="63"/>
      <c r="H1091" s="63"/>
      <c r="I1091" s="63"/>
    </row>
    <row r="1092" spans="7:9" x14ac:dyDescent="0.25">
      <c r="G1092" s="63"/>
      <c r="H1092" s="63"/>
      <c r="I1092" s="63"/>
    </row>
    <row r="1093" spans="7:9" x14ac:dyDescent="0.25">
      <c r="G1093" s="63"/>
      <c r="H1093" s="63"/>
      <c r="I1093" s="63"/>
    </row>
    <row r="1094" spans="7:9" x14ac:dyDescent="0.25">
      <c r="G1094" s="63"/>
      <c r="H1094" s="63"/>
      <c r="I1094" s="63"/>
    </row>
    <row r="1095" spans="7:9" x14ac:dyDescent="0.25">
      <c r="G1095" s="63"/>
      <c r="H1095" s="63"/>
      <c r="I1095" s="63"/>
    </row>
    <row r="1096" spans="7:9" x14ac:dyDescent="0.25">
      <c r="G1096" s="63"/>
      <c r="H1096" s="63"/>
      <c r="I1096" s="63"/>
    </row>
    <row r="1097" spans="7:9" x14ac:dyDescent="0.25">
      <c r="G1097" s="63"/>
      <c r="H1097" s="63"/>
      <c r="I1097" s="63"/>
    </row>
    <row r="1098" spans="7:9" x14ac:dyDescent="0.25">
      <c r="G1098" s="63"/>
      <c r="H1098" s="63"/>
      <c r="I1098" s="63"/>
    </row>
    <row r="1099" spans="7:9" x14ac:dyDescent="0.25">
      <c r="G1099" s="63"/>
      <c r="H1099" s="63"/>
      <c r="I1099" s="63"/>
    </row>
    <row r="1100" spans="7:9" x14ac:dyDescent="0.25">
      <c r="G1100" s="63"/>
      <c r="H1100" s="63"/>
      <c r="I1100" s="63"/>
    </row>
    <row r="1101" spans="7:9" x14ac:dyDescent="0.25">
      <c r="G1101" s="63"/>
      <c r="H1101" s="63"/>
      <c r="I1101" s="63"/>
    </row>
    <row r="1102" spans="7:9" x14ac:dyDescent="0.25">
      <c r="G1102" s="63"/>
      <c r="H1102" s="63"/>
      <c r="I1102" s="63"/>
    </row>
    <row r="1103" spans="7:9" x14ac:dyDescent="0.25">
      <c r="G1103" s="63"/>
      <c r="H1103" s="63"/>
      <c r="I1103" s="63"/>
    </row>
    <row r="1104" spans="7:9" x14ac:dyDescent="0.25">
      <c r="G1104" s="63"/>
      <c r="H1104" s="63"/>
      <c r="I1104" s="63"/>
    </row>
    <row r="1105" spans="7:9" x14ac:dyDescent="0.25">
      <c r="G1105" s="63"/>
      <c r="H1105" s="63"/>
      <c r="I1105" s="63"/>
    </row>
    <row r="1106" spans="7:9" x14ac:dyDescent="0.25">
      <c r="G1106" s="63"/>
      <c r="H1106" s="63"/>
      <c r="I1106" s="63"/>
    </row>
    <row r="1107" spans="7:9" x14ac:dyDescent="0.25">
      <c r="G1107" s="63"/>
      <c r="H1107" s="63"/>
      <c r="I1107" s="63"/>
    </row>
    <row r="1108" spans="7:9" x14ac:dyDescent="0.25">
      <c r="G1108" s="63"/>
      <c r="H1108" s="63"/>
      <c r="I1108" s="63"/>
    </row>
    <row r="1109" spans="7:9" x14ac:dyDescent="0.25">
      <c r="G1109" s="63"/>
      <c r="H1109" s="63"/>
      <c r="I1109" s="63"/>
    </row>
    <row r="1110" spans="7:9" x14ac:dyDescent="0.25">
      <c r="G1110" s="63"/>
      <c r="H1110" s="63"/>
      <c r="I1110" s="63"/>
    </row>
  </sheetData>
  <dataValidations disablePrompts="1" count="3">
    <dataValidation allowBlank="1" showInputMessage="1" showErrorMessage="1" promptTitle="MD" prompt="Measured Depth of Survey Point" sqref="C1" xr:uid="{AFC05F83-6474-4D36-B490-66FB638266E8}"/>
    <dataValidation allowBlank="1" showInputMessage="1" showErrorMessage="1" promptTitle="Incl. " prompt="Inclination of Well Path taken at given Measured Depth" sqref="E1" xr:uid="{E746B807-55F2-475F-8759-8737F5DF8441}"/>
    <dataValidation allowBlank="1" showInputMessage="1" showErrorMessage="1" promptTitle="TVD" prompt="True Vertical Depth of Survey Point" sqref="D1" xr:uid="{A57546B3-CE2F-42FB-BBFE-410907F260BA}"/>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6234D-FC69-4A0D-A05E-8DEC3C702DB2}">
  <sheetPr codeName="Sheet2"/>
  <dimension ref="A1:N63"/>
  <sheetViews>
    <sheetView workbookViewId="0">
      <selection activeCell="N1" sqref="N1"/>
    </sheetView>
  </sheetViews>
  <sheetFormatPr defaultRowHeight="14.5" x14ac:dyDescent="0.35"/>
  <cols>
    <col min="1" max="1" width="10.54296875" customWidth="1"/>
    <col min="2" max="2" width="8.36328125" customWidth="1"/>
    <col min="3" max="3" width="15" customWidth="1"/>
    <col min="4" max="4" width="9.6328125" customWidth="1"/>
    <col min="5" max="6" width="11.26953125" style="2" bestFit="1" customWidth="1"/>
    <col min="7" max="7" width="12.08984375" customWidth="1"/>
    <col min="8" max="8" width="10.453125" customWidth="1"/>
    <col min="9" max="10" width="8.7265625" customWidth="1"/>
    <col min="11" max="11" width="12.26953125" customWidth="1"/>
    <col min="12" max="12" width="8.08984375" customWidth="1"/>
    <col min="13" max="13" width="7.6328125" customWidth="1"/>
    <col min="14" max="14" width="59.453125" customWidth="1"/>
  </cols>
  <sheetData>
    <row r="1" spans="1:14" ht="22.5" customHeight="1" x14ac:dyDescent="0.35">
      <c r="A1" s="1" t="s">
        <v>8</v>
      </c>
      <c r="B1" s="1" t="s">
        <v>1189</v>
      </c>
      <c r="C1" s="1" t="s">
        <v>9</v>
      </c>
      <c r="D1" s="1" t="s">
        <v>10</v>
      </c>
      <c r="E1" s="1" t="s">
        <v>486</v>
      </c>
      <c r="F1" s="1" t="s">
        <v>487</v>
      </c>
      <c r="G1" s="1" t="s">
        <v>1190</v>
      </c>
      <c r="H1" s="1" t="s">
        <v>1191</v>
      </c>
      <c r="I1" s="1" t="s">
        <v>1192</v>
      </c>
      <c r="J1" s="1" t="s">
        <v>1193</v>
      </c>
      <c r="K1" s="1" t="s">
        <v>469</v>
      </c>
      <c r="L1" s="1" t="s">
        <v>1194</v>
      </c>
      <c r="M1" s="1" t="s">
        <v>1195</v>
      </c>
      <c r="N1" s="1" t="s">
        <v>488</v>
      </c>
    </row>
    <row r="2" spans="1:14" ht="12.75" customHeight="1" x14ac:dyDescent="0.35">
      <c r="A2" s="60">
        <v>43939</v>
      </c>
      <c r="B2">
        <v>26</v>
      </c>
      <c r="C2" t="s">
        <v>12</v>
      </c>
      <c r="D2" t="s">
        <v>637</v>
      </c>
      <c r="E2" s="2">
        <v>4.1666666666666664E-2</v>
      </c>
      <c r="F2" s="2">
        <v>0.16666666666666666</v>
      </c>
      <c r="G2">
        <v>3</v>
      </c>
      <c r="H2">
        <v>258</v>
      </c>
      <c r="I2">
        <v>258</v>
      </c>
      <c r="J2">
        <v>0</v>
      </c>
      <c r="K2" t="s">
        <v>638</v>
      </c>
      <c r="L2">
        <v>258</v>
      </c>
      <c r="M2">
        <v>86</v>
      </c>
      <c r="N2" t="s">
        <v>639</v>
      </c>
    </row>
    <row r="3" spans="1:14" ht="12.75" customHeight="1" x14ac:dyDescent="0.35">
      <c r="A3" s="60">
        <v>43939</v>
      </c>
      <c r="B3">
        <v>26</v>
      </c>
      <c r="C3" t="s">
        <v>12</v>
      </c>
      <c r="D3" t="s">
        <v>640</v>
      </c>
      <c r="E3" s="2">
        <v>0.20833333333333334</v>
      </c>
      <c r="F3" s="2">
        <v>0.375</v>
      </c>
      <c r="G3">
        <v>4</v>
      </c>
      <c r="H3">
        <v>258</v>
      </c>
      <c r="I3">
        <v>0</v>
      </c>
      <c r="J3">
        <v>258</v>
      </c>
      <c r="K3" t="s">
        <v>638</v>
      </c>
      <c r="L3">
        <v>258</v>
      </c>
      <c r="M3">
        <v>64.5</v>
      </c>
      <c r="N3" t="s">
        <v>642</v>
      </c>
    </row>
    <row r="4" spans="1:14" ht="12.75" customHeight="1" x14ac:dyDescent="0.35">
      <c r="A4" s="60">
        <v>43939</v>
      </c>
      <c r="B4">
        <v>26</v>
      </c>
      <c r="C4" t="s">
        <v>12</v>
      </c>
      <c r="D4" t="s">
        <v>637</v>
      </c>
      <c r="E4" s="2">
        <v>0.42708333333333331</v>
      </c>
      <c r="F4" s="2">
        <v>0.64583333333333337</v>
      </c>
      <c r="G4">
        <v>5.2500000000000018</v>
      </c>
      <c r="H4">
        <v>258</v>
      </c>
      <c r="I4">
        <v>258</v>
      </c>
      <c r="J4">
        <v>0</v>
      </c>
      <c r="K4" t="s">
        <v>638</v>
      </c>
      <c r="L4">
        <v>258</v>
      </c>
      <c r="M4">
        <v>49.142857142857125</v>
      </c>
      <c r="N4" t="s">
        <v>643</v>
      </c>
    </row>
    <row r="5" spans="1:14" ht="12.75" customHeight="1" x14ac:dyDescent="0.35">
      <c r="A5" s="60">
        <v>43941</v>
      </c>
      <c r="B5">
        <v>17.5</v>
      </c>
      <c r="C5" t="s">
        <v>12</v>
      </c>
      <c r="D5" t="s">
        <v>640</v>
      </c>
      <c r="E5" s="2">
        <v>0.33333333333333331</v>
      </c>
      <c r="F5" s="2">
        <v>0.52083333333333337</v>
      </c>
      <c r="G5">
        <v>4.5000000000000018</v>
      </c>
      <c r="H5">
        <v>279</v>
      </c>
      <c r="I5">
        <v>0</v>
      </c>
      <c r="J5">
        <v>222</v>
      </c>
      <c r="K5" t="s">
        <v>777</v>
      </c>
      <c r="L5">
        <v>222</v>
      </c>
      <c r="M5">
        <v>49.333333333333314</v>
      </c>
      <c r="N5" t="s">
        <v>685</v>
      </c>
    </row>
    <row r="6" spans="1:14" ht="12.75" customHeight="1" x14ac:dyDescent="0.35">
      <c r="A6" s="60">
        <v>43941</v>
      </c>
      <c r="B6">
        <v>17.5</v>
      </c>
      <c r="C6" t="s">
        <v>12</v>
      </c>
      <c r="D6" t="s">
        <v>637</v>
      </c>
      <c r="E6" s="2">
        <v>0.83333333333333337</v>
      </c>
      <c r="F6" s="2">
        <v>0.9375</v>
      </c>
      <c r="G6">
        <v>2.4999999999999991</v>
      </c>
      <c r="H6">
        <v>279</v>
      </c>
      <c r="I6">
        <v>279</v>
      </c>
      <c r="J6">
        <v>0</v>
      </c>
      <c r="K6" t="s">
        <v>638</v>
      </c>
      <c r="L6">
        <v>279</v>
      </c>
      <c r="M6">
        <v>111.60000000000004</v>
      </c>
      <c r="N6" t="s">
        <v>686</v>
      </c>
    </row>
    <row r="7" spans="1:14" ht="12.75" customHeight="1" x14ac:dyDescent="0.35">
      <c r="A7" s="60">
        <v>43942</v>
      </c>
      <c r="B7">
        <v>17.5</v>
      </c>
      <c r="C7" t="s">
        <v>12</v>
      </c>
      <c r="D7" t="s">
        <v>640</v>
      </c>
      <c r="E7" s="2">
        <v>5.2083333333333336E-2</v>
      </c>
      <c r="F7" s="2">
        <v>0.1875</v>
      </c>
      <c r="G7">
        <v>3.25</v>
      </c>
      <c r="H7">
        <v>813</v>
      </c>
      <c r="I7">
        <v>0</v>
      </c>
      <c r="J7">
        <v>279</v>
      </c>
      <c r="K7" t="s">
        <v>777</v>
      </c>
      <c r="L7">
        <v>279</v>
      </c>
      <c r="M7">
        <v>85.84615384615384</v>
      </c>
      <c r="N7" t="s">
        <v>690</v>
      </c>
    </row>
    <row r="8" spans="1:14" ht="12.75" customHeight="1" x14ac:dyDescent="0.35">
      <c r="A8" s="60">
        <v>43943</v>
      </c>
      <c r="B8">
        <v>17.5</v>
      </c>
      <c r="C8" t="s">
        <v>12</v>
      </c>
      <c r="D8" t="s">
        <v>637</v>
      </c>
      <c r="E8" s="2">
        <v>0.5</v>
      </c>
      <c r="F8" s="2">
        <v>0.79166666666666663</v>
      </c>
      <c r="G8">
        <v>6.9999999999999991</v>
      </c>
      <c r="H8">
        <v>1050</v>
      </c>
      <c r="I8">
        <v>1050</v>
      </c>
      <c r="J8">
        <v>0</v>
      </c>
      <c r="K8" t="s">
        <v>638</v>
      </c>
      <c r="L8">
        <v>1050</v>
      </c>
      <c r="M8">
        <v>150.00000000000003</v>
      </c>
      <c r="N8" t="s">
        <v>699</v>
      </c>
    </row>
    <row r="9" spans="1:14" ht="12.75" customHeight="1" x14ac:dyDescent="0.35">
      <c r="A9" s="60">
        <v>43943</v>
      </c>
      <c r="B9">
        <v>17.5</v>
      </c>
      <c r="C9" t="s">
        <v>245</v>
      </c>
      <c r="D9" t="s">
        <v>640</v>
      </c>
      <c r="E9" s="2">
        <v>0.875</v>
      </c>
      <c r="F9" s="2">
        <v>1</v>
      </c>
      <c r="G9">
        <v>3</v>
      </c>
      <c r="H9">
        <v>1050</v>
      </c>
      <c r="I9">
        <v>0</v>
      </c>
      <c r="J9">
        <v>636</v>
      </c>
      <c r="K9" t="s">
        <v>641</v>
      </c>
      <c r="L9">
        <v>636</v>
      </c>
      <c r="M9">
        <v>212</v>
      </c>
      <c r="N9" t="s">
        <v>700</v>
      </c>
    </row>
    <row r="10" spans="1:14" ht="12.75" customHeight="1" x14ac:dyDescent="0.35">
      <c r="A10" s="60">
        <v>43944</v>
      </c>
      <c r="B10">
        <v>17.5</v>
      </c>
      <c r="C10" t="s">
        <v>245</v>
      </c>
      <c r="D10" t="s">
        <v>640</v>
      </c>
      <c r="E10" s="2">
        <v>0</v>
      </c>
      <c r="F10" s="2">
        <v>8.3333333333333329E-2</v>
      </c>
      <c r="G10">
        <v>2</v>
      </c>
      <c r="H10">
        <v>1054</v>
      </c>
      <c r="I10">
        <v>636</v>
      </c>
      <c r="J10">
        <v>1005</v>
      </c>
      <c r="K10" t="s">
        <v>641</v>
      </c>
      <c r="L10">
        <v>369</v>
      </c>
      <c r="M10">
        <v>184.5</v>
      </c>
      <c r="N10" t="s">
        <v>705</v>
      </c>
    </row>
    <row r="11" spans="1:14" ht="12.75" customHeight="1" x14ac:dyDescent="0.35">
      <c r="A11" s="60">
        <v>43944</v>
      </c>
      <c r="B11">
        <v>17.5</v>
      </c>
      <c r="C11" t="s">
        <v>245</v>
      </c>
      <c r="D11" t="s">
        <v>637</v>
      </c>
      <c r="E11" s="2">
        <v>0.45833333333333331</v>
      </c>
      <c r="F11" s="2">
        <v>0.72916666666666663</v>
      </c>
      <c r="G11">
        <v>6.5</v>
      </c>
      <c r="H11">
        <v>1054</v>
      </c>
      <c r="I11">
        <v>1054</v>
      </c>
      <c r="J11">
        <v>0</v>
      </c>
      <c r="K11" t="s">
        <v>638</v>
      </c>
      <c r="L11">
        <v>1054</v>
      </c>
      <c r="M11">
        <v>162.15384615384616</v>
      </c>
      <c r="N11" t="s">
        <v>706</v>
      </c>
    </row>
    <row r="12" spans="1:14" ht="12.75" customHeight="1" x14ac:dyDescent="0.35">
      <c r="A12" s="60">
        <v>43944</v>
      </c>
      <c r="B12">
        <v>17.5</v>
      </c>
      <c r="C12" t="s">
        <v>245</v>
      </c>
      <c r="D12" t="s">
        <v>779</v>
      </c>
      <c r="E12" s="2">
        <v>0.16666666666666666</v>
      </c>
      <c r="F12" s="2">
        <v>0.23958333333333334</v>
      </c>
      <c r="G12">
        <v>1.7500000000000004</v>
      </c>
      <c r="H12">
        <v>1054</v>
      </c>
      <c r="I12">
        <v>1054</v>
      </c>
      <c r="J12">
        <v>250</v>
      </c>
      <c r="K12" t="s">
        <v>641</v>
      </c>
      <c r="L12">
        <v>804</v>
      </c>
      <c r="M12">
        <v>459.42857142857133</v>
      </c>
      <c r="N12" t="s">
        <v>707</v>
      </c>
    </row>
    <row r="13" spans="1:14" ht="12.75" customHeight="1" x14ac:dyDescent="0.35">
      <c r="A13" s="60">
        <v>43944</v>
      </c>
      <c r="B13">
        <v>17.5</v>
      </c>
      <c r="C13" t="s">
        <v>245</v>
      </c>
      <c r="D13" t="s">
        <v>640</v>
      </c>
      <c r="E13" s="2">
        <v>0.23958333333333334</v>
      </c>
      <c r="F13" s="2">
        <v>0.33333333333333331</v>
      </c>
      <c r="G13">
        <v>2.2499999999999991</v>
      </c>
      <c r="H13">
        <v>1054</v>
      </c>
      <c r="I13">
        <v>250</v>
      </c>
      <c r="J13">
        <v>1044</v>
      </c>
      <c r="K13" t="s">
        <v>641</v>
      </c>
      <c r="L13">
        <v>794</v>
      </c>
      <c r="M13">
        <v>352.88888888888903</v>
      </c>
      <c r="N13" t="s">
        <v>708</v>
      </c>
    </row>
    <row r="14" spans="1:14" ht="12.75" customHeight="1" x14ac:dyDescent="0.35">
      <c r="A14" s="60">
        <v>43947</v>
      </c>
      <c r="B14">
        <v>12.25</v>
      </c>
      <c r="C14" t="s">
        <v>12</v>
      </c>
      <c r="D14" t="s">
        <v>640</v>
      </c>
      <c r="E14" s="2">
        <v>4.1666666666666664E-2</v>
      </c>
      <c r="F14" s="2">
        <v>0.39583333333333331</v>
      </c>
      <c r="G14">
        <v>8.5</v>
      </c>
      <c r="H14">
        <v>1084</v>
      </c>
      <c r="I14">
        <v>0</v>
      </c>
      <c r="J14">
        <v>1003</v>
      </c>
      <c r="K14" t="s">
        <v>777</v>
      </c>
      <c r="L14">
        <v>1003</v>
      </c>
      <c r="M14">
        <v>118</v>
      </c>
      <c r="N14" t="s">
        <v>737</v>
      </c>
    </row>
    <row r="15" spans="1:14" ht="37.5" customHeight="1" x14ac:dyDescent="0.35">
      <c r="A15" s="60">
        <v>43947</v>
      </c>
      <c r="B15">
        <v>12.25</v>
      </c>
      <c r="C15" t="s">
        <v>12</v>
      </c>
      <c r="D15" t="s">
        <v>637</v>
      </c>
      <c r="E15" s="2">
        <v>0.64583333333333337</v>
      </c>
      <c r="F15" s="2">
        <v>0.8125</v>
      </c>
      <c r="G15">
        <v>3.9999999999999991</v>
      </c>
      <c r="H15">
        <v>1084</v>
      </c>
      <c r="I15">
        <v>1084</v>
      </c>
      <c r="J15">
        <v>0</v>
      </c>
      <c r="K15" t="s">
        <v>638</v>
      </c>
      <c r="L15">
        <v>1084</v>
      </c>
      <c r="M15">
        <v>271.00000000000006</v>
      </c>
      <c r="N15" t="s">
        <v>738</v>
      </c>
    </row>
    <row r="16" spans="1:14" ht="38.25" customHeight="1" x14ac:dyDescent="0.35">
      <c r="A16" s="60">
        <v>43948</v>
      </c>
      <c r="B16">
        <v>12.25</v>
      </c>
      <c r="C16" t="s">
        <v>12</v>
      </c>
      <c r="D16" t="s">
        <v>640</v>
      </c>
      <c r="E16" s="2">
        <v>0.25</v>
      </c>
      <c r="F16" s="2">
        <v>0.5</v>
      </c>
      <c r="G16">
        <v>6</v>
      </c>
      <c r="H16">
        <v>1380</v>
      </c>
      <c r="I16">
        <v>32</v>
      </c>
      <c r="J16">
        <v>1084</v>
      </c>
      <c r="K16" t="s">
        <v>777</v>
      </c>
      <c r="L16">
        <v>1052</v>
      </c>
      <c r="M16">
        <v>175.33333333333334</v>
      </c>
      <c r="N16" t="s">
        <v>746</v>
      </c>
    </row>
    <row r="17" spans="1:14" ht="12.75" customHeight="1" x14ac:dyDescent="0.35">
      <c r="A17" s="60">
        <v>43951</v>
      </c>
      <c r="B17">
        <v>12.25</v>
      </c>
      <c r="C17" t="s">
        <v>12</v>
      </c>
      <c r="D17" t="s">
        <v>637</v>
      </c>
      <c r="E17" s="2">
        <v>0.14583333333333334</v>
      </c>
      <c r="F17" s="2">
        <v>0.4375</v>
      </c>
      <c r="G17">
        <v>6.9999999999999991</v>
      </c>
      <c r="H17">
        <v>2350</v>
      </c>
      <c r="I17">
        <v>2247</v>
      </c>
      <c r="J17">
        <v>1044</v>
      </c>
      <c r="K17" t="s">
        <v>641</v>
      </c>
      <c r="L17">
        <v>1203</v>
      </c>
      <c r="M17">
        <v>171.85714285714289</v>
      </c>
      <c r="N17" t="s">
        <v>758</v>
      </c>
    </row>
    <row r="18" spans="1:14" ht="12.75" customHeight="1" x14ac:dyDescent="0.35">
      <c r="A18" s="60">
        <v>43951</v>
      </c>
      <c r="B18">
        <v>12.25</v>
      </c>
      <c r="C18" t="s">
        <v>12</v>
      </c>
      <c r="D18" t="s">
        <v>640</v>
      </c>
      <c r="E18" s="2">
        <v>0.4375</v>
      </c>
      <c r="F18" s="2">
        <v>0.64583333333333337</v>
      </c>
      <c r="G18">
        <v>5.0000000000000009</v>
      </c>
      <c r="H18">
        <v>2350</v>
      </c>
      <c r="I18">
        <v>1044</v>
      </c>
      <c r="J18">
        <v>2247</v>
      </c>
      <c r="K18" t="s">
        <v>641</v>
      </c>
      <c r="L18">
        <v>1203</v>
      </c>
      <c r="M18">
        <v>240.59999999999997</v>
      </c>
      <c r="N18" t="s">
        <v>759</v>
      </c>
    </row>
    <row r="19" spans="1:14" ht="12.75" customHeight="1" x14ac:dyDescent="0.35">
      <c r="A19" s="60">
        <v>43955</v>
      </c>
      <c r="B19">
        <v>12.25</v>
      </c>
      <c r="C19" t="s">
        <v>12</v>
      </c>
      <c r="D19" t="s">
        <v>637</v>
      </c>
      <c r="E19" s="2">
        <v>0.1875</v>
      </c>
      <c r="F19" s="2">
        <v>0.64583333333333337</v>
      </c>
      <c r="G19">
        <v>11</v>
      </c>
      <c r="H19">
        <v>2891</v>
      </c>
      <c r="I19">
        <v>2891</v>
      </c>
      <c r="J19">
        <v>166</v>
      </c>
      <c r="K19" t="s">
        <v>638</v>
      </c>
      <c r="L19">
        <v>2725</v>
      </c>
      <c r="M19">
        <v>247.72727272727272</v>
      </c>
      <c r="N19" t="s">
        <v>775</v>
      </c>
    </row>
    <row r="20" spans="1:14" ht="12.75" customHeight="1" x14ac:dyDescent="0.35">
      <c r="A20" s="60">
        <v>43955</v>
      </c>
      <c r="B20">
        <v>12.25</v>
      </c>
      <c r="C20" t="s">
        <v>245</v>
      </c>
      <c r="D20" t="s">
        <v>640</v>
      </c>
      <c r="E20" s="2">
        <v>0.83333333333333337</v>
      </c>
      <c r="F20" s="2">
        <v>0.97916666666666663</v>
      </c>
      <c r="G20">
        <v>3.4999999999999982</v>
      </c>
      <c r="H20">
        <v>2891</v>
      </c>
      <c r="I20">
        <v>0</v>
      </c>
      <c r="J20">
        <v>1017</v>
      </c>
      <c r="K20" t="s">
        <v>777</v>
      </c>
      <c r="L20">
        <v>1017</v>
      </c>
      <c r="M20">
        <v>290.57142857142873</v>
      </c>
      <c r="N20" t="s">
        <v>776</v>
      </c>
    </row>
    <row r="21" spans="1:14" ht="12.75" customHeight="1" x14ac:dyDescent="0.35">
      <c r="A21" s="60">
        <v>43956</v>
      </c>
      <c r="B21">
        <v>12.25</v>
      </c>
      <c r="C21" t="s">
        <v>245</v>
      </c>
      <c r="D21" t="s">
        <v>640</v>
      </c>
      <c r="E21" s="2">
        <v>8.3333333333333329E-2</v>
      </c>
      <c r="F21" s="2">
        <v>0.72916666666666663</v>
      </c>
      <c r="G21">
        <v>15.499999999999998</v>
      </c>
      <c r="H21">
        <v>2891</v>
      </c>
      <c r="I21">
        <v>1017</v>
      </c>
      <c r="J21">
        <v>2891</v>
      </c>
      <c r="K21" t="s">
        <v>641</v>
      </c>
      <c r="L21">
        <v>1874</v>
      </c>
      <c r="M21">
        <v>120.90322580645163</v>
      </c>
      <c r="N21" t="s">
        <v>783</v>
      </c>
    </row>
    <row r="22" spans="1:14" ht="12.75" customHeight="1" x14ac:dyDescent="0.35">
      <c r="A22" s="60">
        <v>43956</v>
      </c>
      <c r="B22">
        <v>12.25</v>
      </c>
      <c r="C22" t="s">
        <v>245</v>
      </c>
      <c r="D22" t="s">
        <v>637</v>
      </c>
      <c r="E22" s="2">
        <v>0.8125</v>
      </c>
      <c r="F22" s="2">
        <v>1</v>
      </c>
      <c r="G22">
        <v>4.5</v>
      </c>
      <c r="H22">
        <v>2891</v>
      </c>
      <c r="I22">
        <v>2891</v>
      </c>
      <c r="J22">
        <v>1796</v>
      </c>
      <c r="K22" t="s">
        <v>641</v>
      </c>
      <c r="L22">
        <v>1095</v>
      </c>
      <c r="M22">
        <v>243.33333333333334</v>
      </c>
      <c r="N22" t="s">
        <v>784</v>
      </c>
    </row>
    <row r="23" spans="1:14" ht="12.75" customHeight="1" x14ac:dyDescent="0.35">
      <c r="A23" s="60">
        <v>43957</v>
      </c>
      <c r="B23">
        <v>12.25</v>
      </c>
      <c r="C23" t="s">
        <v>245</v>
      </c>
      <c r="D23" t="s">
        <v>637</v>
      </c>
      <c r="E23" s="2">
        <v>0.52083333333333337</v>
      </c>
      <c r="F23" s="2">
        <v>0.91666666666666663</v>
      </c>
      <c r="G23">
        <v>9.4999999999999982</v>
      </c>
      <c r="H23">
        <v>2891</v>
      </c>
      <c r="I23">
        <v>2891</v>
      </c>
      <c r="J23">
        <v>0</v>
      </c>
      <c r="K23" t="s">
        <v>638</v>
      </c>
      <c r="L23">
        <v>2891</v>
      </c>
      <c r="M23">
        <v>304.31578947368428</v>
      </c>
      <c r="N23" t="s">
        <v>788</v>
      </c>
    </row>
    <row r="24" spans="1:14" ht="12.75" customHeight="1" x14ac:dyDescent="0.35">
      <c r="A24" s="60">
        <v>43957</v>
      </c>
      <c r="B24">
        <v>12.25</v>
      </c>
      <c r="C24" t="s">
        <v>245</v>
      </c>
      <c r="D24" t="s">
        <v>637</v>
      </c>
      <c r="E24" s="2">
        <v>0</v>
      </c>
      <c r="F24" s="2">
        <v>0.10416666666666667</v>
      </c>
      <c r="G24">
        <v>2.5</v>
      </c>
      <c r="H24">
        <v>2891</v>
      </c>
      <c r="I24">
        <v>1796</v>
      </c>
      <c r="J24">
        <v>1046</v>
      </c>
      <c r="K24" t="s">
        <v>638</v>
      </c>
      <c r="L24">
        <v>750</v>
      </c>
      <c r="M24">
        <v>300</v>
      </c>
      <c r="N24" t="s">
        <v>789</v>
      </c>
    </row>
    <row r="25" spans="1:14" ht="12.75" customHeight="1" x14ac:dyDescent="0.35">
      <c r="A25" s="60">
        <v>43957</v>
      </c>
      <c r="B25">
        <v>12.25</v>
      </c>
      <c r="C25" t="s">
        <v>245</v>
      </c>
      <c r="D25" t="s">
        <v>640</v>
      </c>
      <c r="E25" s="2">
        <v>0.10416666666666667</v>
      </c>
      <c r="F25" s="2">
        <v>0.3125</v>
      </c>
      <c r="G25">
        <v>5</v>
      </c>
      <c r="H25">
        <v>2891</v>
      </c>
      <c r="I25">
        <v>1046</v>
      </c>
      <c r="J25">
        <v>2891</v>
      </c>
      <c r="K25" t="s">
        <v>641</v>
      </c>
      <c r="L25">
        <v>1845</v>
      </c>
      <c r="M25">
        <v>369</v>
      </c>
      <c r="N25" t="s">
        <v>790</v>
      </c>
    </row>
    <row r="26" spans="1:14" ht="12.75" customHeight="1" x14ac:dyDescent="0.35">
      <c r="A26" s="60">
        <v>43960</v>
      </c>
      <c r="B26">
        <v>12.25</v>
      </c>
      <c r="C26" t="s">
        <v>280</v>
      </c>
      <c r="D26" t="s">
        <v>637</v>
      </c>
      <c r="E26" s="2">
        <v>0.875</v>
      </c>
      <c r="F26" s="2">
        <v>0.91666666666666663</v>
      </c>
      <c r="G26">
        <v>0.99999999999999911</v>
      </c>
      <c r="H26">
        <v>2891</v>
      </c>
      <c r="I26">
        <v>2891</v>
      </c>
      <c r="J26">
        <v>0</v>
      </c>
      <c r="K26" t="s">
        <v>638</v>
      </c>
      <c r="L26">
        <v>2891</v>
      </c>
      <c r="M26">
        <v>2891.0000000000027</v>
      </c>
      <c r="N26" t="s">
        <v>812</v>
      </c>
    </row>
    <row r="27" spans="1:14" ht="12.75" customHeight="1" x14ac:dyDescent="0.35">
      <c r="A27" s="60">
        <v>43961</v>
      </c>
      <c r="B27">
        <v>8.5</v>
      </c>
      <c r="C27" t="s">
        <v>12</v>
      </c>
      <c r="D27" t="s">
        <v>640</v>
      </c>
      <c r="E27" s="2">
        <v>0.10416666666666667</v>
      </c>
      <c r="F27" s="2">
        <v>0.375</v>
      </c>
      <c r="G27">
        <v>6.5</v>
      </c>
      <c r="H27">
        <v>2976</v>
      </c>
      <c r="I27">
        <v>33</v>
      </c>
      <c r="J27">
        <v>2802</v>
      </c>
      <c r="K27" t="s">
        <v>638</v>
      </c>
      <c r="L27">
        <v>2769</v>
      </c>
      <c r="M27">
        <v>426</v>
      </c>
      <c r="N27" t="s">
        <v>819</v>
      </c>
    </row>
    <row r="28" spans="1:14" ht="12.75" customHeight="1" x14ac:dyDescent="0.35">
      <c r="A28" s="60">
        <v>43962</v>
      </c>
      <c r="B28">
        <v>8.5</v>
      </c>
      <c r="C28" t="s">
        <v>12</v>
      </c>
      <c r="D28" t="s">
        <v>637</v>
      </c>
      <c r="E28" s="2">
        <v>0.9375</v>
      </c>
      <c r="F28" s="2">
        <v>1</v>
      </c>
      <c r="G28">
        <v>1.5</v>
      </c>
      <c r="H28">
        <v>3191</v>
      </c>
      <c r="I28">
        <v>3188</v>
      </c>
      <c r="J28">
        <v>2880</v>
      </c>
      <c r="K28" t="s">
        <v>777</v>
      </c>
      <c r="L28">
        <v>308</v>
      </c>
      <c r="M28">
        <v>205.33333333333334</v>
      </c>
      <c r="N28" t="s">
        <v>825</v>
      </c>
    </row>
    <row r="29" spans="1:14" ht="12.75" customHeight="1" x14ac:dyDescent="0.35">
      <c r="A29" s="60">
        <v>43963</v>
      </c>
      <c r="B29">
        <v>8.5</v>
      </c>
      <c r="C29" t="s">
        <v>12</v>
      </c>
      <c r="D29" t="s">
        <v>637</v>
      </c>
      <c r="E29" s="2">
        <v>0</v>
      </c>
      <c r="F29" s="2">
        <v>0.29166666666666669</v>
      </c>
      <c r="G29">
        <v>7</v>
      </c>
      <c r="H29">
        <v>3191</v>
      </c>
      <c r="I29">
        <v>2880</v>
      </c>
      <c r="J29">
        <v>33</v>
      </c>
      <c r="K29" t="s">
        <v>777</v>
      </c>
      <c r="L29">
        <v>2847</v>
      </c>
      <c r="M29">
        <v>406.71428571428572</v>
      </c>
      <c r="N29" t="s">
        <v>834</v>
      </c>
    </row>
    <row r="30" spans="1:14" ht="12.75" customHeight="1" x14ac:dyDescent="0.35">
      <c r="A30" s="60">
        <v>43963</v>
      </c>
      <c r="B30">
        <v>8.5</v>
      </c>
      <c r="C30" t="s">
        <v>245</v>
      </c>
      <c r="D30" t="s">
        <v>640</v>
      </c>
      <c r="E30" s="2">
        <v>0.375</v>
      </c>
      <c r="F30" s="2">
        <v>0.70833333333333337</v>
      </c>
      <c r="G30">
        <v>8</v>
      </c>
      <c r="H30">
        <v>3191</v>
      </c>
      <c r="I30">
        <v>0</v>
      </c>
      <c r="J30">
        <v>2858</v>
      </c>
      <c r="K30" t="s">
        <v>641</v>
      </c>
      <c r="L30">
        <v>2858</v>
      </c>
      <c r="M30">
        <v>357.25</v>
      </c>
      <c r="N30" t="s">
        <v>835</v>
      </c>
    </row>
    <row r="31" spans="1:14" ht="12.75" customHeight="1" x14ac:dyDescent="0.35">
      <c r="A31" s="60">
        <v>43963</v>
      </c>
      <c r="B31">
        <v>8.5</v>
      </c>
      <c r="C31" t="s">
        <v>245</v>
      </c>
      <c r="D31" t="s">
        <v>640</v>
      </c>
      <c r="E31" s="2">
        <v>0.91666666666666663</v>
      </c>
      <c r="F31" s="2">
        <v>0.97916666666666663</v>
      </c>
      <c r="G31">
        <v>1.5</v>
      </c>
      <c r="H31">
        <v>3191</v>
      </c>
      <c r="I31">
        <v>2858</v>
      </c>
      <c r="J31">
        <v>3191</v>
      </c>
      <c r="K31" t="s">
        <v>641</v>
      </c>
      <c r="L31">
        <v>333</v>
      </c>
      <c r="M31">
        <v>222</v>
      </c>
      <c r="N31" t="s">
        <v>836</v>
      </c>
    </row>
    <row r="32" spans="1:14" ht="12.75" customHeight="1" x14ac:dyDescent="0.35">
      <c r="A32" s="60">
        <v>43963</v>
      </c>
      <c r="B32">
        <v>8.5</v>
      </c>
      <c r="C32" t="s">
        <v>245</v>
      </c>
      <c r="D32" t="s">
        <v>637</v>
      </c>
      <c r="E32" s="2">
        <v>0.97916666666666663</v>
      </c>
      <c r="F32" s="2">
        <v>1</v>
      </c>
      <c r="G32">
        <v>0.50000000000000089</v>
      </c>
      <c r="H32">
        <v>3191</v>
      </c>
      <c r="I32">
        <v>3191</v>
      </c>
      <c r="J32">
        <v>3063</v>
      </c>
      <c r="K32" t="s">
        <v>638</v>
      </c>
      <c r="L32">
        <v>128</v>
      </c>
      <c r="M32">
        <v>255.99999999999955</v>
      </c>
      <c r="N32" t="s">
        <v>831</v>
      </c>
    </row>
    <row r="33" spans="1:14" ht="12.75" customHeight="1" x14ac:dyDescent="0.35">
      <c r="A33" s="60">
        <v>43964</v>
      </c>
      <c r="B33">
        <v>8.5</v>
      </c>
      <c r="C33" t="s">
        <v>245</v>
      </c>
      <c r="D33" t="s">
        <v>637</v>
      </c>
      <c r="E33" s="2">
        <v>0.15625</v>
      </c>
      <c r="F33" s="2">
        <v>0.45833333333333331</v>
      </c>
      <c r="G33">
        <v>7.25</v>
      </c>
      <c r="H33">
        <v>3191</v>
      </c>
      <c r="I33">
        <v>3191</v>
      </c>
      <c r="J33">
        <v>0</v>
      </c>
      <c r="K33" t="s">
        <v>638</v>
      </c>
      <c r="L33">
        <v>3191</v>
      </c>
      <c r="M33">
        <v>440.13793103448273</v>
      </c>
      <c r="N33" t="s">
        <v>841</v>
      </c>
    </row>
    <row r="34" spans="1:14" ht="12.75" customHeight="1" x14ac:dyDescent="0.35">
      <c r="A34" s="60">
        <v>43964</v>
      </c>
      <c r="B34">
        <v>8.5</v>
      </c>
      <c r="C34" t="s">
        <v>245</v>
      </c>
      <c r="D34" t="s">
        <v>637</v>
      </c>
      <c r="E34" s="2">
        <v>0</v>
      </c>
      <c r="F34" s="2">
        <v>2.0833333333333332E-2</v>
      </c>
      <c r="G34">
        <v>0.5</v>
      </c>
      <c r="H34">
        <v>3191</v>
      </c>
      <c r="I34">
        <v>3063</v>
      </c>
      <c r="J34">
        <v>2880</v>
      </c>
      <c r="K34" t="s">
        <v>641</v>
      </c>
      <c r="L34">
        <v>183</v>
      </c>
      <c r="M34">
        <v>366</v>
      </c>
      <c r="N34" t="s">
        <v>839</v>
      </c>
    </row>
    <row r="35" spans="1:14" ht="12.75" customHeight="1" x14ac:dyDescent="0.35">
      <c r="A35" s="60">
        <v>43964</v>
      </c>
      <c r="B35">
        <v>8.5</v>
      </c>
      <c r="C35" t="s">
        <v>245</v>
      </c>
      <c r="D35" t="s">
        <v>640</v>
      </c>
      <c r="E35" s="2">
        <v>2.0833333333333332E-2</v>
      </c>
      <c r="F35" s="2">
        <v>6.25E-2</v>
      </c>
      <c r="G35">
        <v>1</v>
      </c>
      <c r="H35">
        <v>3191</v>
      </c>
      <c r="I35">
        <v>2880</v>
      </c>
      <c r="J35">
        <v>3191</v>
      </c>
      <c r="K35" t="s">
        <v>638</v>
      </c>
      <c r="L35">
        <v>311</v>
      </c>
      <c r="M35">
        <v>311</v>
      </c>
      <c r="N35" t="s">
        <v>842</v>
      </c>
    </row>
    <row r="36" spans="1:14" ht="12.75" customHeight="1" x14ac:dyDescent="0.35">
      <c r="A36" s="60">
        <v>43965</v>
      </c>
      <c r="B36">
        <v>8.5</v>
      </c>
      <c r="C36" t="s">
        <v>851</v>
      </c>
      <c r="D36" t="s">
        <v>637</v>
      </c>
      <c r="E36" s="2">
        <v>0.57291666666666663</v>
      </c>
      <c r="F36" s="2">
        <v>0.79166666666666663</v>
      </c>
      <c r="G36">
        <v>5.25</v>
      </c>
      <c r="H36">
        <v>3191</v>
      </c>
      <c r="I36">
        <v>3191</v>
      </c>
      <c r="J36">
        <v>0</v>
      </c>
      <c r="K36" t="s">
        <v>777</v>
      </c>
      <c r="L36">
        <v>3191</v>
      </c>
      <c r="M36">
        <v>607.80952380952385</v>
      </c>
      <c r="N36" t="s">
        <v>846</v>
      </c>
    </row>
    <row r="37" spans="1:14" ht="12.75" customHeight="1" x14ac:dyDescent="0.35">
      <c r="A37" s="60">
        <v>43965</v>
      </c>
      <c r="B37">
        <v>8.5</v>
      </c>
      <c r="C37" t="s">
        <v>851</v>
      </c>
      <c r="D37" t="s">
        <v>640</v>
      </c>
      <c r="E37" s="2">
        <v>0.79166666666666663</v>
      </c>
      <c r="F37" s="2">
        <v>1</v>
      </c>
      <c r="G37">
        <v>5.0000000000000009</v>
      </c>
      <c r="H37">
        <v>3191</v>
      </c>
      <c r="I37">
        <v>0</v>
      </c>
      <c r="J37">
        <v>2237</v>
      </c>
      <c r="K37" t="s">
        <v>777</v>
      </c>
      <c r="L37">
        <v>2237</v>
      </c>
      <c r="M37">
        <v>447.39999999999992</v>
      </c>
      <c r="N37" t="s">
        <v>847</v>
      </c>
    </row>
    <row r="38" spans="1:14" ht="12.75" customHeight="1" x14ac:dyDescent="0.35">
      <c r="A38" s="60">
        <v>43966</v>
      </c>
      <c r="B38">
        <v>8.5</v>
      </c>
      <c r="C38" t="s">
        <v>851</v>
      </c>
      <c r="D38" t="s">
        <v>640</v>
      </c>
      <c r="E38" s="2">
        <v>0</v>
      </c>
      <c r="F38" s="2">
        <v>2.0833333333333332E-2</v>
      </c>
      <c r="G38">
        <v>0.5</v>
      </c>
      <c r="H38">
        <v>3191</v>
      </c>
      <c r="I38">
        <v>2200</v>
      </c>
      <c r="J38">
        <v>2293</v>
      </c>
      <c r="K38" t="s">
        <v>777</v>
      </c>
      <c r="L38">
        <v>93</v>
      </c>
      <c r="M38">
        <v>186</v>
      </c>
      <c r="N38" t="s">
        <v>855</v>
      </c>
    </row>
    <row r="39" spans="1:14" ht="12.75" customHeight="1" x14ac:dyDescent="0.35">
      <c r="A39" s="60">
        <v>43966</v>
      </c>
      <c r="B39">
        <v>8.5</v>
      </c>
      <c r="C39" t="s">
        <v>851</v>
      </c>
      <c r="D39" t="s">
        <v>637</v>
      </c>
      <c r="E39" s="2">
        <v>0.1875</v>
      </c>
      <c r="F39" s="2">
        <v>0.625</v>
      </c>
      <c r="G39">
        <v>10.5</v>
      </c>
      <c r="H39">
        <v>3191</v>
      </c>
      <c r="I39">
        <v>2657</v>
      </c>
      <c r="J39">
        <v>0</v>
      </c>
      <c r="K39" t="s">
        <v>777</v>
      </c>
      <c r="L39">
        <v>2657</v>
      </c>
      <c r="M39">
        <v>253.04761904761904</v>
      </c>
      <c r="N39" t="s">
        <v>856</v>
      </c>
    </row>
    <row r="40" spans="1:14" ht="12.75" customHeight="1" x14ac:dyDescent="0.35">
      <c r="A40" s="60">
        <v>43967</v>
      </c>
      <c r="B40">
        <v>6</v>
      </c>
      <c r="C40" t="s">
        <v>12</v>
      </c>
      <c r="D40" t="s">
        <v>640</v>
      </c>
      <c r="E40" s="2">
        <v>0.10416666666666667</v>
      </c>
      <c r="F40" s="2">
        <v>0.52083333333333337</v>
      </c>
      <c r="G40">
        <v>10</v>
      </c>
      <c r="H40">
        <v>3191</v>
      </c>
      <c r="I40">
        <v>0</v>
      </c>
      <c r="J40">
        <v>3117</v>
      </c>
      <c r="K40" t="s">
        <v>641</v>
      </c>
      <c r="L40">
        <v>3117</v>
      </c>
      <c r="M40">
        <v>311.7</v>
      </c>
      <c r="N40" t="s">
        <v>864</v>
      </c>
    </row>
    <row r="41" spans="1:14" ht="12.75" customHeight="1" x14ac:dyDescent="0.35">
      <c r="A41" s="60">
        <v>43969</v>
      </c>
      <c r="B41">
        <v>6</v>
      </c>
      <c r="C41" t="s">
        <v>12</v>
      </c>
      <c r="D41" t="s">
        <v>637</v>
      </c>
      <c r="E41" s="2">
        <v>0.29166666666666669</v>
      </c>
      <c r="F41" s="2">
        <v>0.625</v>
      </c>
      <c r="G41">
        <v>8</v>
      </c>
      <c r="H41">
        <v>3460</v>
      </c>
      <c r="I41">
        <v>3460</v>
      </c>
      <c r="J41">
        <v>0</v>
      </c>
      <c r="K41" t="s">
        <v>638</v>
      </c>
      <c r="L41">
        <v>3460</v>
      </c>
      <c r="M41">
        <v>432.5</v>
      </c>
      <c r="N41" t="s">
        <v>876</v>
      </c>
    </row>
    <row r="42" spans="1:14" ht="12.75" customHeight="1" x14ac:dyDescent="0.35">
      <c r="A42" s="60">
        <v>43971</v>
      </c>
      <c r="B42">
        <v>6</v>
      </c>
      <c r="C42" t="s">
        <v>245</v>
      </c>
      <c r="D42" t="s">
        <v>640</v>
      </c>
      <c r="E42" s="2">
        <v>0.89583333333333337</v>
      </c>
      <c r="F42" s="2">
        <v>1</v>
      </c>
      <c r="G42">
        <v>2.4999999999999991</v>
      </c>
      <c r="H42">
        <v>3460</v>
      </c>
      <c r="I42">
        <v>0</v>
      </c>
      <c r="J42">
        <v>810</v>
      </c>
      <c r="K42" t="s">
        <v>777</v>
      </c>
      <c r="L42">
        <v>810</v>
      </c>
      <c r="M42">
        <v>324.00000000000011</v>
      </c>
      <c r="N42" t="s">
        <v>882</v>
      </c>
    </row>
    <row r="43" spans="1:14" ht="12.75" customHeight="1" x14ac:dyDescent="0.35">
      <c r="A43" s="60">
        <v>43972</v>
      </c>
      <c r="B43">
        <v>6</v>
      </c>
      <c r="C43" t="s">
        <v>245</v>
      </c>
      <c r="D43" t="s">
        <v>640</v>
      </c>
      <c r="E43" s="2">
        <v>0</v>
      </c>
      <c r="F43" s="2">
        <v>0.25</v>
      </c>
      <c r="G43">
        <v>6</v>
      </c>
      <c r="H43">
        <v>3460</v>
      </c>
      <c r="I43">
        <v>810</v>
      </c>
      <c r="J43">
        <v>3460</v>
      </c>
      <c r="K43" t="s">
        <v>641</v>
      </c>
      <c r="L43">
        <v>2650</v>
      </c>
      <c r="M43">
        <v>441.66666666666669</v>
      </c>
      <c r="N43" t="s">
        <v>886</v>
      </c>
    </row>
    <row r="44" spans="1:14" ht="12.75" customHeight="1" x14ac:dyDescent="0.35">
      <c r="A44" s="60">
        <v>43972</v>
      </c>
      <c r="B44">
        <v>6</v>
      </c>
      <c r="C44" t="s">
        <v>245</v>
      </c>
      <c r="D44" t="s">
        <v>637</v>
      </c>
      <c r="E44" s="2">
        <v>0.33333333333333331</v>
      </c>
      <c r="F44" s="2">
        <v>0.66666666666666663</v>
      </c>
      <c r="G44">
        <v>8</v>
      </c>
      <c r="H44">
        <v>3460</v>
      </c>
      <c r="I44">
        <v>3460</v>
      </c>
      <c r="J44">
        <v>0</v>
      </c>
      <c r="K44" t="s">
        <v>638</v>
      </c>
      <c r="L44">
        <v>3460</v>
      </c>
      <c r="M44">
        <v>432.5</v>
      </c>
      <c r="N44" t="s">
        <v>887</v>
      </c>
    </row>
    <row r="45" spans="1:14" ht="12.75" customHeight="1" x14ac:dyDescent="0.35">
      <c r="A45" s="60">
        <v>43972</v>
      </c>
      <c r="B45">
        <v>6</v>
      </c>
      <c r="C45" t="s">
        <v>245</v>
      </c>
      <c r="D45" t="s">
        <v>640</v>
      </c>
      <c r="E45" s="2">
        <v>0.66666666666666663</v>
      </c>
      <c r="F45" s="2">
        <v>1</v>
      </c>
      <c r="G45">
        <v>8</v>
      </c>
      <c r="H45">
        <v>3460</v>
      </c>
      <c r="I45">
        <v>0</v>
      </c>
      <c r="J45">
        <v>3248</v>
      </c>
      <c r="K45" t="s">
        <v>641</v>
      </c>
      <c r="L45">
        <v>3248</v>
      </c>
      <c r="M45">
        <v>406</v>
      </c>
      <c r="N45" t="s">
        <v>884</v>
      </c>
    </row>
    <row r="46" spans="1:14" ht="12.75" customHeight="1" x14ac:dyDescent="0.35">
      <c r="A46" s="60">
        <v>43973</v>
      </c>
      <c r="B46">
        <v>6</v>
      </c>
      <c r="C46" t="s">
        <v>245</v>
      </c>
      <c r="D46" t="s">
        <v>640</v>
      </c>
      <c r="E46" s="2">
        <v>0</v>
      </c>
      <c r="F46" s="2">
        <v>6.25E-2</v>
      </c>
      <c r="G46">
        <v>1.5</v>
      </c>
      <c r="H46">
        <v>3460</v>
      </c>
      <c r="I46">
        <v>3248</v>
      </c>
      <c r="J46">
        <v>3460</v>
      </c>
      <c r="K46" t="s">
        <v>641</v>
      </c>
      <c r="L46">
        <v>212</v>
      </c>
      <c r="M46">
        <v>141.33333333333334</v>
      </c>
      <c r="N46" t="s">
        <v>891</v>
      </c>
    </row>
    <row r="47" spans="1:14" ht="12.75" customHeight="1" x14ac:dyDescent="0.35">
      <c r="A47" s="60">
        <v>43973</v>
      </c>
      <c r="B47">
        <v>6</v>
      </c>
      <c r="C47" t="s">
        <v>245</v>
      </c>
      <c r="D47" t="s">
        <v>637</v>
      </c>
      <c r="E47" s="2">
        <v>0.16666666666666666</v>
      </c>
      <c r="F47" s="2">
        <v>0.52083333333333337</v>
      </c>
      <c r="G47">
        <v>8.5000000000000018</v>
      </c>
      <c r="H47">
        <v>3460</v>
      </c>
      <c r="I47">
        <v>3460</v>
      </c>
      <c r="J47">
        <v>0</v>
      </c>
      <c r="K47" t="s">
        <v>638</v>
      </c>
      <c r="L47">
        <v>3460</v>
      </c>
      <c r="M47">
        <v>407.05882352941165</v>
      </c>
      <c r="N47" t="s">
        <v>892</v>
      </c>
    </row>
    <row r="48" spans="1:14" ht="12.75" customHeight="1" x14ac:dyDescent="0.35">
      <c r="A48" s="60">
        <v>43973</v>
      </c>
      <c r="B48">
        <v>6</v>
      </c>
      <c r="C48" t="s">
        <v>245</v>
      </c>
      <c r="D48" t="s">
        <v>640</v>
      </c>
      <c r="E48" s="2">
        <v>0.52083333333333337</v>
      </c>
      <c r="F48" s="2">
        <v>0.91666666666666663</v>
      </c>
      <c r="G48">
        <v>9.4999999999999982</v>
      </c>
      <c r="H48">
        <v>3460</v>
      </c>
      <c r="I48">
        <v>0</v>
      </c>
      <c r="J48">
        <v>3460</v>
      </c>
      <c r="K48" t="s">
        <v>638</v>
      </c>
      <c r="L48">
        <v>3460</v>
      </c>
      <c r="M48">
        <v>364.21052631578954</v>
      </c>
      <c r="N48" t="s">
        <v>893</v>
      </c>
    </row>
    <row r="49" spans="1:14" ht="12.75" customHeight="1" x14ac:dyDescent="0.35">
      <c r="A49" s="60">
        <v>43974</v>
      </c>
      <c r="B49">
        <v>6</v>
      </c>
      <c r="C49" t="s">
        <v>245</v>
      </c>
      <c r="D49" t="s">
        <v>637</v>
      </c>
      <c r="E49" s="2">
        <v>4.1666666666666664E-2</v>
      </c>
      <c r="F49" s="2">
        <v>0.41666666666666669</v>
      </c>
      <c r="G49">
        <v>9</v>
      </c>
      <c r="H49">
        <v>3460</v>
      </c>
      <c r="I49">
        <v>3460</v>
      </c>
      <c r="J49">
        <v>0</v>
      </c>
      <c r="K49" t="s">
        <v>638</v>
      </c>
      <c r="L49">
        <v>3460</v>
      </c>
      <c r="M49">
        <v>384.44444444444446</v>
      </c>
      <c r="N49" t="s">
        <v>899</v>
      </c>
    </row>
    <row r="50" spans="1:14" ht="12.75" customHeight="1" x14ac:dyDescent="0.35">
      <c r="A50" s="60">
        <v>43975</v>
      </c>
      <c r="B50">
        <v>6</v>
      </c>
      <c r="C50" t="s">
        <v>265</v>
      </c>
      <c r="D50" t="s">
        <v>640</v>
      </c>
      <c r="E50" s="2">
        <v>0.85416666666666663</v>
      </c>
      <c r="F50" s="2">
        <v>1</v>
      </c>
      <c r="G50">
        <v>3.5000000000000009</v>
      </c>
      <c r="H50">
        <v>3460</v>
      </c>
      <c r="I50">
        <v>0</v>
      </c>
      <c r="J50">
        <v>350</v>
      </c>
      <c r="K50" t="s">
        <v>777</v>
      </c>
      <c r="L50">
        <v>350</v>
      </c>
      <c r="M50">
        <v>99.999999999999972</v>
      </c>
      <c r="N50" t="s">
        <v>904</v>
      </c>
    </row>
    <row r="51" spans="1:14" x14ac:dyDescent="0.35">
      <c r="A51" s="60">
        <v>43976</v>
      </c>
      <c r="B51">
        <v>6</v>
      </c>
      <c r="C51" t="s">
        <v>265</v>
      </c>
      <c r="D51" t="s">
        <v>640</v>
      </c>
      <c r="E51" s="2">
        <v>0</v>
      </c>
      <c r="F51" s="2">
        <v>0.27083333333333331</v>
      </c>
      <c r="G51">
        <v>6.5</v>
      </c>
      <c r="H51">
        <v>3460</v>
      </c>
      <c r="I51">
        <v>350</v>
      </c>
      <c r="J51">
        <v>3327.75</v>
      </c>
      <c r="K51" t="s">
        <v>641</v>
      </c>
      <c r="L51">
        <v>2950</v>
      </c>
      <c r="M51">
        <v>453.84615384615387</v>
      </c>
      <c r="N51" t="s">
        <v>909</v>
      </c>
    </row>
    <row r="52" spans="1:14" x14ac:dyDescent="0.35">
      <c r="A52" s="60">
        <v>43976</v>
      </c>
      <c r="B52">
        <v>6</v>
      </c>
      <c r="C52" t="s">
        <v>265</v>
      </c>
      <c r="D52" t="s">
        <v>637</v>
      </c>
      <c r="E52" s="2">
        <v>0.29166666666666669</v>
      </c>
      <c r="F52" s="2">
        <v>0.79166666666666663</v>
      </c>
      <c r="G52">
        <v>11.999999999999998</v>
      </c>
      <c r="H52">
        <v>3460</v>
      </c>
      <c r="I52">
        <v>0</v>
      </c>
      <c r="J52">
        <v>0</v>
      </c>
      <c r="K52" t="s">
        <v>638</v>
      </c>
      <c r="L52">
        <v>3320</v>
      </c>
      <c r="M52">
        <v>276.66666666666669</v>
      </c>
      <c r="N52" t="s">
        <v>910</v>
      </c>
    </row>
    <row r="53" spans="1:14" x14ac:dyDescent="0.35">
      <c r="A53" s="60">
        <v>43976</v>
      </c>
      <c r="B53">
        <v>6</v>
      </c>
      <c r="C53" t="s">
        <v>245</v>
      </c>
      <c r="D53" t="s">
        <v>640</v>
      </c>
      <c r="E53" s="2">
        <v>0.79166666666666663</v>
      </c>
      <c r="F53" s="2">
        <v>1</v>
      </c>
      <c r="G53">
        <v>5.0000000000000009</v>
      </c>
      <c r="H53">
        <v>3460</v>
      </c>
      <c r="I53">
        <v>0</v>
      </c>
      <c r="J53">
        <v>1144</v>
      </c>
      <c r="K53" t="s">
        <v>777</v>
      </c>
      <c r="L53">
        <v>1144</v>
      </c>
      <c r="M53">
        <v>228.79999999999995</v>
      </c>
      <c r="N53" t="s">
        <v>907</v>
      </c>
    </row>
    <row r="54" spans="1:14" x14ac:dyDescent="0.35">
      <c r="A54" s="60">
        <v>43977</v>
      </c>
      <c r="B54">
        <v>6</v>
      </c>
      <c r="C54" t="s">
        <v>245</v>
      </c>
      <c r="D54" t="s">
        <v>640</v>
      </c>
      <c r="E54" s="2">
        <v>0</v>
      </c>
      <c r="F54" s="2">
        <v>0.25</v>
      </c>
      <c r="G54">
        <v>6</v>
      </c>
      <c r="H54">
        <v>3460</v>
      </c>
      <c r="I54">
        <v>0</v>
      </c>
      <c r="J54">
        <v>3460</v>
      </c>
      <c r="K54" t="s">
        <v>638</v>
      </c>
      <c r="L54">
        <v>3460</v>
      </c>
      <c r="M54">
        <v>576.66666666666663</v>
      </c>
      <c r="N54" t="s">
        <v>914</v>
      </c>
    </row>
    <row r="55" spans="1:14" x14ac:dyDescent="0.35">
      <c r="A55" s="60">
        <v>43977</v>
      </c>
      <c r="B55">
        <v>6</v>
      </c>
      <c r="C55" t="s">
        <v>245</v>
      </c>
      <c r="D55" t="s">
        <v>637</v>
      </c>
      <c r="E55" s="2">
        <v>0.33333333333333331</v>
      </c>
      <c r="F55" s="2">
        <v>0.75</v>
      </c>
      <c r="G55">
        <v>10</v>
      </c>
      <c r="H55">
        <v>3460</v>
      </c>
      <c r="I55">
        <v>3460</v>
      </c>
      <c r="J55">
        <v>0</v>
      </c>
      <c r="K55" t="s">
        <v>638</v>
      </c>
      <c r="L55">
        <v>3460</v>
      </c>
      <c r="M55">
        <v>346</v>
      </c>
      <c r="N55" t="s">
        <v>915</v>
      </c>
    </row>
    <row r="56" spans="1:14" x14ac:dyDescent="0.35">
      <c r="A56" s="60">
        <v>43977</v>
      </c>
      <c r="B56">
        <v>6</v>
      </c>
      <c r="C56" t="s">
        <v>245</v>
      </c>
      <c r="D56" t="s">
        <v>640</v>
      </c>
      <c r="E56" s="2">
        <v>0.75</v>
      </c>
      <c r="F56" s="2">
        <v>1</v>
      </c>
      <c r="G56">
        <v>6</v>
      </c>
      <c r="H56">
        <v>3460</v>
      </c>
      <c r="I56">
        <v>0</v>
      </c>
      <c r="J56">
        <v>2540</v>
      </c>
      <c r="K56" t="s">
        <v>777</v>
      </c>
      <c r="L56">
        <v>2540</v>
      </c>
      <c r="M56">
        <v>423.33333333333331</v>
      </c>
      <c r="N56" t="s">
        <v>916</v>
      </c>
    </row>
    <row r="57" spans="1:14" x14ac:dyDescent="0.35">
      <c r="A57" s="60">
        <v>43978</v>
      </c>
      <c r="B57">
        <v>6</v>
      </c>
      <c r="C57" t="s">
        <v>245</v>
      </c>
      <c r="D57" t="s">
        <v>640</v>
      </c>
      <c r="E57" s="2">
        <v>0</v>
      </c>
      <c r="F57" s="2">
        <v>8.3333333333333329E-2</v>
      </c>
      <c r="G57">
        <v>2</v>
      </c>
      <c r="H57">
        <v>3460</v>
      </c>
      <c r="I57">
        <v>2540</v>
      </c>
      <c r="J57">
        <v>3170</v>
      </c>
      <c r="K57" t="s">
        <v>641</v>
      </c>
      <c r="L57">
        <v>630</v>
      </c>
      <c r="M57">
        <v>315</v>
      </c>
      <c r="N57" t="s">
        <v>920</v>
      </c>
    </row>
    <row r="58" spans="1:14" x14ac:dyDescent="0.35">
      <c r="A58" s="60">
        <v>43978</v>
      </c>
      <c r="B58">
        <v>6</v>
      </c>
      <c r="C58" t="s">
        <v>245</v>
      </c>
      <c r="D58" t="s">
        <v>640</v>
      </c>
      <c r="E58" s="2">
        <v>0.20833333333333334</v>
      </c>
      <c r="F58" s="2">
        <v>0.29166666666666669</v>
      </c>
      <c r="G58">
        <v>2</v>
      </c>
      <c r="H58">
        <v>3460</v>
      </c>
      <c r="I58">
        <v>3170</v>
      </c>
      <c r="J58">
        <v>3460</v>
      </c>
      <c r="K58" t="s">
        <v>641</v>
      </c>
      <c r="L58">
        <v>290</v>
      </c>
      <c r="M58">
        <v>145</v>
      </c>
      <c r="N58" t="s">
        <v>921</v>
      </c>
    </row>
    <row r="59" spans="1:14" x14ac:dyDescent="0.35">
      <c r="A59" s="60">
        <v>43978</v>
      </c>
      <c r="B59">
        <v>6</v>
      </c>
      <c r="C59" t="s">
        <v>245</v>
      </c>
      <c r="D59" t="s">
        <v>637</v>
      </c>
      <c r="E59" s="2">
        <v>0.64583333333333337</v>
      </c>
      <c r="F59" s="2">
        <v>1</v>
      </c>
      <c r="G59">
        <v>8.5</v>
      </c>
      <c r="H59">
        <v>3460</v>
      </c>
      <c r="I59">
        <v>3460</v>
      </c>
      <c r="J59">
        <v>50</v>
      </c>
      <c r="K59" t="s">
        <v>638</v>
      </c>
      <c r="L59">
        <v>3410</v>
      </c>
      <c r="M59">
        <v>401.1764705882353</v>
      </c>
      <c r="N59" t="s">
        <v>922</v>
      </c>
    </row>
    <row r="60" spans="1:14" x14ac:dyDescent="0.35">
      <c r="A60" s="60">
        <v>43979</v>
      </c>
      <c r="B60">
        <v>6</v>
      </c>
      <c r="C60" t="s">
        <v>245</v>
      </c>
      <c r="D60" t="s">
        <v>637</v>
      </c>
      <c r="E60" s="2">
        <v>0</v>
      </c>
      <c r="F60" s="2">
        <v>4.1666666666666664E-2</v>
      </c>
      <c r="G60">
        <v>1</v>
      </c>
      <c r="H60">
        <v>3460</v>
      </c>
      <c r="I60">
        <v>50</v>
      </c>
      <c r="J60">
        <v>0</v>
      </c>
      <c r="K60" t="s">
        <v>777</v>
      </c>
      <c r="L60">
        <v>50</v>
      </c>
      <c r="M60">
        <v>50</v>
      </c>
      <c r="N60" t="s">
        <v>927</v>
      </c>
    </row>
    <row r="61" spans="1:14" x14ac:dyDescent="0.35">
      <c r="A61" s="60">
        <v>43980</v>
      </c>
      <c r="B61">
        <v>6</v>
      </c>
      <c r="C61" t="s">
        <v>245</v>
      </c>
      <c r="D61" t="s">
        <v>640</v>
      </c>
      <c r="E61" s="2">
        <v>0.875</v>
      </c>
      <c r="F61" s="2">
        <v>1</v>
      </c>
      <c r="G61">
        <v>3</v>
      </c>
      <c r="H61">
        <v>3460</v>
      </c>
      <c r="I61">
        <v>0</v>
      </c>
      <c r="J61">
        <v>536</v>
      </c>
      <c r="K61" t="s">
        <v>777</v>
      </c>
      <c r="L61">
        <v>536</v>
      </c>
      <c r="M61">
        <v>178.66666666666666</v>
      </c>
      <c r="N61" t="s">
        <v>930</v>
      </c>
    </row>
    <row r="62" spans="1:14" x14ac:dyDescent="0.35">
      <c r="A62" s="60">
        <v>43981</v>
      </c>
      <c r="B62">
        <v>6</v>
      </c>
      <c r="C62" t="s">
        <v>245</v>
      </c>
      <c r="D62" t="s">
        <v>640</v>
      </c>
      <c r="E62" s="2">
        <v>0</v>
      </c>
      <c r="F62" s="2">
        <v>0.375</v>
      </c>
      <c r="G62">
        <v>9</v>
      </c>
      <c r="H62">
        <v>3460</v>
      </c>
      <c r="I62">
        <v>536</v>
      </c>
      <c r="J62">
        <v>3460</v>
      </c>
      <c r="K62" t="s">
        <v>641</v>
      </c>
      <c r="L62">
        <v>2924</v>
      </c>
      <c r="M62">
        <v>324.88888888888891</v>
      </c>
      <c r="N62" t="s">
        <v>936</v>
      </c>
    </row>
    <row r="63" spans="1:14" x14ac:dyDescent="0.35">
      <c r="A63" s="60">
        <v>43981</v>
      </c>
      <c r="B63">
        <v>6</v>
      </c>
      <c r="C63" t="s">
        <v>245</v>
      </c>
      <c r="D63" t="s">
        <v>637</v>
      </c>
      <c r="E63" s="2">
        <v>0.5625</v>
      </c>
      <c r="F63" s="2">
        <v>0.91666666666666663</v>
      </c>
      <c r="G63">
        <v>8.5</v>
      </c>
      <c r="H63">
        <v>3460</v>
      </c>
      <c r="I63">
        <v>3460</v>
      </c>
      <c r="J63">
        <v>0</v>
      </c>
      <c r="K63" t="s">
        <v>638</v>
      </c>
      <c r="L63">
        <v>3460</v>
      </c>
      <c r="M63">
        <v>407.05882352941177</v>
      </c>
      <c r="N63" t="s">
        <v>937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368AB-634E-47A8-B181-1FEDBDE7F636}">
  <sheetPr codeName="Sheet30"/>
  <dimension ref="A1:AF54"/>
  <sheetViews>
    <sheetView tabSelected="1" workbookViewId="0">
      <selection activeCell="AH9" sqref="AH9"/>
    </sheetView>
  </sheetViews>
  <sheetFormatPr defaultColWidth="8.6328125" defaultRowHeight="12.5" x14ac:dyDescent="0.25"/>
  <cols>
    <col min="1" max="1" width="9.90625" style="9" bestFit="1" customWidth="1"/>
    <col min="2" max="2" width="8.6328125" style="9"/>
    <col min="3" max="3" width="9.54296875" style="9" customWidth="1"/>
    <col min="4" max="4" width="9.90625" style="9" customWidth="1"/>
    <col min="5" max="7" width="8.6328125" style="9"/>
    <col min="8" max="8" width="10" style="9" customWidth="1"/>
    <col min="9" max="9" width="9.6328125" style="9" customWidth="1"/>
    <col min="10" max="14" width="8.6328125" style="9"/>
    <col min="15" max="15" width="9.26953125" style="9" customWidth="1"/>
    <col min="16" max="21" width="8.6328125" style="9"/>
    <col min="22" max="22" width="9.36328125" style="9" customWidth="1"/>
    <col min="23" max="16384" width="8.6328125" style="9"/>
  </cols>
  <sheetData>
    <row r="1" spans="1:32" s="7" customFormat="1" ht="34.5" x14ac:dyDescent="0.25">
      <c r="A1" s="6" t="s">
        <v>8</v>
      </c>
      <c r="B1" s="6" t="s">
        <v>1189</v>
      </c>
      <c r="C1" s="6" t="s">
        <v>489</v>
      </c>
      <c r="D1" s="6" t="s">
        <v>490</v>
      </c>
      <c r="E1" s="6" t="s">
        <v>491</v>
      </c>
      <c r="F1" s="6" t="s">
        <v>492</v>
      </c>
      <c r="G1" s="6" t="s">
        <v>493</v>
      </c>
      <c r="H1" s="6" t="s">
        <v>247</v>
      </c>
      <c r="I1" s="6" t="s">
        <v>494</v>
      </c>
      <c r="J1" s="6" t="s">
        <v>495</v>
      </c>
      <c r="K1" s="6" t="s">
        <v>496</v>
      </c>
      <c r="L1" s="6" t="s">
        <v>497</v>
      </c>
      <c r="M1" s="6" t="s">
        <v>498</v>
      </c>
      <c r="N1" s="6" t="s">
        <v>499</v>
      </c>
      <c r="O1" s="6" t="s">
        <v>53</v>
      </c>
      <c r="P1" s="6" t="s">
        <v>500</v>
      </c>
      <c r="Q1" s="6" t="s">
        <v>501</v>
      </c>
      <c r="R1" s="6" t="s">
        <v>280</v>
      </c>
      <c r="S1" s="6" t="s">
        <v>502</v>
      </c>
      <c r="T1" s="6" t="s">
        <v>503</v>
      </c>
      <c r="U1" s="6" t="s">
        <v>504</v>
      </c>
      <c r="V1" s="6" t="s">
        <v>300</v>
      </c>
      <c r="W1" s="6" t="s">
        <v>505</v>
      </c>
      <c r="X1" s="6" t="s">
        <v>303</v>
      </c>
      <c r="Y1" s="6" t="s">
        <v>307</v>
      </c>
      <c r="Z1" s="6" t="s">
        <v>506</v>
      </c>
      <c r="AA1" s="6" t="s">
        <v>507</v>
      </c>
      <c r="AB1" s="6" t="s">
        <v>508</v>
      </c>
      <c r="AC1" s="6" t="s">
        <v>509</v>
      </c>
      <c r="AD1" s="6" t="s">
        <v>510</v>
      </c>
      <c r="AE1" s="6" t="s">
        <v>1312</v>
      </c>
      <c r="AF1" s="6" t="s">
        <v>1224</v>
      </c>
    </row>
    <row r="2" spans="1:32" ht="12" customHeight="1" x14ac:dyDescent="0.25">
      <c r="A2" s="8">
        <v>43937</v>
      </c>
      <c r="B2" s="9">
        <v>26</v>
      </c>
      <c r="C2" s="9">
        <v>8</v>
      </c>
      <c r="D2" s="9">
        <v>0</v>
      </c>
      <c r="E2" s="9">
        <v>0</v>
      </c>
      <c r="F2" s="9">
        <v>0</v>
      </c>
      <c r="G2" s="9">
        <v>0</v>
      </c>
      <c r="H2" s="9">
        <v>0</v>
      </c>
      <c r="I2" s="9">
        <v>0</v>
      </c>
      <c r="J2" s="9">
        <v>8</v>
      </c>
      <c r="K2" s="9">
        <v>0</v>
      </c>
      <c r="L2" s="9">
        <v>0</v>
      </c>
      <c r="M2" s="9">
        <v>0</v>
      </c>
      <c r="N2" s="9">
        <v>0</v>
      </c>
      <c r="O2" s="9">
        <v>0</v>
      </c>
      <c r="P2" s="9">
        <v>0</v>
      </c>
      <c r="Q2" s="9">
        <v>0</v>
      </c>
      <c r="R2" s="9">
        <v>0</v>
      </c>
      <c r="S2" s="9">
        <v>0</v>
      </c>
      <c r="T2" s="9">
        <v>0</v>
      </c>
      <c r="U2" s="9">
        <v>0</v>
      </c>
      <c r="V2" s="9">
        <v>0</v>
      </c>
      <c r="W2" s="9">
        <v>0</v>
      </c>
      <c r="X2" s="9">
        <v>0</v>
      </c>
      <c r="Y2" s="9">
        <v>0</v>
      </c>
      <c r="Z2" s="9">
        <v>0</v>
      </c>
      <c r="AA2" s="9">
        <v>0</v>
      </c>
      <c r="AB2" s="9">
        <v>0</v>
      </c>
      <c r="AC2" s="9">
        <v>0</v>
      </c>
      <c r="AD2" s="9">
        <v>0</v>
      </c>
      <c r="AE2" s="9">
        <f>C2</f>
        <v>8</v>
      </c>
      <c r="AF2" s="9">
        <f>D2</f>
        <v>0</v>
      </c>
    </row>
    <row r="3" spans="1:32" x14ac:dyDescent="0.25">
      <c r="A3" s="8">
        <v>43938</v>
      </c>
      <c r="B3" s="9">
        <v>26</v>
      </c>
      <c r="C3" s="9">
        <v>24</v>
      </c>
      <c r="D3" s="9">
        <v>0</v>
      </c>
      <c r="E3" s="9">
        <v>0</v>
      </c>
      <c r="F3" s="9">
        <v>0</v>
      </c>
      <c r="G3" s="9">
        <v>0</v>
      </c>
      <c r="H3" s="9">
        <v>0</v>
      </c>
      <c r="I3" s="9">
        <v>0</v>
      </c>
      <c r="J3" s="9">
        <v>24</v>
      </c>
      <c r="K3" s="9">
        <v>0</v>
      </c>
      <c r="L3" s="9">
        <v>0</v>
      </c>
      <c r="M3" s="9">
        <v>0</v>
      </c>
      <c r="N3" s="9">
        <v>0</v>
      </c>
      <c r="O3" s="9">
        <v>0</v>
      </c>
      <c r="P3" s="9">
        <v>0</v>
      </c>
      <c r="Q3" s="9">
        <v>0</v>
      </c>
      <c r="R3" s="9">
        <v>0</v>
      </c>
      <c r="S3" s="9">
        <v>0</v>
      </c>
      <c r="T3" s="9">
        <v>0</v>
      </c>
      <c r="U3" s="9">
        <v>0</v>
      </c>
      <c r="V3" s="9">
        <v>0</v>
      </c>
      <c r="W3" s="9">
        <v>0</v>
      </c>
      <c r="X3" s="9">
        <v>0</v>
      </c>
      <c r="Y3" s="9">
        <v>0</v>
      </c>
      <c r="Z3" s="9">
        <v>0</v>
      </c>
      <c r="AA3" s="9">
        <v>0</v>
      </c>
      <c r="AB3" s="9">
        <v>0</v>
      </c>
      <c r="AC3" s="9">
        <v>0</v>
      </c>
      <c r="AD3" s="9">
        <v>0</v>
      </c>
      <c r="AE3" s="9">
        <f>AE2+C3</f>
        <v>32</v>
      </c>
      <c r="AF3" s="9">
        <f>AF2+D3</f>
        <v>0</v>
      </c>
    </row>
    <row r="4" spans="1:32" x14ac:dyDescent="0.25">
      <c r="A4" s="8">
        <v>43939</v>
      </c>
      <c r="B4" s="9">
        <v>26</v>
      </c>
      <c r="C4" s="9">
        <v>24</v>
      </c>
      <c r="D4" s="9">
        <v>0</v>
      </c>
      <c r="E4" s="9">
        <v>0</v>
      </c>
      <c r="F4" s="9">
        <v>8.5</v>
      </c>
      <c r="G4" s="9">
        <v>0</v>
      </c>
      <c r="H4" s="9">
        <v>0</v>
      </c>
      <c r="I4" s="9">
        <v>0</v>
      </c>
      <c r="J4" s="9">
        <v>15.500000000000002</v>
      </c>
      <c r="K4" s="9">
        <v>0</v>
      </c>
      <c r="L4" s="9">
        <v>0</v>
      </c>
      <c r="M4" s="9">
        <v>0</v>
      </c>
      <c r="N4" s="9">
        <v>0</v>
      </c>
      <c r="O4" s="9">
        <v>0</v>
      </c>
      <c r="P4" s="9">
        <v>0</v>
      </c>
      <c r="Q4" s="9">
        <v>0</v>
      </c>
      <c r="R4" s="9">
        <v>0</v>
      </c>
      <c r="S4" s="9">
        <v>0</v>
      </c>
      <c r="T4" s="9">
        <v>0</v>
      </c>
      <c r="U4" s="9">
        <v>0</v>
      </c>
      <c r="V4" s="9">
        <v>0</v>
      </c>
      <c r="W4" s="9">
        <v>0</v>
      </c>
      <c r="X4" s="9">
        <v>0</v>
      </c>
      <c r="Y4" s="9">
        <v>0</v>
      </c>
      <c r="Z4" s="9">
        <v>0</v>
      </c>
      <c r="AA4" s="9">
        <v>0</v>
      </c>
      <c r="AB4" s="9">
        <v>0</v>
      </c>
      <c r="AC4" s="9">
        <v>0</v>
      </c>
      <c r="AD4" s="9">
        <v>0</v>
      </c>
      <c r="AE4" s="9">
        <f t="shared" ref="AE4:AE54" si="0">AE3+C4</f>
        <v>56</v>
      </c>
      <c r="AF4" s="9">
        <f t="shared" ref="AF4:AF54" si="1">AF3+D4</f>
        <v>0</v>
      </c>
    </row>
    <row r="5" spans="1:32" x14ac:dyDescent="0.25">
      <c r="A5" s="8">
        <v>43940</v>
      </c>
      <c r="B5" s="9">
        <v>26</v>
      </c>
      <c r="C5" s="9">
        <v>24</v>
      </c>
      <c r="D5" s="9">
        <v>0</v>
      </c>
      <c r="E5" s="9">
        <v>1.5</v>
      </c>
      <c r="F5" s="9">
        <v>10</v>
      </c>
      <c r="G5" s="9">
        <v>0</v>
      </c>
      <c r="H5" s="9">
        <v>0</v>
      </c>
      <c r="I5" s="9">
        <v>0</v>
      </c>
      <c r="J5" s="9">
        <v>0</v>
      </c>
      <c r="K5" s="9">
        <v>0</v>
      </c>
      <c r="L5" s="9">
        <v>0</v>
      </c>
      <c r="M5" s="9">
        <v>0</v>
      </c>
      <c r="N5" s="9">
        <v>0</v>
      </c>
      <c r="O5" s="9">
        <v>0</v>
      </c>
      <c r="P5" s="9">
        <v>0</v>
      </c>
      <c r="Q5" s="9">
        <v>0</v>
      </c>
      <c r="R5" s="9">
        <v>0</v>
      </c>
      <c r="S5" s="9">
        <v>0</v>
      </c>
      <c r="T5" s="9">
        <v>0</v>
      </c>
      <c r="U5" s="9">
        <v>0</v>
      </c>
      <c r="V5" s="9">
        <v>0</v>
      </c>
      <c r="W5" s="9">
        <v>0</v>
      </c>
      <c r="X5" s="9">
        <v>0</v>
      </c>
      <c r="Y5" s="9">
        <v>0</v>
      </c>
      <c r="Z5" s="9">
        <v>0</v>
      </c>
      <c r="AA5" s="9">
        <v>0</v>
      </c>
      <c r="AB5" s="9">
        <v>0</v>
      </c>
      <c r="AC5" s="9">
        <v>0</v>
      </c>
      <c r="AD5" s="9">
        <v>12.5</v>
      </c>
      <c r="AE5" s="9">
        <f t="shared" si="0"/>
        <v>80</v>
      </c>
      <c r="AF5" s="9">
        <f t="shared" si="1"/>
        <v>0</v>
      </c>
    </row>
    <row r="6" spans="1:32" x14ac:dyDescent="0.25">
      <c r="A6" s="8">
        <v>43941</v>
      </c>
      <c r="B6" s="9">
        <v>17.5</v>
      </c>
      <c r="C6" s="9">
        <v>24</v>
      </c>
      <c r="D6" s="9">
        <v>0</v>
      </c>
      <c r="E6" s="9">
        <v>6.75</v>
      </c>
      <c r="F6" s="9">
        <v>0</v>
      </c>
      <c r="G6" s="9">
        <v>0</v>
      </c>
      <c r="H6" s="9">
        <v>0</v>
      </c>
      <c r="I6" s="9">
        <v>0</v>
      </c>
      <c r="J6" s="9">
        <v>17.25</v>
      </c>
      <c r="K6" s="9">
        <v>0</v>
      </c>
      <c r="L6" s="9">
        <v>0</v>
      </c>
      <c r="M6" s="9">
        <v>0</v>
      </c>
      <c r="N6" s="9">
        <v>0</v>
      </c>
      <c r="O6" s="9">
        <v>0</v>
      </c>
      <c r="P6" s="9">
        <v>0</v>
      </c>
      <c r="Q6" s="9">
        <v>0</v>
      </c>
      <c r="R6" s="9">
        <v>0</v>
      </c>
      <c r="S6" s="9">
        <v>0</v>
      </c>
      <c r="T6" s="9">
        <v>0</v>
      </c>
      <c r="U6" s="9">
        <v>0</v>
      </c>
      <c r="V6" s="9">
        <v>0</v>
      </c>
      <c r="W6" s="9">
        <v>0</v>
      </c>
      <c r="X6" s="9">
        <v>0</v>
      </c>
      <c r="Y6" s="9">
        <v>0</v>
      </c>
      <c r="Z6" s="9">
        <v>0</v>
      </c>
      <c r="AA6" s="9">
        <v>0</v>
      </c>
      <c r="AB6" s="9">
        <v>0</v>
      </c>
      <c r="AC6" s="9">
        <v>0</v>
      </c>
      <c r="AD6" s="9">
        <v>0</v>
      </c>
      <c r="AE6" s="9">
        <f t="shared" si="0"/>
        <v>104</v>
      </c>
      <c r="AF6" s="9">
        <f t="shared" si="1"/>
        <v>0</v>
      </c>
    </row>
    <row r="7" spans="1:32" x14ac:dyDescent="0.25">
      <c r="A7" s="8">
        <v>43942</v>
      </c>
      <c r="B7" s="9">
        <v>17.5</v>
      </c>
      <c r="C7" s="9">
        <v>24</v>
      </c>
      <c r="D7" s="9">
        <v>0</v>
      </c>
      <c r="E7" s="9">
        <v>1.25</v>
      </c>
      <c r="F7" s="9">
        <v>0</v>
      </c>
      <c r="G7" s="9">
        <v>0</v>
      </c>
      <c r="H7" s="9">
        <v>0</v>
      </c>
      <c r="I7" s="9">
        <v>0</v>
      </c>
      <c r="J7" s="9">
        <v>22.75</v>
      </c>
      <c r="K7" s="9">
        <v>0</v>
      </c>
      <c r="L7" s="9">
        <v>0</v>
      </c>
      <c r="M7" s="9">
        <v>0</v>
      </c>
      <c r="N7" s="9">
        <v>0</v>
      </c>
      <c r="O7" s="9">
        <v>0</v>
      </c>
      <c r="P7" s="9">
        <v>0</v>
      </c>
      <c r="Q7" s="9">
        <v>0</v>
      </c>
      <c r="R7" s="9">
        <v>0</v>
      </c>
      <c r="S7" s="9">
        <v>0</v>
      </c>
      <c r="T7" s="9">
        <v>0</v>
      </c>
      <c r="U7" s="9">
        <v>0</v>
      </c>
      <c r="V7" s="9">
        <v>0</v>
      </c>
      <c r="W7" s="9">
        <v>0</v>
      </c>
      <c r="X7" s="9">
        <v>0</v>
      </c>
      <c r="Y7" s="9">
        <v>0</v>
      </c>
      <c r="Z7" s="9">
        <v>0</v>
      </c>
      <c r="AA7" s="9">
        <v>0</v>
      </c>
      <c r="AB7" s="9">
        <v>0</v>
      </c>
      <c r="AC7" s="9">
        <v>0</v>
      </c>
      <c r="AD7" s="9">
        <v>0</v>
      </c>
      <c r="AE7" s="9">
        <f t="shared" si="0"/>
        <v>128</v>
      </c>
      <c r="AF7" s="9">
        <f t="shared" si="1"/>
        <v>0</v>
      </c>
    </row>
    <row r="8" spans="1:32" x14ac:dyDescent="0.25">
      <c r="A8" s="8">
        <v>43943</v>
      </c>
      <c r="B8" s="9">
        <v>17.5</v>
      </c>
      <c r="C8" s="9">
        <v>22</v>
      </c>
      <c r="D8" s="9">
        <v>1.9999999999999998</v>
      </c>
      <c r="E8" s="9">
        <v>0</v>
      </c>
      <c r="F8" s="9">
        <v>0</v>
      </c>
      <c r="G8" s="9">
        <v>3</v>
      </c>
      <c r="H8" s="9">
        <v>0</v>
      </c>
      <c r="I8" s="9">
        <v>0</v>
      </c>
      <c r="J8" s="9">
        <v>21</v>
      </c>
      <c r="K8" s="9">
        <v>0</v>
      </c>
      <c r="L8" s="9">
        <v>0</v>
      </c>
      <c r="M8" s="9">
        <v>0</v>
      </c>
      <c r="N8" s="9">
        <v>0</v>
      </c>
      <c r="O8" s="9">
        <v>0</v>
      </c>
      <c r="P8" s="9">
        <v>0</v>
      </c>
      <c r="Q8" s="9">
        <v>0</v>
      </c>
      <c r="R8" s="9">
        <v>0</v>
      </c>
      <c r="S8" s="9">
        <v>0</v>
      </c>
      <c r="T8" s="9">
        <v>0</v>
      </c>
      <c r="U8" s="9">
        <v>0</v>
      </c>
      <c r="V8" s="9">
        <v>0</v>
      </c>
      <c r="W8" s="9">
        <v>0</v>
      </c>
      <c r="X8" s="9">
        <v>0</v>
      </c>
      <c r="Y8" s="9">
        <v>0</v>
      </c>
      <c r="Z8" s="9">
        <v>0</v>
      </c>
      <c r="AA8" s="9">
        <v>0</v>
      </c>
      <c r="AB8" s="9">
        <v>0</v>
      </c>
      <c r="AC8" s="9">
        <v>0</v>
      </c>
      <c r="AD8" s="9">
        <v>0</v>
      </c>
      <c r="AE8" s="9">
        <f t="shared" si="0"/>
        <v>150</v>
      </c>
      <c r="AF8" s="9">
        <f t="shared" si="1"/>
        <v>1.9999999999999998</v>
      </c>
    </row>
    <row r="9" spans="1:32" x14ac:dyDescent="0.25">
      <c r="A9" s="8">
        <v>43944</v>
      </c>
      <c r="B9" s="9">
        <v>17.5</v>
      </c>
      <c r="C9" s="9">
        <v>24</v>
      </c>
      <c r="D9" s="9">
        <v>0</v>
      </c>
      <c r="E9" s="9">
        <v>1.0000000000000018</v>
      </c>
      <c r="F9" s="9">
        <v>5.4999999999999991</v>
      </c>
      <c r="G9" s="9">
        <v>17.5</v>
      </c>
      <c r="H9" s="9">
        <v>0</v>
      </c>
      <c r="I9" s="9">
        <v>0</v>
      </c>
      <c r="J9" s="9">
        <v>0</v>
      </c>
      <c r="K9" s="9">
        <v>0</v>
      </c>
      <c r="L9" s="9">
        <v>0</v>
      </c>
      <c r="M9" s="9">
        <v>0</v>
      </c>
      <c r="N9" s="9">
        <v>0</v>
      </c>
      <c r="O9" s="9">
        <v>0</v>
      </c>
      <c r="P9" s="9">
        <v>0</v>
      </c>
      <c r="Q9" s="9">
        <v>0</v>
      </c>
      <c r="R9" s="9">
        <v>0</v>
      </c>
      <c r="S9" s="9">
        <v>0</v>
      </c>
      <c r="T9" s="9">
        <v>0</v>
      </c>
      <c r="U9" s="9">
        <v>0</v>
      </c>
      <c r="V9" s="9">
        <v>0</v>
      </c>
      <c r="W9" s="9">
        <v>0</v>
      </c>
      <c r="X9" s="9">
        <v>0</v>
      </c>
      <c r="Y9" s="9">
        <v>0</v>
      </c>
      <c r="Z9" s="9">
        <v>0</v>
      </c>
      <c r="AA9" s="9">
        <v>0</v>
      </c>
      <c r="AB9" s="9">
        <v>0</v>
      </c>
      <c r="AC9" s="9">
        <v>0</v>
      </c>
      <c r="AD9" s="9">
        <v>0</v>
      </c>
      <c r="AE9" s="9">
        <f t="shared" si="0"/>
        <v>174</v>
      </c>
      <c r="AF9" s="9">
        <f t="shared" si="1"/>
        <v>1.9999999999999998</v>
      </c>
    </row>
    <row r="10" spans="1:32" x14ac:dyDescent="0.25">
      <c r="A10" s="8">
        <v>43945</v>
      </c>
      <c r="B10" s="9">
        <v>17.5</v>
      </c>
      <c r="C10" s="9">
        <v>24</v>
      </c>
      <c r="D10" s="9">
        <v>0</v>
      </c>
      <c r="E10" s="9">
        <v>1.9999999999999982</v>
      </c>
      <c r="F10" s="9">
        <v>22</v>
      </c>
      <c r="G10" s="9">
        <v>0</v>
      </c>
      <c r="H10" s="9">
        <v>0</v>
      </c>
      <c r="I10" s="9">
        <v>0</v>
      </c>
      <c r="J10" s="9">
        <v>0</v>
      </c>
      <c r="K10" s="9">
        <v>0</v>
      </c>
      <c r="L10" s="9">
        <v>0</v>
      </c>
      <c r="M10" s="9">
        <v>0</v>
      </c>
      <c r="N10" s="9">
        <v>0</v>
      </c>
      <c r="O10" s="9">
        <v>0</v>
      </c>
      <c r="P10" s="9">
        <v>0</v>
      </c>
      <c r="Q10" s="9">
        <v>0</v>
      </c>
      <c r="R10" s="9">
        <v>0</v>
      </c>
      <c r="S10" s="9">
        <v>0</v>
      </c>
      <c r="T10" s="9">
        <v>0</v>
      </c>
      <c r="U10" s="9">
        <v>0</v>
      </c>
      <c r="V10" s="9">
        <v>0</v>
      </c>
      <c r="W10" s="9">
        <v>0</v>
      </c>
      <c r="X10" s="9">
        <v>0</v>
      </c>
      <c r="Y10" s="9">
        <v>0</v>
      </c>
      <c r="Z10" s="9">
        <v>0</v>
      </c>
      <c r="AA10" s="9">
        <v>0</v>
      </c>
      <c r="AB10" s="9">
        <v>0</v>
      </c>
      <c r="AC10" s="9">
        <v>0</v>
      </c>
      <c r="AD10" s="9">
        <v>0</v>
      </c>
      <c r="AE10" s="9">
        <f t="shared" si="0"/>
        <v>198</v>
      </c>
      <c r="AF10" s="9">
        <f t="shared" si="1"/>
        <v>1.9999999999999998</v>
      </c>
    </row>
    <row r="11" spans="1:32" x14ac:dyDescent="0.25">
      <c r="A11" s="8">
        <v>43946</v>
      </c>
      <c r="B11" s="9">
        <v>17.5</v>
      </c>
      <c r="C11" s="9">
        <v>24</v>
      </c>
      <c r="D11" s="9">
        <v>0</v>
      </c>
      <c r="E11" s="9">
        <v>21.75</v>
      </c>
      <c r="F11" s="9">
        <v>0.75</v>
      </c>
      <c r="G11" s="9">
        <v>0</v>
      </c>
      <c r="H11" s="9">
        <v>0</v>
      </c>
      <c r="I11" s="9">
        <v>0</v>
      </c>
      <c r="J11" s="9">
        <v>0</v>
      </c>
      <c r="K11" s="9">
        <v>0</v>
      </c>
      <c r="L11" s="9">
        <v>0</v>
      </c>
      <c r="M11" s="9">
        <v>0</v>
      </c>
      <c r="N11" s="9">
        <v>0</v>
      </c>
      <c r="O11" s="9">
        <v>0</v>
      </c>
      <c r="P11" s="9">
        <v>0</v>
      </c>
      <c r="Q11" s="9">
        <v>0</v>
      </c>
      <c r="R11" s="9">
        <v>0</v>
      </c>
      <c r="S11" s="9">
        <v>0</v>
      </c>
      <c r="T11" s="9">
        <v>0</v>
      </c>
      <c r="U11" s="9">
        <v>0</v>
      </c>
      <c r="V11" s="9">
        <v>0</v>
      </c>
      <c r="W11" s="9">
        <v>0</v>
      </c>
      <c r="X11" s="9">
        <v>0</v>
      </c>
      <c r="Y11" s="9">
        <v>0</v>
      </c>
      <c r="Z11" s="9">
        <v>0</v>
      </c>
      <c r="AA11" s="9">
        <v>0</v>
      </c>
      <c r="AB11" s="9">
        <v>0</v>
      </c>
      <c r="AC11" s="9">
        <v>0</v>
      </c>
      <c r="AD11" s="9">
        <v>1.5</v>
      </c>
      <c r="AE11" s="9">
        <f t="shared" si="0"/>
        <v>222</v>
      </c>
      <c r="AF11" s="9">
        <f t="shared" si="1"/>
        <v>1.9999999999999998</v>
      </c>
    </row>
    <row r="12" spans="1:32" x14ac:dyDescent="0.25">
      <c r="A12" s="8">
        <v>43947</v>
      </c>
      <c r="B12" s="9">
        <v>12.25</v>
      </c>
      <c r="C12" s="9">
        <v>24</v>
      </c>
      <c r="D12" s="9">
        <v>0</v>
      </c>
      <c r="E12" s="9">
        <v>0</v>
      </c>
      <c r="F12" s="9">
        <v>0</v>
      </c>
      <c r="G12" s="9">
        <v>0</v>
      </c>
      <c r="H12" s="9">
        <v>0</v>
      </c>
      <c r="I12" s="9">
        <v>0</v>
      </c>
      <c r="J12" s="9">
        <v>18.5</v>
      </c>
      <c r="K12" s="9">
        <v>0</v>
      </c>
      <c r="L12" s="9">
        <v>0</v>
      </c>
      <c r="M12" s="9">
        <v>0</v>
      </c>
      <c r="N12" s="9">
        <v>0</v>
      </c>
      <c r="O12" s="9">
        <v>0</v>
      </c>
      <c r="P12" s="9">
        <v>0</v>
      </c>
      <c r="Q12" s="9">
        <v>0</v>
      </c>
      <c r="R12" s="9">
        <v>0</v>
      </c>
      <c r="S12" s="9">
        <v>0</v>
      </c>
      <c r="T12" s="9">
        <v>0</v>
      </c>
      <c r="U12" s="9">
        <v>0</v>
      </c>
      <c r="V12" s="9">
        <v>0</v>
      </c>
      <c r="W12" s="9">
        <v>0</v>
      </c>
      <c r="X12" s="9">
        <v>0</v>
      </c>
      <c r="Y12" s="9">
        <v>0</v>
      </c>
      <c r="Z12" s="9">
        <v>0</v>
      </c>
      <c r="AA12" s="9">
        <v>0</v>
      </c>
      <c r="AB12" s="9">
        <v>0</v>
      </c>
      <c r="AC12" s="9">
        <v>0</v>
      </c>
      <c r="AD12" s="9">
        <v>5.5</v>
      </c>
      <c r="AE12" s="9">
        <f t="shared" si="0"/>
        <v>246</v>
      </c>
      <c r="AF12" s="9">
        <f t="shared" si="1"/>
        <v>1.9999999999999998</v>
      </c>
    </row>
    <row r="13" spans="1:32" x14ac:dyDescent="0.25">
      <c r="A13" s="8">
        <v>43948</v>
      </c>
      <c r="B13" s="9">
        <v>12.25</v>
      </c>
      <c r="C13" s="9">
        <v>24</v>
      </c>
      <c r="D13" s="9">
        <v>0</v>
      </c>
      <c r="E13" s="9">
        <v>0</v>
      </c>
      <c r="F13" s="9">
        <v>0</v>
      </c>
      <c r="G13" s="9">
        <v>0</v>
      </c>
      <c r="H13" s="9">
        <v>0</v>
      </c>
      <c r="I13" s="9">
        <v>0</v>
      </c>
      <c r="J13" s="9">
        <v>21</v>
      </c>
      <c r="K13" s="9">
        <v>0</v>
      </c>
      <c r="L13" s="9">
        <v>0</v>
      </c>
      <c r="M13" s="9">
        <v>0</v>
      </c>
      <c r="N13" s="9">
        <v>0</v>
      </c>
      <c r="O13" s="9">
        <v>0</v>
      </c>
      <c r="P13" s="9">
        <v>0</v>
      </c>
      <c r="Q13" s="9">
        <v>0</v>
      </c>
      <c r="R13" s="9">
        <v>0</v>
      </c>
      <c r="S13" s="9">
        <v>0</v>
      </c>
      <c r="T13" s="9">
        <v>0</v>
      </c>
      <c r="U13" s="9">
        <v>0</v>
      </c>
      <c r="V13" s="9">
        <v>0</v>
      </c>
      <c r="W13" s="9">
        <v>0</v>
      </c>
      <c r="X13" s="9">
        <v>0</v>
      </c>
      <c r="Y13" s="9">
        <v>0</v>
      </c>
      <c r="Z13" s="9">
        <v>0</v>
      </c>
      <c r="AA13" s="9">
        <v>0</v>
      </c>
      <c r="AB13" s="9">
        <v>0</v>
      </c>
      <c r="AC13" s="9">
        <v>0</v>
      </c>
      <c r="AD13" s="9">
        <v>3</v>
      </c>
      <c r="AE13" s="9">
        <f t="shared" si="0"/>
        <v>270</v>
      </c>
      <c r="AF13" s="9">
        <f t="shared" si="1"/>
        <v>1.9999999999999998</v>
      </c>
    </row>
    <row r="14" spans="1:32" x14ac:dyDescent="0.25">
      <c r="A14" s="8">
        <v>43949</v>
      </c>
      <c r="B14" s="9">
        <v>12.25</v>
      </c>
      <c r="C14" s="9">
        <v>24</v>
      </c>
      <c r="D14" s="9">
        <v>0</v>
      </c>
      <c r="E14" s="9">
        <v>0</v>
      </c>
      <c r="F14" s="9">
        <v>0</v>
      </c>
      <c r="G14" s="9">
        <v>0</v>
      </c>
      <c r="H14" s="9">
        <v>0</v>
      </c>
      <c r="I14" s="9">
        <v>0</v>
      </c>
      <c r="J14" s="9">
        <v>24</v>
      </c>
      <c r="K14" s="9">
        <v>0</v>
      </c>
      <c r="L14" s="9">
        <v>0</v>
      </c>
      <c r="M14" s="9">
        <v>0</v>
      </c>
      <c r="N14" s="9">
        <v>0</v>
      </c>
      <c r="O14" s="9">
        <v>0</v>
      </c>
      <c r="P14" s="9">
        <v>0</v>
      </c>
      <c r="Q14" s="9">
        <v>0</v>
      </c>
      <c r="R14" s="9">
        <v>0</v>
      </c>
      <c r="S14" s="9">
        <v>0</v>
      </c>
      <c r="T14" s="9">
        <v>0</v>
      </c>
      <c r="U14" s="9">
        <v>0</v>
      </c>
      <c r="V14" s="9">
        <v>0</v>
      </c>
      <c r="W14" s="9">
        <v>0</v>
      </c>
      <c r="X14" s="9">
        <v>0</v>
      </c>
      <c r="Y14" s="9">
        <v>0</v>
      </c>
      <c r="Z14" s="9">
        <v>0</v>
      </c>
      <c r="AA14" s="9">
        <v>0</v>
      </c>
      <c r="AB14" s="9">
        <v>0</v>
      </c>
      <c r="AC14" s="9">
        <v>0</v>
      </c>
      <c r="AD14" s="9">
        <v>0</v>
      </c>
      <c r="AE14" s="9">
        <f t="shared" si="0"/>
        <v>294</v>
      </c>
      <c r="AF14" s="9">
        <f t="shared" si="1"/>
        <v>1.9999999999999998</v>
      </c>
    </row>
    <row r="15" spans="1:32" x14ac:dyDescent="0.25">
      <c r="A15" s="8">
        <v>43950</v>
      </c>
      <c r="B15" s="9">
        <v>12.25</v>
      </c>
      <c r="C15" s="9">
        <v>21.5</v>
      </c>
      <c r="D15" s="9">
        <v>2.5000000000000018</v>
      </c>
      <c r="E15" s="9">
        <v>0</v>
      </c>
      <c r="F15" s="9">
        <v>0</v>
      </c>
      <c r="G15" s="9">
        <v>0</v>
      </c>
      <c r="H15" s="9">
        <v>0</v>
      </c>
      <c r="I15" s="9">
        <v>0</v>
      </c>
      <c r="J15" s="9">
        <v>21.5</v>
      </c>
      <c r="K15" s="9">
        <v>0</v>
      </c>
      <c r="L15" s="9">
        <v>0</v>
      </c>
      <c r="M15" s="9">
        <v>0</v>
      </c>
      <c r="N15" s="9">
        <v>0</v>
      </c>
      <c r="O15" s="9">
        <v>0</v>
      </c>
      <c r="P15" s="9">
        <v>0</v>
      </c>
      <c r="Q15" s="9">
        <v>0</v>
      </c>
      <c r="R15" s="9">
        <v>0</v>
      </c>
      <c r="S15" s="9">
        <v>0</v>
      </c>
      <c r="T15" s="9">
        <v>0</v>
      </c>
      <c r="U15" s="9">
        <v>2.5000000000000018</v>
      </c>
      <c r="V15" s="9">
        <v>0</v>
      </c>
      <c r="W15" s="9">
        <v>0</v>
      </c>
      <c r="X15" s="9">
        <v>0</v>
      </c>
      <c r="Y15" s="9">
        <v>0</v>
      </c>
      <c r="Z15" s="9">
        <v>0</v>
      </c>
      <c r="AA15" s="9">
        <v>0</v>
      </c>
      <c r="AB15" s="9">
        <v>0</v>
      </c>
      <c r="AC15" s="9">
        <v>0</v>
      </c>
      <c r="AD15" s="9">
        <v>0</v>
      </c>
      <c r="AE15" s="9">
        <f t="shared" si="0"/>
        <v>315.5</v>
      </c>
      <c r="AF15" s="9">
        <f t="shared" si="1"/>
        <v>4.5000000000000018</v>
      </c>
    </row>
    <row r="16" spans="1:32" x14ac:dyDescent="0.25">
      <c r="A16" s="8">
        <v>43951</v>
      </c>
      <c r="B16" s="9">
        <v>12.25</v>
      </c>
      <c r="C16" s="9">
        <v>23.5</v>
      </c>
      <c r="D16" s="9">
        <v>0.49999999999999989</v>
      </c>
      <c r="E16" s="9">
        <v>0</v>
      </c>
      <c r="F16" s="9">
        <v>0</v>
      </c>
      <c r="G16" s="9">
        <v>0</v>
      </c>
      <c r="H16" s="9">
        <v>0</v>
      </c>
      <c r="I16" s="9">
        <v>0</v>
      </c>
      <c r="J16" s="9">
        <v>23.5</v>
      </c>
      <c r="K16" s="9">
        <v>0</v>
      </c>
      <c r="L16" s="9">
        <v>0</v>
      </c>
      <c r="M16" s="9">
        <v>0</v>
      </c>
      <c r="N16" s="9">
        <v>0</v>
      </c>
      <c r="O16" s="9">
        <v>0</v>
      </c>
      <c r="P16" s="9">
        <v>0</v>
      </c>
      <c r="Q16" s="9">
        <v>0</v>
      </c>
      <c r="R16" s="9">
        <v>0</v>
      </c>
      <c r="S16" s="9">
        <v>0</v>
      </c>
      <c r="T16" s="9">
        <v>0</v>
      </c>
      <c r="U16" s="9">
        <v>0.49999999999999989</v>
      </c>
      <c r="V16" s="9">
        <v>0</v>
      </c>
      <c r="W16" s="9">
        <v>0</v>
      </c>
      <c r="X16" s="9">
        <v>0</v>
      </c>
      <c r="Y16" s="9">
        <v>0</v>
      </c>
      <c r="Z16" s="9">
        <v>0</v>
      </c>
      <c r="AA16" s="9">
        <v>0</v>
      </c>
      <c r="AB16" s="9">
        <v>0</v>
      </c>
      <c r="AC16" s="9">
        <v>0</v>
      </c>
      <c r="AD16" s="9">
        <v>0</v>
      </c>
      <c r="AE16" s="9">
        <f t="shared" si="0"/>
        <v>339</v>
      </c>
      <c r="AF16" s="9">
        <f t="shared" si="1"/>
        <v>5.0000000000000018</v>
      </c>
    </row>
    <row r="17" spans="1:32" x14ac:dyDescent="0.25">
      <c r="A17" s="8">
        <v>43952</v>
      </c>
      <c r="B17" s="9">
        <v>12.25</v>
      </c>
      <c r="C17" s="9">
        <v>24</v>
      </c>
      <c r="D17" s="9">
        <v>0</v>
      </c>
      <c r="E17" s="9">
        <v>0</v>
      </c>
      <c r="F17" s="9">
        <v>0</v>
      </c>
      <c r="G17" s="9">
        <v>0</v>
      </c>
      <c r="H17" s="9">
        <v>0</v>
      </c>
      <c r="I17" s="9">
        <v>0</v>
      </c>
      <c r="J17" s="9">
        <v>24</v>
      </c>
      <c r="K17" s="9">
        <v>0</v>
      </c>
      <c r="L17" s="9">
        <v>0</v>
      </c>
      <c r="M17" s="9">
        <v>0</v>
      </c>
      <c r="N17" s="9">
        <v>0</v>
      </c>
      <c r="O17" s="9">
        <v>0</v>
      </c>
      <c r="P17" s="9">
        <v>0</v>
      </c>
      <c r="Q17" s="9">
        <v>0</v>
      </c>
      <c r="R17" s="9">
        <v>0</v>
      </c>
      <c r="S17" s="9">
        <v>0</v>
      </c>
      <c r="T17" s="9">
        <v>0</v>
      </c>
      <c r="U17" s="9">
        <v>0</v>
      </c>
      <c r="V17" s="9">
        <v>0</v>
      </c>
      <c r="W17" s="9">
        <v>0</v>
      </c>
      <c r="X17" s="9">
        <v>0</v>
      </c>
      <c r="Y17" s="9">
        <v>0</v>
      </c>
      <c r="Z17" s="9">
        <v>0</v>
      </c>
      <c r="AA17" s="9">
        <v>0</v>
      </c>
      <c r="AB17" s="9">
        <v>0</v>
      </c>
      <c r="AC17" s="9">
        <v>0</v>
      </c>
      <c r="AD17" s="9">
        <v>0</v>
      </c>
      <c r="AE17" s="9">
        <f t="shared" si="0"/>
        <v>363</v>
      </c>
      <c r="AF17" s="9">
        <f t="shared" si="1"/>
        <v>5.0000000000000018</v>
      </c>
    </row>
    <row r="18" spans="1:32" x14ac:dyDescent="0.25">
      <c r="A18" s="8">
        <v>43953</v>
      </c>
      <c r="B18" s="9">
        <v>12.25</v>
      </c>
      <c r="C18" s="9">
        <v>23.5</v>
      </c>
      <c r="D18" s="9">
        <v>0.49999999999999956</v>
      </c>
      <c r="E18" s="9">
        <v>0</v>
      </c>
      <c r="F18" s="9">
        <v>0</v>
      </c>
      <c r="G18" s="9">
        <v>0</v>
      </c>
      <c r="H18" s="9">
        <v>0</v>
      </c>
      <c r="I18" s="9">
        <v>0</v>
      </c>
      <c r="J18" s="9">
        <v>24</v>
      </c>
      <c r="K18" s="9">
        <v>0</v>
      </c>
      <c r="L18" s="9">
        <v>0</v>
      </c>
      <c r="M18" s="9">
        <v>0</v>
      </c>
      <c r="N18" s="9">
        <v>0</v>
      </c>
      <c r="O18" s="9">
        <v>0</v>
      </c>
      <c r="P18" s="9">
        <v>0</v>
      </c>
      <c r="Q18" s="9">
        <v>0</v>
      </c>
      <c r="R18" s="9">
        <v>0</v>
      </c>
      <c r="S18" s="9">
        <v>0</v>
      </c>
      <c r="T18" s="9">
        <v>0</v>
      </c>
      <c r="U18" s="9">
        <v>0</v>
      </c>
      <c r="V18" s="9">
        <v>0</v>
      </c>
      <c r="W18" s="9">
        <v>0</v>
      </c>
      <c r="X18" s="9">
        <v>0</v>
      </c>
      <c r="Y18" s="9">
        <v>0</v>
      </c>
      <c r="Z18" s="9">
        <v>0</v>
      </c>
      <c r="AA18" s="9">
        <v>0</v>
      </c>
      <c r="AB18" s="9">
        <v>0</v>
      </c>
      <c r="AC18" s="9">
        <v>0</v>
      </c>
      <c r="AD18" s="9">
        <v>0</v>
      </c>
      <c r="AE18" s="9">
        <f t="shared" si="0"/>
        <v>386.5</v>
      </c>
      <c r="AF18" s="9">
        <f t="shared" si="1"/>
        <v>5.5000000000000018</v>
      </c>
    </row>
    <row r="19" spans="1:32" x14ac:dyDescent="0.25">
      <c r="A19" s="8">
        <v>43954</v>
      </c>
      <c r="B19" s="9">
        <v>12.25</v>
      </c>
      <c r="C19" s="9">
        <v>24</v>
      </c>
      <c r="D19" s="9">
        <v>0</v>
      </c>
      <c r="E19" s="9">
        <v>0</v>
      </c>
      <c r="F19" s="9">
        <v>0</v>
      </c>
      <c r="G19" s="9">
        <v>0</v>
      </c>
      <c r="H19" s="9">
        <v>0</v>
      </c>
      <c r="I19" s="9">
        <v>0</v>
      </c>
      <c r="J19" s="9">
        <v>24</v>
      </c>
      <c r="K19" s="9">
        <v>0</v>
      </c>
      <c r="L19" s="9">
        <v>0</v>
      </c>
      <c r="M19" s="9">
        <v>0</v>
      </c>
      <c r="N19" s="9">
        <v>0</v>
      </c>
      <c r="O19" s="9">
        <v>0</v>
      </c>
      <c r="P19" s="9">
        <v>0</v>
      </c>
      <c r="Q19" s="9">
        <v>0</v>
      </c>
      <c r="R19" s="9">
        <v>0</v>
      </c>
      <c r="S19" s="9">
        <v>0</v>
      </c>
      <c r="T19" s="9">
        <v>0</v>
      </c>
      <c r="U19" s="9">
        <v>0</v>
      </c>
      <c r="V19" s="9">
        <v>0</v>
      </c>
      <c r="W19" s="9">
        <v>0</v>
      </c>
      <c r="X19" s="9">
        <v>0</v>
      </c>
      <c r="Y19" s="9">
        <v>0</v>
      </c>
      <c r="Z19" s="9">
        <v>0</v>
      </c>
      <c r="AA19" s="9">
        <v>0</v>
      </c>
      <c r="AB19" s="9">
        <v>0</v>
      </c>
      <c r="AC19" s="9">
        <v>0</v>
      </c>
      <c r="AD19" s="9">
        <v>0</v>
      </c>
      <c r="AE19" s="9">
        <f t="shared" si="0"/>
        <v>410.5</v>
      </c>
      <c r="AF19" s="9">
        <f t="shared" si="1"/>
        <v>5.5000000000000018</v>
      </c>
    </row>
    <row r="20" spans="1:32" x14ac:dyDescent="0.25">
      <c r="A20" s="8">
        <v>43955</v>
      </c>
      <c r="B20" s="9">
        <v>12.25</v>
      </c>
      <c r="C20" s="9">
        <v>24</v>
      </c>
      <c r="D20" s="9">
        <v>0</v>
      </c>
      <c r="E20" s="9">
        <v>0</v>
      </c>
      <c r="F20" s="9">
        <v>0</v>
      </c>
      <c r="G20" s="9">
        <v>3.9999999999999991</v>
      </c>
      <c r="H20" s="9">
        <v>0</v>
      </c>
      <c r="I20" s="9">
        <v>0</v>
      </c>
      <c r="J20" s="9">
        <v>20</v>
      </c>
      <c r="K20" s="9">
        <v>0</v>
      </c>
      <c r="L20" s="9">
        <v>0</v>
      </c>
      <c r="M20" s="9">
        <v>0</v>
      </c>
      <c r="N20" s="9">
        <v>0</v>
      </c>
      <c r="O20" s="9">
        <v>0</v>
      </c>
      <c r="P20" s="9">
        <v>0</v>
      </c>
      <c r="Q20" s="9">
        <v>0</v>
      </c>
      <c r="R20" s="9">
        <v>0</v>
      </c>
      <c r="S20" s="9">
        <v>0</v>
      </c>
      <c r="T20" s="9">
        <v>0</v>
      </c>
      <c r="U20" s="9">
        <v>0</v>
      </c>
      <c r="V20" s="9">
        <v>0</v>
      </c>
      <c r="W20" s="9">
        <v>0</v>
      </c>
      <c r="X20" s="9">
        <v>0</v>
      </c>
      <c r="Y20" s="9">
        <v>0</v>
      </c>
      <c r="Z20" s="9">
        <v>0</v>
      </c>
      <c r="AA20" s="9">
        <v>0</v>
      </c>
      <c r="AB20" s="9">
        <v>0</v>
      </c>
      <c r="AC20" s="9">
        <v>0</v>
      </c>
      <c r="AD20" s="9">
        <v>0</v>
      </c>
      <c r="AE20" s="9">
        <f t="shared" si="0"/>
        <v>434.5</v>
      </c>
      <c r="AF20" s="9">
        <f t="shared" si="1"/>
        <v>5.5000000000000018</v>
      </c>
    </row>
    <row r="21" spans="1:32" x14ac:dyDescent="0.25">
      <c r="A21" s="8">
        <v>43956</v>
      </c>
      <c r="B21" s="9">
        <v>12.25</v>
      </c>
      <c r="C21" s="9">
        <v>24</v>
      </c>
      <c r="D21" s="9">
        <v>0</v>
      </c>
      <c r="E21" s="9">
        <v>0</v>
      </c>
      <c r="F21" s="9">
        <v>0</v>
      </c>
      <c r="G21" s="9">
        <v>24</v>
      </c>
      <c r="H21" s="9">
        <v>0</v>
      </c>
      <c r="I21" s="9">
        <v>0</v>
      </c>
      <c r="J21" s="9">
        <v>0</v>
      </c>
      <c r="K21" s="9">
        <v>0</v>
      </c>
      <c r="L21" s="9">
        <v>0</v>
      </c>
      <c r="M21" s="9">
        <v>0</v>
      </c>
      <c r="N21" s="9">
        <v>0</v>
      </c>
      <c r="O21" s="9">
        <v>0</v>
      </c>
      <c r="P21" s="9">
        <v>0</v>
      </c>
      <c r="Q21" s="9">
        <v>0</v>
      </c>
      <c r="R21" s="9">
        <v>0</v>
      </c>
      <c r="S21" s="9">
        <v>0</v>
      </c>
      <c r="T21" s="9">
        <v>0</v>
      </c>
      <c r="U21" s="9">
        <v>0</v>
      </c>
      <c r="V21" s="9">
        <v>0</v>
      </c>
      <c r="W21" s="9">
        <v>0</v>
      </c>
      <c r="X21" s="9">
        <v>0</v>
      </c>
      <c r="Y21" s="9">
        <v>0</v>
      </c>
      <c r="Z21" s="9">
        <v>0</v>
      </c>
      <c r="AA21" s="9">
        <v>0</v>
      </c>
      <c r="AB21" s="9">
        <v>0</v>
      </c>
      <c r="AC21" s="9">
        <v>0</v>
      </c>
      <c r="AD21" s="9">
        <v>0</v>
      </c>
      <c r="AE21" s="9">
        <f t="shared" si="0"/>
        <v>458.5</v>
      </c>
      <c r="AF21" s="9">
        <f t="shared" si="1"/>
        <v>5.5000000000000018</v>
      </c>
    </row>
    <row r="22" spans="1:32" x14ac:dyDescent="0.25">
      <c r="A22" s="8">
        <v>43957</v>
      </c>
      <c r="B22" s="9">
        <v>12.25</v>
      </c>
      <c r="C22" s="9">
        <v>24</v>
      </c>
      <c r="D22" s="9">
        <v>0</v>
      </c>
      <c r="E22" s="9">
        <v>0</v>
      </c>
      <c r="F22" s="9">
        <v>1.5</v>
      </c>
      <c r="G22" s="9">
        <v>22</v>
      </c>
      <c r="H22" s="9">
        <v>0</v>
      </c>
      <c r="I22" s="9">
        <v>0</v>
      </c>
      <c r="J22" s="9">
        <v>0</v>
      </c>
      <c r="K22" s="9">
        <v>0</v>
      </c>
      <c r="L22" s="9">
        <v>0</v>
      </c>
      <c r="M22" s="9">
        <v>0</v>
      </c>
      <c r="N22" s="9">
        <v>0</v>
      </c>
      <c r="O22" s="9">
        <v>0</v>
      </c>
      <c r="P22" s="9">
        <v>0</v>
      </c>
      <c r="Q22" s="9">
        <v>0</v>
      </c>
      <c r="R22" s="9">
        <v>0</v>
      </c>
      <c r="S22" s="9">
        <v>0</v>
      </c>
      <c r="T22" s="9">
        <v>0</v>
      </c>
      <c r="U22" s="9">
        <v>0</v>
      </c>
      <c r="V22" s="9">
        <v>0</v>
      </c>
      <c r="W22" s="9">
        <v>0</v>
      </c>
      <c r="X22" s="9">
        <v>0</v>
      </c>
      <c r="Y22" s="9">
        <v>0</v>
      </c>
      <c r="Z22" s="9">
        <v>0</v>
      </c>
      <c r="AA22" s="9">
        <v>0</v>
      </c>
      <c r="AB22" s="9">
        <v>0</v>
      </c>
      <c r="AC22" s="9">
        <v>0</v>
      </c>
      <c r="AD22" s="9">
        <v>0</v>
      </c>
      <c r="AE22" s="9">
        <f t="shared" si="0"/>
        <v>482.5</v>
      </c>
      <c r="AF22" s="9">
        <f t="shared" si="1"/>
        <v>5.5000000000000018</v>
      </c>
    </row>
    <row r="23" spans="1:32" x14ac:dyDescent="0.25">
      <c r="A23" s="8">
        <v>43958</v>
      </c>
      <c r="B23" s="9">
        <v>12.25</v>
      </c>
      <c r="C23" s="9">
        <v>24</v>
      </c>
      <c r="D23" s="9">
        <v>0</v>
      </c>
      <c r="E23" s="9">
        <v>0</v>
      </c>
      <c r="F23" s="9">
        <v>24</v>
      </c>
      <c r="G23" s="9">
        <v>0</v>
      </c>
      <c r="H23" s="9">
        <v>0</v>
      </c>
      <c r="I23" s="9">
        <v>0</v>
      </c>
      <c r="J23" s="9">
        <v>0</v>
      </c>
      <c r="K23" s="9">
        <v>0</v>
      </c>
      <c r="L23" s="9">
        <v>0</v>
      </c>
      <c r="M23" s="9">
        <v>0</v>
      </c>
      <c r="N23" s="9">
        <v>0</v>
      </c>
      <c r="O23" s="9">
        <v>0</v>
      </c>
      <c r="P23" s="9">
        <v>0</v>
      </c>
      <c r="Q23" s="9">
        <v>0</v>
      </c>
      <c r="R23" s="9">
        <v>0</v>
      </c>
      <c r="S23" s="9">
        <v>0</v>
      </c>
      <c r="T23" s="9">
        <v>0</v>
      </c>
      <c r="U23" s="9">
        <v>0</v>
      </c>
      <c r="V23" s="9">
        <v>0</v>
      </c>
      <c r="W23" s="9">
        <v>0</v>
      </c>
      <c r="X23" s="9">
        <v>0</v>
      </c>
      <c r="Y23" s="9">
        <v>0</v>
      </c>
      <c r="Z23" s="9">
        <v>0</v>
      </c>
      <c r="AA23" s="9">
        <v>0</v>
      </c>
      <c r="AB23" s="9">
        <v>0</v>
      </c>
      <c r="AC23" s="9">
        <v>0</v>
      </c>
      <c r="AD23" s="9">
        <v>0</v>
      </c>
      <c r="AE23" s="9">
        <f t="shared" si="0"/>
        <v>506.5</v>
      </c>
      <c r="AF23" s="9">
        <f t="shared" si="1"/>
        <v>5.5000000000000018</v>
      </c>
    </row>
    <row r="24" spans="1:32" x14ac:dyDescent="0.25">
      <c r="A24" s="8">
        <v>43959</v>
      </c>
      <c r="B24" s="9">
        <v>12.25</v>
      </c>
      <c r="C24" s="9">
        <v>24</v>
      </c>
      <c r="D24" s="9">
        <v>0</v>
      </c>
      <c r="E24" s="9">
        <v>6.5000000000000009</v>
      </c>
      <c r="F24" s="9">
        <v>17.5</v>
      </c>
      <c r="G24" s="9">
        <v>0</v>
      </c>
      <c r="H24" s="9">
        <v>0</v>
      </c>
      <c r="I24" s="9">
        <v>0</v>
      </c>
      <c r="J24" s="9">
        <v>0</v>
      </c>
      <c r="K24" s="9">
        <v>0</v>
      </c>
      <c r="L24" s="9">
        <v>0</v>
      </c>
      <c r="M24" s="9">
        <v>0</v>
      </c>
      <c r="N24" s="9">
        <v>0</v>
      </c>
      <c r="O24" s="9">
        <v>0</v>
      </c>
      <c r="P24" s="9">
        <v>0</v>
      </c>
      <c r="Q24" s="9">
        <v>0</v>
      </c>
      <c r="R24" s="9">
        <v>0</v>
      </c>
      <c r="S24" s="9">
        <v>0</v>
      </c>
      <c r="T24" s="9">
        <v>0</v>
      </c>
      <c r="U24" s="9">
        <v>0</v>
      </c>
      <c r="V24" s="9">
        <v>0</v>
      </c>
      <c r="W24" s="9">
        <v>0</v>
      </c>
      <c r="X24" s="9">
        <v>0</v>
      </c>
      <c r="Y24" s="9">
        <v>0</v>
      </c>
      <c r="Z24" s="9">
        <v>0</v>
      </c>
      <c r="AA24" s="9">
        <v>0</v>
      </c>
      <c r="AB24" s="9">
        <v>0</v>
      </c>
      <c r="AC24" s="9">
        <v>0</v>
      </c>
      <c r="AD24" s="9">
        <v>0</v>
      </c>
      <c r="AE24" s="9">
        <f t="shared" si="0"/>
        <v>530.5</v>
      </c>
      <c r="AF24" s="9">
        <f t="shared" si="1"/>
        <v>5.5000000000000018</v>
      </c>
    </row>
    <row r="25" spans="1:32" x14ac:dyDescent="0.25">
      <c r="A25" s="8">
        <v>43960</v>
      </c>
      <c r="B25" s="9">
        <v>12.25</v>
      </c>
      <c r="C25" s="9">
        <v>24</v>
      </c>
      <c r="D25" s="9">
        <v>0</v>
      </c>
      <c r="E25" s="9">
        <v>11.5</v>
      </c>
      <c r="F25" s="9">
        <v>2.5</v>
      </c>
      <c r="G25" s="9">
        <v>0</v>
      </c>
      <c r="H25" s="9">
        <v>0</v>
      </c>
      <c r="I25" s="9">
        <v>0</v>
      </c>
      <c r="J25" s="9">
        <v>2.0000000000000009</v>
      </c>
      <c r="K25" s="9">
        <v>0</v>
      </c>
      <c r="L25" s="9">
        <v>0</v>
      </c>
      <c r="M25" s="9">
        <v>0</v>
      </c>
      <c r="N25" s="9">
        <v>0</v>
      </c>
      <c r="O25" s="9">
        <v>0</v>
      </c>
      <c r="P25" s="9">
        <v>0</v>
      </c>
      <c r="Q25" s="9">
        <v>0</v>
      </c>
      <c r="R25" s="9">
        <v>0.99999999999999911</v>
      </c>
      <c r="S25" s="9">
        <v>0</v>
      </c>
      <c r="T25" s="9">
        <v>0</v>
      </c>
      <c r="U25" s="9">
        <v>0</v>
      </c>
      <c r="V25" s="9">
        <v>0</v>
      </c>
      <c r="W25" s="9">
        <v>0</v>
      </c>
      <c r="X25" s="9">
        <v>0</v>
      </c>
      <c r="Y25" s="9">
        <v>0</v>
      </c>
      <c r="Z25" s="9">
        <v>0</v>
      </c>
      <c r="AA25" s="9">
        <v>0</v>
      </c>
      <c r="AB25" s="9">
        <v>0</v>
      </c>
      <c r="AC25" s="9">
        <v>0</v>
      </c>
      <c r="AD25" s="9">
        <v>6.9999999999999991</v>
      </c>
      <c r="AE25" s="9">
        <f t="shared" si="0"/>
        <v>554.5</v>
      </c>
      <c r="AF25" s="9">
        <f t="shared" si="1"/>
        <v>5.5000000000000018</v>
      </c>
    </row>
    <row r="26" spans="1:32" x14ac:dyDescent="0.25">
      <c r="A26" s="8">
        <v>43961</v>
      </c>
      <c r="B26" s="9">
        <v>8.5</v>
      </c>
      <c r="C26" s="9">
        <v>24</v>
      </c>
      <c r="D26" s="9">
        <v>0</v>
      </c>
      <c r="E26" s="9">
        <v>0</v>
      </c>
      <c r="F26" s="9">
        <v>0</v>
      </c>
      <c r="G26" s="9">
        <v>0</v>
      </c>
      <c r="H26" s="9">
        <v>0</v>
      </c>
      <c r="I26" s="9">
        <v>0</v>
      </c>
      <c r="J26" s="9">
        <v>24</v>
      </c>
      <c r="K26" s="9">
        <v>0</v>
      </c>
      <c r="L26" s="9">
        <v>0</v>
      </c>
      <c r="M26" s="9">
        <v>0</v>
      </c>
      <c r="N26" s="9">
        <v>0</v>
      </c>
      <c r="O26" s="9">
        <v>0</v>
      </c>
      <c r="P26" s="9">
        <v>0</v>
      </c>
      <c r="Q26" s="9">
        <v>0</v>
      </c>
      <c r="R26" s="9">
        <v>0</v>
      </c>
      <c r="S26" s="9">
        <v>0</v>
      </c>
      <c r="T26" s="9">
        <v>0</v>
      </c>
      <c r="U26" s="9">
        <v>0</v>
      </c>
      <c r="V26" s="9">
        <v>0</v>
      </c>
      <c r="W26" s="9">
        <v>0</v>
      </c>
      <c r="X26" s="9">
        <v>0</v>
      </c>
      <c r="Y26" s="9">
        <v>0</v>
      </c>
      <c r="Z26" s="9">
        <v>0</v>
      </c>
      <c r="AA26" s="9">
        <v>0</v>
      </c>
      <c r="AB26" s="9">
        <v>0</v>
      </c>
      <c r="AC26" s="9">
        <v>0</v>
      </c>
      <c r="AD26" s="9">
        <v>0</v>
      </c>
      <c r="AE26" s="9">
        <f t="shared" si="0"/>
        <v>578.5</v>
      </c>
      <c r="AF26" s="9">
        <f t="shared" si="1"/>
        <v>5.5000000000000018</v>
      </c>
    </row>
    <row r="27" spans="1:32" x14ac:dyDescent="0.25">
      <c r="A27" s="8">
        <v>43962</v>
      </c>
      <c r="B27" s="9">
        <v>8.5</v>
      </c>
      <c r="C27" s="9">
        <v>24</v>
      </c>
      <c r="D27" s="9">
        <v>0</v>
      </c>
      <c r="E27" s="9">
        <v>0</v>
      </c>
      <c r="F27" s="9">
        <v>0</v>
      </c>
      <c r="G27" s="9">
        <v>0</v>
      </c>
      <c r="H27" s="9">
        <v>0</v>
      </c>
      <c r="I27" s="9">
        <v>0</v>
      </c>
      <c r="J27" s="9">
        <v>24</v>
      </c>
      <c r="K27" s="9">
        <v>0</v>
      </c>
      <c r="L27" s="9">
        <v>0</v>
      </c>
      <c r="M27" s="9">
        <v>0</v>
      </c>
      <c r="N27" s="9">
        <v>0</v>
      </c>
      <c r="O27" s="9">
        <v>0</v>
      </c>
      <c r="P27" s="9">
        <v>0</v>
      </c>
      <c r="Q27" s="9">
        <v>0</v>
      </c>
      <c r="R27" s="9">
        <v>0</v>
      </c>
      <c r="S27" s="9">
        <v>0</v>
      </c>
      <c r="T27" s="9">
        <v>0</v>
      </c>
      <c r="U27" s="9">
        <v>0</v>
      </c>
      <c r="V27" s="9">
        <v>0</v>
      </c>
      <c r="W27" s="9">
        <v>0</v>
      </c>
      <c r="X27" s="9">
        <v>0</v>
      </c>
      <c r="Y27" s="9">
        <v>0</v>
      </c>
      <c r="Z27" s="9">
        <v>0</v>
      </c>
      <c r="AA27" s="9">
        <v>0</v>
      </c>
      <c r="AB27" s="9">
        <v>0</v>
      </c>
      <c r="AC27" s="9">
        <v>0</v>
      </c>
      <c r="AD27" s="9">
        <v>0</v>
      </c>
      <c r="AE27" s="9">
        <f t="shared" si="0"/>
        <v>602.5</v>
      </c>
      <c r="AF27" s="9">
        <f t="shared" si="1"/>
        <v>5.5000000000000018</v>
      </c>
    </row>
    <row r="28" spans="1:32" x14ac:dyDescent="0.25">
      <c r="A28" s="8">
        <v>43963</v>
      </c>
      <c r="B28" s="9">
        <v>8.5</v>
      </c>
      <c r="C28" s="9">
        <v>23</v>
      </c>
      <c r="D28" s="9">
        <v>0.99999999999999911</v>
      </c>
      <c r="E28" s="9">
        <v>0</v>
      </c>
      <c r="F28" s="9">
        <v>0</v>
      </c>
      <c r="G28" s="9">
        <v>15</v>
      </c>
      <c r="H28" s="9">
        <v>0</v>
      </c>
      <c r="I28" s="9">
        <v>0</v>
      </c>
      <c r="J28" s="9">
        <v>9</v>
      </c>
      <c r="K28" s="9">
        <v>0</v>
      </c>
      <c r="L28" s="9">
        <v>0</v>
      </c>
      <c r="M28" s="9">
        <v>0</v>
      </c>
      <c r="N28" s="9">
        <v>0</v>
      </c>
      <c r="O28" s="9">
        <v>0</v>
      </c>
      <c r="P28" s="9">
        <v>0</v>
      </c>
      <c r="Q28" s="9">
        <v>0</v>
      </c>
      <c r="R28" s="9">
        <v>0</v>
      </c>
      <c r="S28" s="9">
        <v>0</v>
      </c>
      <c r="T28" s="9">
        <v>0</v>
      </c>
      <c r="U28" s="9">
        <v>0</v>
      </c>
      <c r="V28" s="9">
        <v>0</v>
      </c>
      <c r="W28" s="9">
        <v>0</v>
      </c>
      <c r="X28" s="9">
        <v>0</v>
      </c>
      <c r="Y28" s="9">
        <v>0</v>
      </c>
      <c r="Z28" s="9">
        <v>0</v>
      </c>
      <c r="AA28" s="9">
        <v>0</v>
      </c>
      <c r="AB28" s="9">
        <v>0</v>
      </c>
      <c r="AC28" s="9">
        <v>0</v>
      </c>
      <c r="AD28" s="9">
        <v>0</v>
      </c>
      <c r="AE28" s="9">
        <f t="shared" si="0"/>
        <v>625.5</v>
      </c>
      <c r="AF28" s="9">
        <f t="shared" si="1"/>
        <v>6.5000000000000009</v>
      </c>
    </row>
    <row r="29" spans="1:32" x14ac:dyDescent="0.25">
      <c r="A29" s="8">
        <v>43964</v>
      </c>
      <c r="B29" s="9">
        <v>8.5</v>
      </c>
      <c r="C29" s="9">
        <v>24</v>
      </c>
      <c r="D29" s="9">
        <v>0</v>
      </c>
      <c r="E29" s="9">
        <v>0</v>
      </c>
      <c r="F29" s="9">
        <v>13</v>
      </c>
      <c r="G29" s="9">
        <v>11</v>
      </c>
      <c r="H29" s="9">
        <v>0</v>
      </c>
      <c r="I29" s="9">
        <v>0</v>
      </c>
      <c r="J29" s="9">
        <v>0</v>
      </c>
      <c r="K29" s="9">
        <v>0</v>
      </c>
      <c r="L29" s="9">
        <v>0</v>
      </c>
      <c r="M29" s="9">
        <v>0</v>
      </c>
      <c r="N29" s="9">
        <v>0</v>
      </c>
      <c r="O29" s="9">
        <v>0</v>
      </c>
      <c r="P29" s="9">
        <v>0</v>
      </c>
      <c r="Q29" s="9">
        <v>0</v>
      </c>
      <c r="R29" s="9">
        <v>0</v>
      </c>
      <c r="S29" s="9">
        <v>0</v>
      </c>
      <c r="T29" s="9">
        <v>0</v>
      </c>
      <c r="U29" s="9">
        <v>0</v>
      </c>
      <c r="V29" s="9">
        <v>0</v>
      </c>
      <c r="W29" s="9">
        <v>0</v>
      </c>
      <c r="X29" s="9">
        <v>0</v>
      </c>
      <c r="Y29" s="9">
        <v>0</v>
      </c>
      <c r="Z29" s="9">
        <v>0</v>
      </c>
      <c r="AA29" s="9">
        <v>0</v>
      </c>
      <c r="AB29" s="9">
        <v>0</v>
      </c>
      <c r="AC29" s="9">
        <v>0</v>
      </c>
      <c r="AD29" s="9">
        <v>0</v>
      </c>
      <c r="AE29" s="9">
        <f t="shared" si="0"/>
        <v>649.5</v>
      </c>
      <c r="AF29" s="9">
        <f t="shared" si="1"/>
        <v>6.5000000000000009</v>
      </c>
    </row>
    <row r="30" spans="1:32" x14ac:dyDescent="0.25">
      <c r="A30" s="8">
        <v>43965</v>
      </c>
      <c r="B30" s="9">
        <v>8.5</v>
      </c>
      <c r="C30" s="9">
        <v>24</v>
      </c>
      <c r="D30" s="9">
        <v>0</v>
      </c>
      <c r="E30" s="9">
        <v>0</v>
      </c>
      <c r="F30" s="9">
        <v>13.749999999999998</v>
      </c>
      <c r="G30" s="9">
        <v>0</v>
      </c>
      <c r="H30" s="9">
        <v>0</v>
      </c>
      <c r="I30" s="9">
        <v>0</v>
      </c>
      <c r="J30" s="9">
        <v>0</v>
      </c>
      <c r="K30" s="9">
        <v>0</v>
      </c>
      <c r="L30" s="9">
        <v>0</v>
      </c>
      <c r="M30" s="9">
        <v>0</v>
      </c>
      <c r="N30" s="9">
        <v>0</v>
      </c>
      <c r="O30" s="9">
        <v>0</v>
      </c>
      <c r="P30" s="9">
        <v>0</v>
      </c>
      <c r="Q30" s="9">
        <v>0</v>
      </c>
      <c r="R30" s="9">
        <v>0</v>
      </c>
      <c r="S30" s="9">
        <v>0</v>
      </c>
      <c r="T30" s="9">
        <v>0</v>
      </c>
      <c r="U30" s="9">
        <v>0</v>
      </c>
      <c r="V30" s="9">
        <v>0</v>
      </c>
      <c r="W30" s="9">
        <v>0</v>
      </c>
      <c r="X30" s="9">
        <v>0</v>
      </c>
      <c r="Y30" s="9">
        <v>0</v>
      </c>
      <c r="Z30" s="9">
        <v>10.25</v>
      </c>
      <c r="AA30" s="9">
        <v>0</v>
      </c>
      <c r="AB30" s="9">
        <v>0</v>
      </c>
      <c r="AC30" s="9">
        <v>0</v>
      </c>
      <c r="AD30" s="9">
        <v>0</v>
      </c>
      <c r="AE30" s="9">
        <f t="shared" si="0"/>
        <v>673.5</v>
      </c>
      <c r="AF30" s="9">
        <f t="shared" si="1"/>
        <v>6.5000000000000009</v>
      </c>
    </row>
    <row r="31" spans="1:32" x14ac:dyDescent="0.25">
      <c r="A31" s="8">
        <v>43966</v>
      </c>
      <c r="B31" s="9">
        <v>8.5</v>
      </c>
      <c r="C31" s="9">
        <v>23.25</v>
      </c>
      <c r="D31" s="9">
        <v>0.75</v>
      </c>
      <c r="E31" s="9">
        <v>0</v>
      </c>
      <c r="F31" s="9">
        <v>0</v>
      </c>
      <c r="G31" s="9">
        <v>0</v>
      </c>
      <c r="H31" s="9">
        <v>0</v>
      </c>
      <c r="I31" s="9">
        <v>0</v>
      </c>
      <c r="J31" s="9">
        <v>0</v>
      </c>
      <c r="K31" s="9">
        <v>0</v>
      </c>
      <c r="L31" s="9">
        <v>0</v>
      </c>
      <c r="M31" s="9">
        <v>0</v>
      </c>
      <c r="N31" s="9">
        <v>0</v>
      </c>
      <c r="O31" s="9">
        <v>0</v>
      </c>
      <c r="P31" s="9">
        <v>0</v>
      </c>
      <c r="Q31" s="9">
        <v>0</v>
      </c>
      <c r="R31" s="9">
        <v>0</v>
      </c>
      <c r="S31" s="9">
        <v>0</v>
      </c>
      <c r="T31" s="9">
        <v>0</v>
      </c>
      <c r="U31" s="9">
        <v>0</v>
      </c>
      <c r="V31" s="9">
        <v>0</v>
      </c>
      <c r="W31" s="9">
        <v>0</v>
      </c>
      <c r="X31" s="9">
        <v>0</v>
      </c>
      <c r="Y31" s="9">
        <v>0</v>
      </c>
      <c r="Z31" s="9">
        <v>15</v>
      </c>
      <c r="AA31" s="9">
        <v>0</v>
      </c>
      <c r="AB31" s="9">
        <v>0</v>
      </c>
      <c r="AC31" s="9">
        <v>0</v>
      </c>
      <c r="AD31" s="9">
        <v>9</v>
      </c>
      <c r="AE31" s="9">
        <f t="shared" si="0"/>
        <v>696.75</v>
      </c>
      <c r="AF31" s="9">
        <f t="shared" si="1"/>
        <v>7.2500000000000009</v>
      </c>
    </row>
    <row r="32" spans="1:32" x14ac:dyDescent="0.25">
      <c r="A32" s="8">
        <v>43967</v>
      </c>
      <c r="B32" s="9">
        <v>6</v>
      </c>
      <c r="C32" s="9">
        <v>24</v>
      </c>
      <c r="D32" s="9">
        <v>0</v>
      </c>
      <c r="E32" s="9">
        <v>0</v>
      </c>
      <c r="F32" s="9">
        <v>0</v>
      </c>
      <c r="G32" s="9">
        <v>0</v>
      </c>
      <c r="H32" s="9">
        <v>0</v>
      </c>
      <c r="I32" s="9">
        <v>0</v>
      </c>
      <c r="J32" s="9">
        <v>21.5</v>
      </c>
      <c r="K32" s="9">
        <v>0</v>
      </c>
      <c r="L32" s="9">
        <v>0</v>
      </c>
      <c r="M32" s="9">
        <v>0</v>
      </c>
      <c r="N32" s="9">
        <v>0</v>
      </c>
      <c r="O32" s="9">
        <v>0</v>
      </c>
      <c r="P32" s="9">
        <v>0</v>
      </c>
      <c r="Q32" s="9">
        <v>0</v>
      </c>
      <c r="R32" s="9">
        <v>0</v>
      </c>
      <c r="S32" s="9">
        <v>0</v>
      </c>
      <c r="T32" s="9">
        <v>0</v>
      </c>
      <c r="U32" s="9">
        <v>0</v>
      </c>
      <c r="V32" s="9">
        <v>0</v>
      </c>
      <c r="W32" s="9">
        <v>0</v>
      </c>
      <c r="X32" s="9">
        <v>0</v>
      </c>
      <c r="Y32" s="9">
        <v>0</v>
      </c>
      <c r="Z32" s="9">
        <v>0</v>
      </c>
      <c r="AA32" s="9">
        <v>0</v>
      </c>
      <c r="AB32" s="9">
        <v>0</v>
      </c>
      <c r="AC32" s="9">
        <v>0</v>
      </c>
      <c r="AD32" s="9">
        <v>2.5</v>
      </c>
      <c r="AE32" s="9">
        <f t="shared" si="0"/>
        <v>720.75</v>
      </c>
      <c r="AF32" s="9">
        <f t="shared" si="1"/>
        <v>7.2500000000000009</v>
      </c>
    </row>
    <row r="33" spans="1:32" x14ac:dyDescent="0.25">
      <c r="A33" s="8">
        <v>43968</v>
      </c>
      <c r="B33" s="9">
        <v>6</v>
      </c>
      <c r="C33" s="9">
        <v>24</v>
      </c>
      <c r="D33" s="9">
        <v>0</v>
      </c>
      <c r="E33" s="9">
        <v>0</v>
      </c>
      <c r="F33" s="9">
        <v>0</v>
      </c>
      <c r="G33" s="9">
        <v>0</v>
      </c>
      <c r="H33" s="9">
        <v>0</v>
      </c>
      <c r="I33" s="9">
        <v>0</v>
      </c>
      <c r="J33" s="9">
        <v>24</v>
      </c>
      <c r="K33" s="9">
        <v>0</v>
      </c>
      <c r="L33" s="9">
        <v>0</v>
      </c>
      <c r="M33" s="9">
        <v>0</v>
      </c>
      <c r="N33" s="9">
        <v>0</v>
      </c>
      <c r="O33" s="9">
        <v>0</v>
      </c>
      <c r="P33" s="9">
        <v>0</v>
      </c>
      <c r="Q33" s="9">
        <v>0</v>
      </c>
      <c r="R33" s="9">
        <v>0</v>
      </c>
      <c r="S33" s="9">
        <v>0</v>
      </c>
      <c r="T33" s="9">
        <v>0</v>
      </c>
      <c r="U33" s="9">
        <v>0</v>
      </c>
      <c r="V33" s="9">
        <v>0</v>
      </c>
      <c r="W33" s="9">
        <v>0</v>
      </c>
      <c r="X33" s="9">
        <v>0</v>
      </c>
      <c r="Y33" s="9">
        <v>0</v>
      </c>
      <c r="Z33" s="9">
        <v>0</v>
      </c>
      <c r="AA33" s="9">
        <v>0</v>
      </c>
      <c r="AB33" s="9">
        <v>0</v>
      </c>
      <c r="AC33" s="9">
        <v>0</v>
      </c>
      <c r="AD33" s="9">
        <v>0</v>
      </c>
      <c r="AE33" s="9">
        <f t="shared" si="0"/>
        <v>744.75</v>
      </c>
      <c r="AF33" s="9">
        <f t="shared" si="1"/>
        <v>7.2500000000000009</v>
      </c>
    </row>
    <row r="34" spans="1:32" x14ac:dyDescent="0.25">
      <c r="A34" s="8">
        <v>43969</v>
      </c>
      <c r="B34" s="9">
        <v>6</v>
      </c>
      <c r="C34" s="9">
        <v>24</v>
      </c>
      <c r="D34" s="9">
        <v>0</v>
      </c>
      <c r="E34" s="9">
        <v>0</v>
      </c>
      <c r="F34" s="9">
        <v>0</v>
      </c>
      <c r="G34" s="9">
        <v>0</v>
      </c>
      <c r="H34" s="9">
        <v>0</v>
      </c>
      <c r="I34" s="9">
        <v>0</v>
      </c>
      <c r="J34" s="9">
        <v>18.5</v>
      </c>
      <c r="K34" s="9">
        <v>0</v>
      </c>
      <c r="L34" s="9">
        <v>0</v>
      </c>
      <c r="M34" s="9">
        <v>0</v>
      </c>
      <c r="N34" s="9">
        <v>0</v>
      </c>
      <c r="O34" s="9">
        <v>0</v>
      </c>
      <c r="P34" s="9">
        <v>5.4999999999999991</v>
      </c>
      <c r="Q34" s="9">
        <v>0</v>
      </c>
      <c r="R34" s="9">
        <v>0</v>
      </c>
      <c r="S34" s="9">
        <v>0</v>
      </c>
      <c r="T34" s="9">
        <v>0</v>
      </c>
      <c r="U34" s="9">
        <v>0</v>
      </c>
      <c r="V34" s="9">
        <v>0</v>
      </c>
      <c r="W34" s="9">
        <v>0</v>
      </c>
      <c r="X34" s="9">
        <v>0</v>
      </c>
      <c r="Y34" s="9">
        <v>0</v>
      </c>
      <c r="Z34" s="9">
        <v>0</v>
      </c>
      <c r="AA34" s="9">
        <v>0</v>
      </c>
      <c r="AB34" s="9">
        <v>0</v>
      </c>
      <c r="AC34" s="9">
        <v>0</v>
      </c>
      <c r="AD34" s="9">
        <v>0</v>
      </c>
      <c r="AE34" s="9">
        <f t="shared" si="0"/>
        <v>768.75</v>
      </c>
      <c r="AF34" s="9">
        <f t="shared" si="1"/>
        <v>7.2500000000000009</v>
      </c>
    </row>
    <row r="35" spans="1:32" x14ac:dyDescent="0.25">
      <c r="A35" s="8">
        <v>43970</v>
      </c>
      <c r="B35" s="9">
        <v>6</v>
      </c>
      <c r="C35" s="9">
        <v>24</v>
      </c>
      <c r="D35" s="9">
        <v>0</v>
      </c>
      <c r="E35" s="9">
        <v>0</v>
      </c>
      <c r="F35" s="9">
        <v>0</v>
      </c>
      <c r="G35" s="9">
        <v>0</v>
      </c>
      <c r="H35" s="9">
        <v>0</v>
      </c>
      <c r="I35" s="9">
        <v>0</v>
      </c>
      <c r="J35" s="9">
        <v>0</v>
      </c>
      <c r="K35" s="9">
        <v>0</v>
      </c>
      <c r="L35" s="9">
        <v>0</v>
      </c>
      <c r="M35" s="9">
        <v>0</v>
      </c>
      <c r="N35" s="9">
        <v>0</v>
      </c>
      <c r="O35" s="9">
        <v>0</v>
      </c>
      <c r="P35" s="9">
        <v>24</v>
      </c>
      <c r="Q35" s="9">
        <v>0</v>
      </c>
      <c r="R35" s="9">
        <v>0</v>
      </c>
      <c r="S35" s="9">
        <v>0</v>
      </c>
      <c r="T35" s="9">
        <v>0</v>
      </c>
      <c r="U35" s="9">
        <v>0</v>
      </c>
      <c r="V35" s="9">
        <v>0</v>
      </c>
      <c r="W35" s="9">
        <v>0</v>
      </c>
      <c r="X35" s="9">
        <v>0</v>
      </c>
      <c r="Y35" s="9">
        <v>0</v>
      </c>
      <c r="Z35" s="9">
        <v>0</v>
      </c>
      <c r="AA35" s="9">
        <v>0</v>
      </c>
      <c r="AB35" s="9">
        <v>0</v>
      </c>
      <c r="AC35" s="9">
        <v>0</v>
      </c>
      <c r="AD35" s="9">
        <v>0</v>
      </c>
      <c r="AE35" s="9">
        <f t="shared" si="0"/>
        <v>792.75</v>
      </c>
      <c r="AF35" s="9">
        <f t="shared" si="1"/>
        <v>7.2500000000000009</v>
      </c>
    </row>
    <row r="36" spans="1:32" x14ac:dyDescent="0.25">
      <c r="A36" s="8">
        <v>43971</v>
      </c>
      <c r="B36" s="9">
        <v>6</v>
      </c>
      <c r="C36" s="9">
        <v>24</v>
      </c>
      <c r="D36" s="9">
        <v>0</v>
      </c>
      <c r="E36" s="9">
        <v>0</v>
      </c>
      <c r="F36" s="9">
        <v>0</v>
      </c>
      <c r="G36" s="9">
        <v>3.5000000000000009</v>
      </c>
      <c r="H36" s="9">
        <v>0</v>
      </c>
      <c r="I36" s="9">
        <v>0</v>
      </c>
      <c r="J36" s="9">
        <v>0</v>
      </c>
      <c r="K36" s="9">
        <v>0</v>
      </c>
      <c r="L36" s="9">
        <v>0</v>
      </c>
      <c r="M36" s="9">
        <v>0</v>
      </c>
      <c r="N36" s="9">
        <v>0</v>
      </c>
      <c r="O36" s="9">
        <v>0</v>
      </c>
      <c r="P36" s="9">
        <v>20.5</v>
      </c>
      <c r="Q36" s="9">
        <v>0</v>
      </c>
      <c r="R36" s="9">
        <v>0</v>
      </c>
      <c r="S36" s="9">
        <v>0</v>
      </c>
      <c r="T36" s="9">
        <v>0</v>
      </c>
      <c r="U36" s="9">
        <v>0</v>
      </c>
      <c r="V36" s="9">
        <v>0</v>
      </c>
      <c r="W36" s="9">
        <v>0</v>
      </c>
      <c r="X36" s="9">
        <v>0</v>
      </c>
      <c r="Y36" s="9">
        <v>0</v>
      </c>
      <c r="Z36" s="9">
        <v>0</v>
      </c>
      <c r="AA36" s="9">
        <v>0</v>
      </c>
      <c r="AB36" s="9">
        <v>0</v>
      </c>
      <c r="AC36" s="9">
        <v>0</v>
      </c>
      <c r="AD36" s="9">
        <v>0</v>
      </c>
      <c r="AE36" s="9">
        <f t="shared" si="0"/>
        <v>816.75</v>
      </c>
      <c r="AF36" s="9">
        <f t="shared" si="1"/>
        <v>7.2500000000000009</v>
      </c>
    </row>
    <row r="37" spans="1:32" x14ac:dyDescent="0.25">
      <c r="A37" s="8">
        <v>43972</v>
      </c>
      <c r="B37" s="9">
        <v>6</v>
      </c>
      <c r="C37" s="9">
        <v>24</v>
      </c>
      <c r="D37" s="9">
        <v>0</v>
      </c>
      <c r="E37" s="9">
        <v>0</v>
      </c>
      <c r="F37" s="9">
        <v>0</v>
      </c>
      <c r="G37" s="9">
        <v>24</v>
      </c>
      <c r="H37" s="9">
        <v>0</v>
      </c>
      <c r="I37" s="9">
        <v>0</v>
      </c>
      <c r="J37" s="9">
        <v>0</v>
      </c>
      <c r="K37" s="9">
        <v>0</v>
      </c>
      <c r="L37" s="9">
        <v>0</v>
      </c>
      <c r="M37" s="9">
        <v>0</v>
      </c>
      <c r="N37" s="9">
        <v>0</v>
      </c>
      <c r="O37" s="9">
        <v>0</v>
      </c>
      <c r="P37" s="9">
        <v>0</v>
      </c>
      <c r="Q37" s="9">
        <v>0</v>
      </c>
      <c r="R37" s="9">
        <v>0</v>
      </c>
      <c r="S37" s="9">
        <v>0</v>
      </c>
      <c r="T37" s="9">
        <v>0</v>
      </c>
      <c r="U37" s="9">
        <v>0</v>
      </c>
      <c r="V37" s="9">
        <v>0</v>
      </c>
      <c r="W37" s="9">
        <v>0</v>
      </c>
      <c r="X37" s="9">
        <v>0</v>
      </c>
      <c r="Y37" s="9">
        <v>0</v>
      </c>
      <c r="Z37" s="9">
        <v>0</v>
      </c>
      <c r="AA37" s="9">
        <v>0</v>
      </c>
      <c r="AB37" s="9">
        <v>0</v>
      </c>
      <c r="AC37" s="9">
        <v>0</v>
      </c>
      <c r="AD37" s="9">
        <v>0</v>
      </c>
      <c r="AE37" s="9">
        <f t="shared" si="0"/>
        <v>840.75</v>
      </c>
      <c r="AF37" s="9">
        <f t="shared" si="1"/>
        <v>7.2500000000000009</v>
      </c>
    </row>
    <row r="38" spans="1:32" x14ac:dyDescent="0.25">
      <c r="A38" s="8">
        <v>43973</v>
      </c>
      <c r="B38" s="9">
        <v>6</v>
      </c>
      <c r="C38" s="9">
        <v>24</v>
      </c>
      <c r="D38" s="9">
        <v>0</v>
      </c>
      <c r="E38" s="9">
        <v>0</v>
      </c>
      <c r="F38" s="9">
        <v>0</v>
      </c>
      <c r="G38" s="9">
        <v>24</v>
      </c>
      <c r="H38" s="9">
        <v>0</v>
      </c>
      <c r="I38" s="9">
        <v>0</v>
      </c>
      <c r="J38" s="9">
        <v>0</v>
      </c>
      <c r="K38" s="9">
        <v>0</v>
      </c>
      <c r="L38" s="9">
        <v>0</v>
      </c>
      <c r="M38" s="9">
        <v>0</v>
      </c>
      <c r="N38" s="9">
        <v>0</v>
      </c>
      <c r="O38" s="9">
        <v>0</v>
      </c>
      <c r="P38" s="9">
        <v>0</v>
      </c>
      <c r="Q38" s="9">
        <v>0</v>
      </c>
      <c r="R38" s="9">
        <v>0</v>
      </c>
      <c r="S38" s="9">
        <v>0</v>
      </c>
      <c r="T38" s="9">
        <v>0</v>
      </c>
      <c r="U38" s="9">
        <v>0</v>
      </c>
      <c r="V38" s="9">
        <v>0</v>
      </c>
      <c r="W38" s="9">
        <v>0</v>
      </c>
      <c r="X38" s="9">
        <v>0</v>
      </c>
      <c r="Y38" s="9">
        <v>0</v>
      </c>
      <c r="Z38" s="9">
        <v>0</v>
      </c>
      <c r="AA38" s="9">
        <v>0</v>
      </c>
      <c r="AB38" s="9">
        <v>0</v>
      </c>
      <c r="AC38" s="9">
        <v>0</v>
      </c>
      <c r="AD38" s="9">
        <v>0</v>
      </c>
      <c r="AE38" s="9">
        <f t="shared" si="0"/>
        <v>864.75</v>
      </c>
      <c r="AF38" s="9">
        <f t="shared" si="1"/>
        <v>7.2500000000000009</v>
      </c>
    </row>
    <row r="39" spans="1:32" x14ac:dyDescent="0.25">
      <c r="A39" s="8">
        <v>43974</v>
      </c>
      <c r="B39" s="9">
        <v>6</v>
      </c>
      <c r="C39" s="9">
        <v>24</v>
      </c>
      <c r="D39" s="9">
        <v>0</v>
      </c>
      <c r="E39" s="9">
        <v>0</v>
      </c>
      <c r="F39" s="9">
        <v>0</v>
      </c>
      <c r="G39" s="9">
        <v>10</v>
      </c>
      <c r="H39" s="9">
        <v>0</v>
      </c>
      <c r="I39" s="9">
        <v>0</v>
      </c>
      <c r="J39" s="9">
        <v>0</v>
      </c>
      <c r="K39" s="9">
        <v>0</v>
      </c>
      <c r="L39" s="9">
        <v>0</v>
      </c>
      <c r="M39" s="9">
        <v>0</v>
      </c>
      <c r="N39" s="9">
        <v>0</v>
      </c>
      <c r="O39" s="9">
        <v>0</v>
      </c>
      <c r="P39" s="9">
        <v>14</v>
      </c>
      <c r="Q39" s="9">
        <v>0</v>
      </c>
      <c r="R39" s="9">
        <v>0</v>
      </c>
      <c r="S39" s="9">
        <v>0</v>
      </c>
      <c r="T39" s="9">
        <v>0</v>
      </c>
      <c r="U39" s="9">
        <v>0</v>
      </c>
      <c r="V39" s="9">
        <v>0</v>
      </c>
      <c r="W39" s="9">
        <v>0</v>
      </c>
      <c r="X39" s="9">
        <v>0</v>
      </c>
      <c r="Y39" s="9">
        <v>0</v>
      </c>
      <c r="Z39" s="9">
        <v>0</v>
      </c>
      <c r="AA39" s="9">
        <v>0</v>
      </c>
      <c r="AB39" s="9">
        <v>0</v>
      </c>
      <c r="AC39" s="9">
        <v>0</v>
      </c>
      <c r="AD39" s="9">
        <v>0</v>
      </c>
      <c r="AE39" s="9">
        <f t="shared" si="0"/>
        <v>888.75</v>
      </c>
      <c r="AF39" s="9">
        <f t="shared" si="1"/>
        <v>7.2500000000000009</v>
      </c>
    </row>
    <row r="40" spans="1:32" x14ac:dyDescent="0.25">
      <c r="A40" s="8">
        <v>43975</v>
      </c>
      <c r="B40" s="9">
        <v>6</v>
      </c>
      <c r="C40" s="9">
        <v>5.0000000000000009</v>
      </c>
      <c r="D40" s="9">
        <v>24</v>
      </c>
      <c r="E40" s="9">
        <v>0</v>
      </c>
      <c r="F40" s="9">
        <v>0</v>
      </c>
      <c r="G40" s="9">
        <v>0</v>
      </c>
      <c r="H40" s="9">
        <v>0</v>
      </c>
      <c r="I40" s="9">
        <v>0</v>
      </c>
      <c r="J40" s="9">
        <v>0</v>
      </c>
      <c r="K40" s="9">
        <v>0</v>
      </c>
      <c r="L40" s="9">
        <v>0</v>
      </c>
      <c r="M40" s="9">
        <v>3.5000000000000009</v>
      </c>
      <c r="N40" s="9">
        <v>0</v>
      </c>
      <c r="O40" s="9">
        <v>0</v>
      </c>
      <c r="P40" s="9">
        <v>20.5</v>
      </c>
      <c r="Q40" s="9">
        <v>0</v>
      </c>
      <c r="R40" s="9">
        <v>0</v>
      </c>
      <c r="S40" s="9">
        <v>0</v>
      </c>
      <c r="T40" s="9">
        <v>0</v>
      </c>
      <c r="U40" s="9">
        <v>0</v>
      </c>
      <c r="V40" s="9">
        <v>0</v>
      </c>
      <c r="W40" s="9">
        <v>0</v>
      </c>
      <c r="X40" s="9">
        <v>0</v>
      </c>
      <c r="Y40" s="9">
        <v>0</v>
      </c>
      <c r="Z40" s="9">
        <v>0</v>
      </c>
      <c r="AA40" s="9">
        <v>0</v>
      </c>
      <c r="AB40" s="9">
        <v>0</v>
      </c>
      <c r="AC40" s="9">
        <v>0</v>
      </c>
      <c r="AD40" s="9">
        <v>0</v>
      </c>
      <c r="AE40" s="9">
        <f t="shared" si="0"/>
        <v>893.75</v>
      </c>
      <c r="AF40" s="9">
        <f t="shared" si="1"/>
        <v>31.25</v>
      </c>
    </row>
    <row r="41" spans="1:32" x14ac:dyDescent="0.25">
      <c r="A41" s="8">
        <v>43976</v>
      </c>
      <c r="B41" s="9">
        <v>6</v>
      </c>
      <c r="C41" s="9">
        <v>24</v>
      </c>
      <c r="D41" s="9">
        <v>19</v>
      </c>
      <c r="E41" s="9">
        <v>0</v>
      </c>
      <c r="F41" s="9">
        <v>0</v>
      </c>
      <c r="G41" s="9">
        <v>5.0000000000000009</v>
      </c>
      <c r="H41" s="9">
        <v>0</v>
      </c>
      <c r="I41" s="9">
        <v>0</v>
      </c>
      <c r="J41" s="9">
        <v>0</v>
      </c>
      <c r="K41" s="9">
        <v>0</v>
      </c>
      <c r="L41" s="9">
        <v>0</v>
      </c>
      <c r="M41" s="9">
        <v>19</v>
      </c>
      <c r="N41" s="9">
        <v>0</v>
      </c>
      <c r="O41" s="9">
        <v>0</v>
      </c>
      <c r="P41" s="9">
        <v>0</v>
      </c>
      <c r="Q41" s="9">
        <v>0</v>
      </c>
      <c r="R41" s="9">
        <v>0</v>
      </c>
      <c r="S41" s="9">
        <v>0</v>
      </c>
      <c r="T41" s="9">
        <v>0</v>
      </c>
      <c r="U41" s="9">
        <v>0</v>
      </c>
      <c r="V41" s="9">
        <v>0</v>
      </c>
      <c r="W41" s="9">
        <v>0</v>
      </c>
      <c r="X41" s="9">
        <v>0</v>
      </c>
      <c r="Y41" s="9">
        <v>0</v>
      </c>
      <c r="Z41" s="9">
        <v>0</v>
      </c>
      <c r="AA41" s="9">
        <v>0</v>
      </c>
      <c r="AB41" s="9">
        <v>0</v>
      </c>
      <c r="AC41" s="9">
        <v>0</v>
      </c>
      <c r="AD41" s="9">
        <v>0</v>
      </c>
      <c r="AE41" s="9">
        <f t="shared" si="0"/>
        <v>917.75</v>
      </c>
      <c r="AF41" s="9">
        <f t="shared" si="1"/>
        <v>50.25</v>
      </c>
    </row>
    <row r="42" spans="1:32" x14ac:dyDescent="0.25">
      <c r="A42" s="8">
        <v>43977</v>
      </c>
      <c r="B42" s="9">
        <v>6</v>
      </c>
      <c r="C42" s="9">
        <v>24</v>
      </c>
      <c r="D42" s="9">
        <v>0</v>
      </c>
      <c r="E42" s="9">
        <v>0</v>
      </c>
      <c r="F42" s="9">
        <v>0</v>
      </c>
      <c r="G42" s="9">
        <v>24</v>
      </c>
      <c r="H42" s="9">
        <v>0</v>
      </c>
      <c r="I42" s="9">
        <v>0</v>
      </c>
      <c r="J42" s="9">
        <v>0</v>
      </c>
      <c r="K42" s="9">
        <v>0</v>
      </c>
      <c r="L42" s="9">
        <v>0</v>
      </c>
      <c r="M42" s="9">
        <v>0</v>
      </c>
      <c r="N42" s="9">
        <v>0</v>
      </c>
      <c r="O42" s="9">
        <v>0</v>
      </c>
      <c r="P42" s="9">
        <v>0</v>
      </c>
      <c r="Q42" s="9">
        <v>0</v>
      </c>
      <c r="R42" s="9">
        <v>0</v>
      </c>
      <c r="S42" s="9">
        <v>0</v>
      </c>
      <c r="T42" s="9">
        <v>0</v>
      </c>
      <c r="U42" s="9">
        <v>0</v>
      </c>
      <c r="V42" s="9">
        <v>0</v>
      </c>
      <c r="W42" s="9">
        <v>0</v>
      </c>
      <c r="X42" s="9">
        <v>0</v>
      </c>
      <c r="Y42" s="9">
        <v>0</v>
      </c>
      <c r="Z42" s="9">
        <v>0</v>
      </c>
      <c r="AA42" s="9">
        <v>0</v>
      </c>
      <c r="AB42" s="9">
        <v>0</v>
      </c>
      <c r="AC42" s="9">
        <v>0</v>
      </c>
      <c r="AD42" s="9">
        <v>0</v>
      </c>
      <c r="AE42" s="9">
        <f t="shared" si="0"/>
        <v>941.75</v>
      </c>
      <c r="AF42" s="9">
        <f t="shared" si="1"/>
        <v>50.25</v>
      </c>
    </row>
    <row r="43" spans="1:32" x14ac:dyDescent="0.25">
      <c r="A43" s="8">
        <v>43978</v>
      </c>
      <c r="B43" s="9">
        <v>6</v>
      </c>
      <c r="C43" s="9">
        <v>24</v>
      </c>
      <c r="D43" s="9">
        <v>0</v>
      </c>
      <c r="E43" s="9">
        <v>0</v>
      </c>
      <c r="F43" s="9">
        <v>0</v>
      </c>
      <c r="G43" s="9">
        <v>15</v>
      </c>
      <c r="H43" s="9">
        <v>0</v>
      </c>
      <c r="I43" s="9">
        <v>0</v>
      </c>
      <c r="J43" s="9">
        <v>0</v>
      </c>
      <c r="K43" s="9">
        <v>0</v>
      </c>
      <c r="L43" s="9">
        <v>0</v>
      </c>
      <c r="M43" s="9">
        <v>0</v>
      </c>
      <c r="N43" s="9">
        <v>0</v>
      </c>
      <c r="O43" s="9">
        <v>0</v>
      </c>
      <c r="P43" s="9">
        <v>6</v>
      </c>
      <c r="Q43" s="9">
        <v>0</v>
      </c>
      <c r="R43" s="9">
        <v>0</v>
      </c>
      <c r="S43" s="9">
        <v>0</v>
      </c>
      <c r="T43" s="9">
        <v>0</v>
      </c>
      <c r="U43" s="9">
        <v>0</v>
      </c>
      <c r="V43" s="9">
        <v>0</v>
      </c>
      <c r="W43" s="9">
        <v>0</v>
      </c>
      <c r="X43" s="9">
        <v>0</v>
      </c>
      <c r="Y43" s="9">
        <v>0</v>
      </c>
      <c r="Z43" s="9">
        <v>0</v>
      </c>
      <c r="AA43" s="9">
        <v>0</v>
      </c>
      <c r="AB43" s="9">
        <v>0</v>
      </c>
      <c r="AC43" s="9">
        <v>0</v>
      </c>
      <c r="AD43" s="9">
        <v>0</v>
      </c>
      <c r="AE43" s="9">
        <f t="shared" si="0"/>
        <v>965.75</v>
      </c>
      <c r="AF43" s="9">
        <f t="shared" si="1"/>
        <v>50.25</v>
      </c>
    </row>
    <row r="44" spans="1:32" x14ac:dyDescent="0.25">
      <c r="A44" s="8">
        <v>43979</v>
      </c>
      <c r="B44" s="9">
        <v>6</v>
      </c>
      <c r="C44" s="9">
        <v>24</v>
      </c>
      <c r="D44" s="9">
        <v>0</v>
      </c>
      <c r="E44" s="9">
        <v>5.0000000000000009</v>
      </c>
      <c r="F44" s="9">
        <v>0</v>
      </c>
      <c r="G44" s="9">
        <v>1</v>
      </c>
      <c r="H44" s="9">
        <v>0</v>
      </c>
      <c r="I44" s="9">
        <v>0</v>
      </c>
      <c r="J44" s="9">
        <v>0</v>
      </c>
      <c r="K44" s="9">
        <v>0</v>
      </c>
      <c r="L44" s="9">
        <v>0</v>
      </c>
      <c r="M44" s="9">
        <v>0</v>
      </c>
      <c r="N44" s="9">
        <v>0</v>
      </c>
      <c r="O44" s="9">
        <v>0</v>
      </c>
      <c r="P44" s="9">
        <v>18</v>
      </c>
      <c r="Q44" s="9">
        <v>0</v>
      </c>
      <c r="R44" s="9">
        <v>0</v>
      </c>
      <c r="S44" s="9">
        <v>0</v>
      </c>
      <c r="T44" s="9">
        <v>0</v>
      </c>
      <c r="U44" s="9">
        <v>0</v>
      </c>
      <c r="V44" s="9">
        <v>0</v>
      </c>
      <c r="W44" s="9">
        <v>0</v>
      </c>
      <c r="X44" s="9">
        <v>0</v>
      </c>
      <c r="Y44" s="9">
        <v>0</v>
      </c>
      <c r="Z44" s="9">
        <v>0</v>
      </c>
      <c r="AA44" s="9">
        <v>0</v>
      </c>
      <c r="AB44" s="9">
        <v>0</v>
      </c>
      <c r="AC44" s="9">
        <v>0</v>
      </c>
      <c r="AD44" s="9">
        <v>0</v>
      </c>
      <c r="AE44" s="9">
        <f t="shared" si="0"/>
        <v>989.75</v>
      </c>
      <c r="AF44" s="9">
        <f t="shared" si="1"/>
        <v>50.25</v>
      </c>
    </row>
    <row r="45" spans="1:32" x14ac:dyDescent="0.25">
      <c r="A45" s="8">
        <v>43980</v>
      </c>
      <c r="B45" s="9">
        <v>6</v>
      </c>
      <c r="C45" s="9">
        <v>24</v>
      </c>
      <c r="D45" s="9">
        <v>0</v>
      </c>
      <c r="E45" s="9">
        <v>1</v>
      </c>
      <c r="F45" s="9">
        <v>0</v>
      </c>
      <c r="G45" s="9">
        <v>3</v>
      </c>
      <c r="H45" s="9">
        <v>0</v>
      </c>
      <c r="I45" s="9">
        <v>0</v>
      </c>
      <c r="J45" s="9">
        <v>0</v>
      </c>
      <c r="K45" s="9">
        <v>0</v>
      </c>
      <c r="L45" s="9">
        <v>20</v>
      </c>
      <c r="M45" s="9">
        <v>0</v>
      </c>
      <c r="N45" s="9">
        <v>0</v>
      </c>
      <c r="O45" s="9">
        <v>0</v>
      </c>
      <c r="P45" s="9">
        <v>0</v>
      </c>
      <c r="Q45" s="9">
        <v>0</v>
      </c>
      <c r="R45" s="9">
        <v>0</v>
      </c>
      <c r="S45" s="9">
        <v>0</v>
      </c>
      <c r="T45" s="9">
        <v>0</v>
      </c>
      <c r="U45" s="9">
        <v>0</v>
      </c>
      <c r="V45" s="9">
        <v>0</v>
      </c>
      <c r="W45" s="9">
        <v>0</v>
      </c>
      <c r="X45" s="9">
        <v>0</v>
      </c>
      <c r="Y45" s="9">
        <v>0</v>
      </c>
      <c r="Z45" s="9">
        <v>0</v>
      </c>
      <c r="AA45" s="9">
        <v>0</v>
      </c>
      <c r="AB45" s="9">
        <v>0</v>
      </c>
      <c r="AC45" s="9">
        <v>0</v>
      </c>
      <c r="AD45" s="9">
        <v>0</v>
      </c>
      <c r="AE45" s="9">
        <f t="shared" si="0"/>
        <v>1013.75</v>
      </c>
      <c r="AF45" s="9">
        <f t="shared" si="1"/>
        <v>50.25</v>
      </c>
    </row>
    <row r="46" spans="1:32" x14ac:dyDescent="0.25">
      <c r="A46" s="8">
        <v>43981</v>
      </c>
      <c r="B46" s="9">
        <v>6</v>
      </c>
      <c r="C46" s="9">
        <v>24</v>
      </c>
      <c r="D46" s="9">
        <v>0</v>
      </c>
      <c r="E46" s="9">
        <v>0</v>
      </c>
      <c r="F46" s="9">
        <v>0</v>
      </c>
      <c r="G46" s="9">
        <v>22</v>
      </c>
      <c r="H46" s="9">
        <v>2.0000000000000009</v>
      </c>
      <c r="I46" s="9">
        <v>0</v>
      </c>
      <c r="J46" s="9">
        <v>0</v>
      </c>
      <c r="K46" s="9">
        <v>0</v>
      </c>
      <c r="L46" s="9">
        <v>0</v>
      </c>
      <c r="M46" s="9">
        <v>0</v>
      </c>
      <c r="N46" s="9">
        <v>0</v>
      </c>
      <c r="O46" s="9">
        <v>0</v>
      </c>
      <c r="P46" s="9">
        <v>0</v>
      </c>
      <c r="Q46" s="9">
        <v>0</v>
      </c>
      <c r="R46" s="9">
        <v>0</v>
      </c>
      <c r="S46" s="9">
        <v>0</v>
      </c>
      <c r="T46" s="9">
        <v>0</v>
      </c>
      <c r="U46" s="9">
        <v>0</v>
      </c>
      <c r="V46" s="9">
        <v>0</v>
      </c>
      <c r="W46" s="9">
        <v>0</v>
      </c>
      <c r="X46" s="9">
        <v>0</v>
      </c>
      <c r="Y46" s="9">
        <v>0</v>
      </c>
      <c r="Z46" s="9">
        <v>0</v>
      </c>
      <c r="AA46" s="9">
        <v>0</v>
      </c>
      <c r="AB46" s="9">
        <v>0</v>
      </c>
      <c r="AC46" s="9">
        <v>0</v>
      </c>
      <c r="AD46" s="9">
        <v>0</v>
      </c>
      <c r="AE46" s="9">
        <f t="shared" si="0"/>
        <v>1037.75</v>
      </c>
      <c r="AF46" s="9">
        <f t="shared" si="1"/>
        <v>50.25</v>
      </c>
    </row>
    <row r="47" spans="1:32" x14ac:dyDescent="0.25">
      <c r="A47" s="8">
        <v>43982</v>
      </c>
      <c r="B47" s="9">
        <v>6</v>
      </c>
      <c r="C47" s="9">
        <v>24</v>
      </c>
      <c r="D47" s="9">
        <v>0</v>
      </c>
      <c r="E47" s="9">
        <v>0</v>
      </c>
      <c r="F47" s="9">
        <v>0</v>
      </c>
      <c r="G47" s="9">
        <v>0</v>
      </c>
      <c r="H47" s="9">
        <v>24</v>
      </c>
      <c r="I47" s="9">
        <v>0</v>
      </c>
      <c r="J47" s="9">
        <v>0</v>
      </c>
      <c r="K47" s="9">
        <v>0</v>
      </c>
      <c r="L47" s="9">
        <v>0</v>
      </c>
      <c r="M47" s="9">
        <v>0</v>
      </c>
      <c r="N47" s="9">
        <v>0</v>
      </c>
      <c r="O47" s="9">
        <v>0</v>
      </c>
      <c r="P47" s="9">
        <v>0</v>
      </c>
      <c r="Q47" s="9">
        <v>0</v>
      </c>
      <c r="R47" s="9">
        <v>0</v>
      </c>
      <c r="S47" s="9">
        <v>0</v>
      </c>
      <c r="T47" s="9">
        <v>0</v>
      </c>
      <c r="U47" s="9">
        <v>0</v>
      </c>
      <c r="V47" s="9">
        <v>0</v>
      </c>
      <c r="W47" s="9">
        <v>0</v>
      </c>
      <c r="X47" s="9">
        <v>0</v>
      </c>
      <c r="Y47" s="9">
        <v>0</v>
      </c>
      <c r="Z47" s="9">
        <v>0</v>
      </c>
      <c r="AA47" s="9">
        <v>0</v>
      </c>
      <c r="AB47" s="9">
        <v>0</v>
      </c>
      <c r="AC47" s="9">
        <v>0</v>
      </c>
      <c r="AD47" s="9">
        <v>0</v>
      </c>
      <c r="AE47" s="9">
        <f t="shared" si="0"/>
        <v>1061.75</v>
      </c>
      <c r="AF47" s="9">
        <f t="shared" si="1"/>
        <v>50.25</v>
      </c>
    </row>
    <row r="48" spans="1:32" x14ac:dyDescent="0.25">
      <c r="A48" s="8">
        <v>43983</v>
      </c>
      <c r="B48" s="9">
        <v>6</v>
      </c>
      <c r="C48" s="9">
        <v>24</v>
      </c>
      <c r="D48" s="9">
        <v>0</v>
      </c>
      <c r="E48" s="9">
        <v>3.5000000000000009</v>
      </c>
      <c r="F48" s="9">
        <v>0</v>
      </c>
      <c r="G48" s="9">
        <v>0</v>
      </c>
      <c r="H48" s="9">
        <v>20.5</v>
      </c>
      <c r="I48" s="9">
        <v>0</v>
      </c>
      <c r="J48" s="9">
        <v>0</v>
      </c>
      <c r="K48" s="9">
        <v>0</v>
      </c>
      <c r="L48" s="9">
        <v>0</v>
      </c>
      <c r="M48" s="9">
        <v>0</v>
      </c>
      <c r="N48" s="9">
        <v>0</v>
      </c>
      <c r="O48" s="9">
        <v>0</v>
      </c>
      <c r="P48" s="9">
        <v>0</v>
      </c>
      <c r="Q48" s="9">
        <v>0</v>
      </c>
      <c r="R48" s="9">
        <v>0</v>
      </c>
      <c r="S48" s="9">
        <v>0</v>
      </c>
      <c r="T48" s="9">
        <v>0</v>
      </c>
      <c r="U48" s="9">
        <v>0</v>
      </c>
      <c r="V48" s="9">
        <v>0</v>
      </c>
      <c r="W48" s="9">
        <v>0</v>
      </c>
      <c r="X48" s="9">
        <v>0</v>
      </c>
      <c r="Y48" s="9">
        <v>0</v>
      </c>
      <c r="Z48" s="9">
        <v>0</v>
      </c>
      <c r="AA48" s="9">
        <v>0</v>
      </c>
      <c r="AB48" s="9">
        <v>0</v>
      </c>
      <c r="AC48" s="9">
        <v>0</v>
      </c>
      <c r="AD48" s="9">
        <v>0</v>
      </c>
      <c r="AE48" s="9">
        <f t="shared" si="0"/>
        <v>1085.75</v>
      </c>
      <c r="AF48" s="9">
        <f t="shared" si="1"/>
        <v>50.25</v>
      </c>
    </row>
    <row r="49" spans="1:32" x14ac:dyDescent="0.25">
      <c r="A49" s="8">
        <v>43984</v>
      </c>
      <c r="B49" s="9">
        <v>6</v>
      </c>
      <c r="C49" s="9">
        <v>24</v>
      </c>
      <c r="D49" s="9">
        <v>0</v>
      </c>
      <c r="E49" s="9">
        <v>3.2500000000000004</v>
      </c>
      <c r="F49" s="9">
        <v>0</v>
      </c>
      <c r="G49" s="9">
        <v>0</v>
      </c>
      <c r="H49" s="9">
        <v>20.75</v>
      </c>
      <c r="I49" s="9">
        <v>0</v>
      </c>
      <c r="J49" s="9">
        <v>0</v>
      </c>
      <c r="K49" s="9">
        <v>0</v>
      </c>
      <c r="L49" s="9">
        <v>0</v>
      </c>
      <c r="M49" s="9">
        <v>0</v>
      </c>
      <c r="N49" s="9">
        <v>0</v>
      </c>
      <c r="O49" s="9">
        <v>0</v>
      </c>
      <c r="P49" s="9">
        <v>0</v>
      </c>
      <c r="Q49" s="9">
        <v>0</v>
      </c>
      <c r="R49" s="9">
        <v>0</v>
      </c>
      <c r="S49" s="9">
        <v>0</v>
      </c>
      <c r="T49" s="9">
        <v>0</v>
      </c>
      <c r="U49" s="9">
        <v>0</v>
      </c>
      <c r="V49" s="9">
        <v>0</v>
      </c>
      <c r="W49" s="9">
        <v>0</v>
      </c>
      <c r="X49" s="9">
        <v>0</v>
      </c>
      <c r="Y49" s="9">
        <v>0</v>
      </c>
      <c r="Z49" s="9">
        <v>0</v>
      </c>
      <c r="AA49" s="9">
        <v>0</v>
      </c>
      <c r="AB49" s="9">
        <v>0</v>
      </c>
      <c r="AC49" s="9">
        <v>0</v>
      </c>
      <c r="AD49" s="9">
        <v>0</v>
      </c>
      <c r="AE49" s="9">
        <f t="shared" si="0"/>
        <v>1109.75</v>
      </c>
      <c r="AF49" s="9">
        <f t="shared" si="1"/>
        <v>50.25</v>
      </c>
    </row>
    <row r="50" spans="1:32" x14ac:dyDescent="0.25">
      <c r="A50" s="8">
        <v>43985</v>
      </c>
      <c r="B50" s="9">
        <v>6</v>
      </c>
      <c r="C50" s="9">
        <v>24</v>
      </c>
      <c r="D50" s="9">
        <v>0</v>
      </c>
      <c r="E50" s="9">
        <v>0</v>
      </c>
      <c r="F50" s="9">
        <v>0</v>
      </c>
      <c r="G50" s="9">
        <v>0</v>
      </c>
      <c r="H50" s="9">
        <v>24</v>
      </c>
      <c r="I50" s="9">
        <v>0</v>
      </c>
      <c r="J50" s="9">
        <v>0</v>
      </c>
      <c r="K50" s="9">
        <v>0</v>
      </c>
      <c r="L50" s="9">
        <v>0</v>
      </c>
      <c r="M50" s="9">
        <v>0</v>
      </c>
      <c r="N50" s="9">
        <v>0</v>
      </c>
      <c r="O50" s="9">
        <v>0</v>
      </c>
      <c r="P50" s="9">
        <v>0</v>
      </c>
      <c r="Q50" s="9">
        <v>0</v>
      </c>
      <c r="R50" s="9">
        <v>0</v>
      </c>
      <c r="S50" s="9">
        <v>0</v>
      </c>
      <c r="T50" s="9">
        <v>0</v>
      </c>
      <c r="U50" s="9">
        <v>0</v>
      </c>
      <c r="V50" s="9">
        <v>0</v>
      </c>
      <c r="W50" s="9">
        <v>0</v>
      </c>
      <c r="X50" s="9">
        <v>0</v>
      </c>
      <c r="Y50" s="9">
        <v>0</v>
      </c>
      <c r="Z50" s="9">
        <v>0</v>
      </c>
      <c r="AA50" s="9">
        <v>0</v>
      </c>
      <c r="AB50" s="9">
        <v>0</v>
      </c>
      <c r="AC50" s="9">
        <v>0</v>
      </c>
      <c r="AD50" s="9">
        <v>0</v>
      </c>
      <c r="AE50" s="9">
        <f t="shared" si="0"/>
        <v>1133.75</v>
      </c>
      <c r="AF50" s="9">
        <f t="shared" si="1"/>
        <v>50.25</v>
      </c>
    </row>
    <row r="51" spans="1:32" x14ac:dyDescent="0.25">
      <c r="A51" s="8">
        <v>43986</v>
      </c>
      <c r="B51" s="9">
        <v>6</v>
      </c>
      <c r="C51" s="9">
        <v>24</v>
      </c>
      <c r="D51" s="9">
        <v>0</v>
      </c>
      <c r="E51" s="9">
        <v>0</v>
      </c>
      <c r="F51" s="9">
        <v>0</v>
      </c>
      <c r="G51" s="9">
        <v>0</v>
      </c>
      <c r="H51" s="9">
        <v>24</v>
      </c>
      <c r="I51" s="9">
        <v>0</v>
      </c>
      <c r="J51" s="9">
        <v>0</v>
      </c>
      <c r="K51" s="9">
        <v>0</v>
      </c>
      <c r="L51" s="9">
        <v>0</v>
      </c>
      <c r="M51" s="9">
        <v>0</v>
      </c>
      <c r="N51" s="9">
        <v>0</v>
      </c>
      <c r="O51" s="9">
        <v>0</v>
      </c>
      <c r="P51" s="9">
        <v>0</v>
      </c>
      <c r="Q51" s="9">
        <v>0</v>
      </c>
      <c r="R51" s="9">
        <v>0</v>
      </c>
      <c r="S51" s="9">
        <v>0</v>
      </c>
      <c r="T51" s="9">
        <v>0</v>
      </c>
      <c r="U51" s="9">
        <v>0</v>
      </c>
      <c r="V51" s="9">
        <v>0</v>
      </c>
      <c r="W51" s="9">
        <v>0</v>
      </c>
      <c r="X51" s="9">
        <v>0</v>
      </c>
      <c r="Y51" s="9">
        <v>0</v>
      </c>
      <c r="Z51" s="9">
        <v>0</v>
      </c>
      <c r="AA51" s="9">
        <v>0</v>
      </c>
      <c r="AB51" s="9">
        <v>0</v>
      </c>
      <c r="AC51" s="9">
        <v>0</v>
      </c>
      <c r="AD51" s="9">
        <v>0</v>
      </c>
      <c r="AE51" s="9">
        <f t="shared" si="0"/>
        <v>1157.75</v>
      </c>
      <c r="AF51" s="9">
        <f t="shared" si="1"/>
        <v>50.25</v>
      </c>
    </row>
    <row r="52" spans="1:32" x14ac:dyDescent="0.25">
      <c r="A52" s="8">
        <v>43987</v>
      </c>
      <c r="B52" s="9">
        <v>6</v>
      </c>
      <c r="C52" s="9">
        <v>24</v>
      </c>
      <c r="D52" s="9">
        <v>0</v>
      </c>
      <c r="E52" s="9">
        <v>0</v>
      </c>
      <c r="F52" s="9">
        <v>0</v>
      </c>
      <c r="G52" s="9">
        <v>0</v>
      </c>
      <c r="H52" s="9">
        <v>24</v>
      </c>
      <c r="I52" s="9">
        <v>0</v>
      </c>
      <c r="J52" s="9">
        <v>0</v>
      </c>
      <c r="K52" s="9">
        <v>0</v>
      </c>
      <c r="L52" s="9">
        <v>0</v>
      </c>
      <c r="M52" s="9">
        <v>0</v>
      </c>
      <c r="N52" s="9">
        <v>0</v>
      </c>
      <c r="O52" s="9">
        <v>0</v>
      </c>
      <c r="P52" s="9">
        <v>0</v>
      </c>
      <c r="Q52" s="9">
        <v>0</v>
      </c>
      <c r="R52" s="9">
        <v>0</v>
      </c>
      <c r="S52" s="9">
        <v>0</v>
      </c>
      <c r="T52" s="9">
        <v>0</v>
      </c>
      <c r="U52" s="9">
        <v>0</v>
      </c>
      <c r="V52" s="9">
        <v>0</v>
      </c>
      <c r="W52" s="9">
        <v>0</v>
      </c>
      <c r="X52" s="9">
        <v>0</v>
      </c>
      <c r="Y52" s="9">
        <v>0</v>
      </c>
      <c r="Z52" s="9">
        <v>0</v>
      </c>
      <c r="AA52" s="9">
        <v>0</v>
      </c>
      <c r="AB52" s="9">
        <v>0</v>
      </c>
      <c r="AC52" s="9">
        <v>0</v>
      </c>
      <c r="AD52" s="9">
        <v>0</v>
      </c>
      <c r="AE52" s="9">
        <f t="shared" si="0"/>
        <v>1181.75</v>
      </c>
      <c r="AF52" s="9">
        <f t="shared" si="1"/>
        <v>50.25</v>
      </c>
    </row>
    <row r="53" spans="1:32" x14ac:dyDescent="0.25">
      <c r="A53" s="8">
        <v>43988</v>
      </c>
      <c r="B53" s="9">
        <v>6</v>
      </c>
      <c r="C53" s="9">
        <v>24</v>
      </c>
      <c r="D53" s="9">
        <v>0</v>
      </c>
      <c r="E53" s="9">
        <v>0</v>
      </c>
      <c r="F53" s="9">
        <v>0</v>
      </c>
      <c r="G53" s="9">
        <v>0</v>
      </c>
      <c r="H53" s="9">
        <v>17.5</v>
      </c>
      <c r="I53" s="9">
        <v>0</v>
      </c>
      <c r="J53" s="9">
        <v>0</v>
      </c>
      <c r="K53" s="9">
        <v>0</v>
      </c>
      <c r="L53" s="9">
        <v>0</v>
      </c>
      <c r="M53" s="9">
        <v>0</v>
      </c>
      <c r="N53" s="9">
        <v>0</v>
      </c>
      <c r="O53" s="9">
        <v>0</v>
      </c>
      <c r="P53" s="9">
        <v>0</v>
      </c>
      <c r="Q53" s="9">
        <v>0</v>
      </c>
      <c r="R53" s="9">
        <v>6.5000000000000009</v>
      </c>
      <c r="S53" s="9">
        <v>0</v>
      </c>
      <c r="T53" s="9">
        <v>0</v>
      </c>
      <c r="U53" s="9">
        <v>0</v>
      </c>
      <c r="V53" s="9">
        <v>0</v>
      </c>
      <c r="W53" s="9">
        <v>0</v>
      </c>
      <c r="X53" s="9">
        <v>0</v>
      </c>
      <c r="Y53" s="9">
        <v>0</v>
      </c>
      <c r="Z53" s="9">
        <v>0</v>
      </c>
      <c r="AA53" s="9">
        <v>0</v>
      </c>
      <c r="AB53" s="9">
        <v>0</v>
      </c>
      <c r="AC53" s="9">
        <v>0</v>
      </c>
      <c r="AD53" s="9">
        <v>0</v>
      </c>
      <c r="AE53" s="9">
        <f t="shared" si="0"/>
        <v>1205.75</v>
      </c>
      <c r="AF53" s="9">
        <f t="shared" si="1"/>
        <v>50.25</v>
      </c>
    </row>
    <row r="54" spans="1:32" x14ac:dyDescent="0.25">
      <c r="A54" s="8">
        <v>43989</v>
      </c>
      <c r="B54" s="9">
        <v>6</v>
      </c>
      <c r="C54" s="9">
        <v>11.5</v>
      </c>
      <c r="D54" s="9">
        <v>0</v>
      </c>
      <c r="E54" s="9">
        <v>0</v>
      </c>
      <c r="F54" s="9">
        <v>0</v>
      </c>
      <c r="G54" s="9">
        <v>0</v>
      </c>
      <c r="H54" s="9">
        <v>11.5</v>
      </c>
      <c r="I54" s="9">
        <v>0</v>
      </c>
      <c r="J54" s="9">
        <v>0</v>
      </c>
      <c r="K54" s="9">
        <v>0</v>
      </c>
      <c r="L54" s="9">
        <v>0</v>
      </c>
      <c r="M54" s="9">
        <v>0</v>
      </c>
      <c r="N54" s="9">
        <v>0</v>
      </c>
      <c r="O54" s="9">
        <v>0</v>
      </c>
      <c r="P54" s="9">
        <v>0</v>
      </c>
      <c r="Q54" s="9">
        <v>0</v>
      </c>
      <c r="R54" s="9">
        <v>0</v>
      </c>
      <c r="S54" s="9">
        <v>0</v>
      </c>
      <c r="T54" s="9">
        <v>0</v>
      </c>
      <c r="U54" s="9">
        <v>0</v>
      </c>
      <c r="V54" s="9">
        <v>0</v>
      </c>
      <c r="W54" s="9">
        <v>0</v>
      </c>
      <c r="X54" s="9">
        <v>0</v>
      </c>
      <c r="Y54" s="9">
        <v>0</v>
      </c>
      <c r="Z54" s="9">
        <v>0</v>
      </c>
      <c r="AA54" s="9">
        <v>0</v>
      </c>
      <c r="AB54" s="9">
        <v>0</v>
      </c>
      <c r="AC54" s="9">
        <v>0</v>
      </c>
      <c r="AD54" s="9">
        <v>0</v>
      </c>
      <c r="AE54" s="9">
        <f t="shared" si="0"/>
        <v>1217.25</v>
      </c>
      <c r="AF54" s="9">
        <f t="shared" si="1"/>
        <v>50.25</v>
      </c>
    </row>
  </sheetData>
  <dataValidations count="25">
    <dataValidation allowBlank="1" showInputMessage="1" showErrorMessage="1" prompt="All work related to formation treatment such as acidizing, fracturing, gravel pack,… e.g. P/J, BHA, TRI, W/E, " sqref="N1" xr:uid="{C06547C0-EE2A-4B52-8BA6-434F791A968D}"/>
    <dataValidation allowBlank="1" showInputMessage="1" showErrorMessage="1" prompt="All work carried out related to cementing (plug, casing,…) e.g.: P/J, R/U running equipment, TRI casing, C/M, C/H, CEC, CEP, WAS, REA, R/D and TRT" sqref="W1" xr:uid="{4294200A-67BB-4957-8E31-88D8274093D6}"/>
    <dataValidation allowBlank="1" showInputMessage="1" showErrorMessage="1" prompt="All activites which are refered to as rig repair or down time as specified in the drilling contract, e.g.: DRW, PMP, POW, TDS, OTH, HPS, SCE." sqref="U1" xr:uid="{4028F495-2C34-4B93-8CC4-134ADECDCE58}"/>
    <dataValidation allowBlank="1" showInputMessage="1" showErrorMessage="1" prompt="All activities related to suspension if they are not part of another, more specific operation, e.g.: P/J, BHA, TRI, W/E." sqref="V1" xr:uid="{E9C7BFE8-D9C1-4DFE-B45B-D358029167C7}"/>
    <dataValidation allowBlank="1" showInputMessage="1" showErrorMessage="1" prompt="activities related to surveying (for example a run with MWD only for surveying, and no drilling intended). In case of wireline, again, only survey taken:  R/U, WLR, R/D. Combined logging runs will be refered to as logging runs. " sqref="X1" xr:uid="{74F9E94B-22DA-4E37-B533-E2408461D45F}"/>
    <dataValidation allowBlank="1" showInputMessage="1" showErrorMessage="1" prompt="All activites related to well testing e.g.: P/J, R/U, BHA, TRI, W/E, F/W, F/T, E/C, S/O, CIR." sqref="Y1" xr:uid="{B990EDFE-F8C3-4D57-9F55-5A32A41A2BD9}"/>
    <dataValidation allowBlank="1" showInputMessage="1" showErrorMessage="1" prompt="All activities related to a well control situation (kick control). A well control situation may interrupt an ongoing run until resuming intended activites. " sqref="S1 Z1" xr:uid="{816D7A3D-CD74-43A9-8733-3D8552315BD8}"/>
    <dataValidation allowBlank="1" showInputMessage="1" showErrorMessage="1" prompt="All activites carried out during waiting on equipment." sqref="AA1" xr:uid="{0681A38A-0087-41AC-AF94-0AB89F5E77A8}"/>
    <dataValidation allowBlank="1" showInputMessage="1" showErrorMessage="1" prompt="All activites carried out during waiting on order." sqref="AB1" xr:uid="{EF1B8026-2883-4D02-BBBF-A9808D180B33}"/>
    <dataValidation allowBlank="1" showInputMessage="1" showErrorMessage="1" prompt="All activites carried out during waiting on weather.." sqref="AC1" xr:uid="{D9C3624E-630C-469F-882C-7E068A22369C}"/>
    <dataValidation allowBlank="1" showInputMessage="1" showErrorMessage="1" prompt="Activites not directly related to a particular run but to the entire operation. For expl: P/U, R/B, L/D drill pipe. Note: A run must have a specified purpous downhole. RIH drill pipe to L/D same is to be considered as W/S. Safety string is WCO." sqref="AD1:AF1" xr:uid="{F5CED079-8F1A-48C9-BF6F-0F92172E683D}"/>
    <dataValidation allowBlank="1" showInputMessage="1" showErrorMessage="1" promptTitle="BOP/WH/HP System" prompt="All work carried out on the high pressure system of a rig (BOP, well head and lines) e.g.: J/P,N/U, N/D, CCA, P/T, CRA, WB" sqref="E1" xr:uid="{61912DAD-B0A3-4583-AA42-D1E2FF172471}"/>
    <dataValidation allowBlank="1" showInputMessage="1" showErrorMessage="1" prompt="All activities to run a casing or liner e.g.: P/J, R/U and R/D casing running equipment, C/H, TRI (RIH or POOH casing string), WAS (circulate down csg string), W/E (set liner hanger/LH packer), CIR (pump down setting ball) and P/T casing." sqref="F1" xr:uid="{1589800D-9F9B-4597-919A-5DEC95F79400}"/>
    <dataValidation allowBlank="1" showInputMessage="1" showErrorMessage="1" prompt="All activities to condition mud and/or wellbore: ensure wellbore condition before logging, change mud system, increase MW and also to dress off cement if no formation should be drilled e.g.: P/J, R/U, BHA, TRI, REA, WAS, C/M, C/P, C/H, and TRT" sqref="G1" xr:uid="{A99BAAF7-DEFB-4DA9-B485-31F0188D4042}"/>
    <dataValidation allowBlank="1" showInputMessage="1" showErrorMessage="1" prompt="All work related to installation of completion , e.g.: P/J, R/U, BHA, E/C, F/T, TRI, W/E" sqref="H1" xr:uid="{3B74BC06-FAD4-4934-9B3D-C7F7CDD2FC1E}"/>
    <dataValidation allowBlank="1" showInputMessage="1" showErrorMessage="1" prompt="All work related to coring run, e.g.: P/J, BHA, TRI, C/H, CIR, REA, WAS, D/F, L/D." sqref="I1" xr:uid="{68D7B912-6387-4AF2-9A9D-839DF04FDB92}"/>
    <dataValidation allowBlank="1" showInputMessage="1" showErrorMessage="1" prompt="All work related to drilling run e.g. P/J, BHA, E/C, F/T, F/C, TRI, REA, WAS, C/H, C/S, C/M, C/P, D/C, D/F, D/S, DIR, F/T, LOT, L/D, LWD, T/S, W/T, OPH." sqref="J1" xr:uid="{CE74ABB6-135F-4C5D-BEAB-58A85E2DB05D}"/>
    <dataValidation allowBlank="1" showInputMessage="1" showErrorMessage="1" prompt="activities  to set, retrieve or work equipment (e.g. packer, retrieve  liner hanger, cut casing,…) e.g.: BHA, F/T, E/C, TRI, CIR, W/E" sqref="K1" xr:uid="{05CA55E1-590B-4CEE-A15C-55A255D6FBB1}"/>
    <dataValidation allowBlank="1" showInputMessage="1" showErrorMessage="1" prompt="All work related to evaluation of  hole condition, check TOL, TOC, search for casing leak,..) e.g.: BHA, TRI, W/E, CIR. (Note: does not include logging)" sqref="L1" xr:uid="{C264D8FA-4A40-403F-AA1C-F7A6B89ECA75}"/>
    <dataValidation allowBlank="1" showInputMessage="1" showErrorMessage="1" prompt="All work related to fishing operation (incl. evaluation such as lead impression block), e.g.: P/J, E/C, F/T, TRI, W/E, W/P, CIR, M/C, M/O." sqref="M1" xr:uid="{AA3ADBED-D39B-4163-A55A-57F7587645D1}"/>
    <dataValidation allowBlank="1" showInputMessage="1" showErrorMessage="1" prompt="All HSE related activities: DRI, S/M, INV, TRA." sqref="O1" xr:uid="{994E611F-C7A8-4B21-AB7B-2FB6810A8E77}"/>
    <dataValidation allowBlank="1" showInputMessage="1" showErrorMessage="1" prompt="Logging related activities e.g.: R/U, TRI, RUN, TCL, WLR, C/T, R/D Note: Logging run should broken down in R/U, RUN (TCL, WLR), C/T, RUN, R/D" sqref="P1" xr:uid="{6B606243-DC86-4D93-B331-89B12124A4E1}"/>
    <dataValidation allowBlank="1" showInputMessage="1" showErrorMessage="1" prompt="All activities related to milling operations excluding fishing related milling operations (milling for side track, bridge plug milling,…) e.g.: P/J, BHA, F/T, TRI, W/E, M/C, M/O, CIR" sqref="Q1" xr:uid="{89BD9458-F684-4F0D-9A3F-AB0F1C31A09E}"/>
    <dataValidation allowBlank="1" showInputMessage="1" showErrorMessage="1" prompt="All activities which cannot be specified under avaliable operations." sqref="R1" xr:uid="{649521BB-9480-4C78-AC41-135696BE7E84}"/>
    <dataValidation allowBlank="1" showInputMessage="1" showErrorMessage="1" prompt="All activities related to perforation if they are not part of an entire test run, e.g.: P/J, BHA, TRI, W/E." sqref="T1" xr:uid="{01F439FC-9F8E-40B9-877B-1E8C158892CF}"/>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F8080-8226-440C-9062-3587D43E3D83}">
  <sheetPr codeName="Sheet23"/>
  <dimension ref="A1:AG28"/>
  <sheetViews>
    <sheetView workbookViewId="0">
      <selection activeCell="M30" sqref="M30"/>
    </sheetView>
  </sheetViews>
  <sheetFormatPr defaultRowHeight="14.5" x14ac:dyDescent="0.35"/>
  <cols>
    <col min="1" max="1" width="8.7265625" style="1"/>
    <col min="2" max="2" width="7.90625" customWidth="1"/>
    <col min="3" max="3" width="9.08984375" style="61" customWidth="1"/>
    <col min="4" max="4" width="11.90625" style="61" customWidth="1"/>
    <col min="5" max="5" width="10.453125" customWidth="1"/>
    <col min="6" max="7" width="9.08984375" customWidth="1"/>
    <col min="8" max="8" width="9.08984375" style="1" customWidth="1"/>
    <col min="9" max="9" width="8.1796875" customWidth="1"/>
    <col min="10" max="11" width="7.90625" customWidth="1"/>
    <col min="12" max="15" width="9.36328125" customWidth="1"/>
    <col min="16" max="16" width="9.81640625" customWidth="1"/>
    <col min="17" max="17" width="29.81640625" customWidth="1"/>
    <col min="18" max="18" width="6.81640625" customWidth="1"/>
    <col min="19" max="19" width="6.453125" customWidth="1"/>
    <col min="20" max="23" width="5.90625" customWidth="1"/>
    <col min="24" max="24" width="10.36328125" customWidth="1"/>
    <col min="25" max="25" width="10.26953125" bestFit="1" customWidth="1"/>
    <col min="26" max="27" width="7.6328125" customWidth="1"/>
    <col min="28" max="28" width="6.453125" customWidth="1"/>
    <col min="29" max="29" width="9.6328125" customWidth="1"/>
    <col min="30" max="30" width="13.08984375" customWidth="1"/>
    <col min="31" max="31" width="8.08984375" customWidth="1"/>
    <col min="32" max="32" width="7.6328125" customWidth="1"/>
    <col min="33" max="33" width="48" customWidth="1"/>
  </cols>
  <sheetData>
    <row r="1" spans="1:33" ht="23" x14ac:dyDescent="0.35">
      <c r="A1" s="1" t="s">
        <v>8</v>
      </c>
      <c r="B1" s="1" t="s">
        <v>511</v>
      </c>
      <c r="C1" s="1" t="s">
        <v>1199</v>
      </c>
      <c r="D1" s="1" t="s">
        <v>3</v>
      </c>
      <c r="E1" s="1" t="s">
        <v>512</v>
      </c>
      <c r="F1" s="1" t="s">
        <v>513</v>
      </c>
      <c r="G1" s="1" t="s">
        <v>159</v>
      </c>
      <c r="H1" s="1" t="s">
        <v>514</v>
      </c>
      <c r="I1" s="1" t="s">
        <v>1200</v>
      </c>
      <c r="J1" s="1" t="s">
        <v>1201</v>
      </c>
      <c r="K1" s="1" t="s">
        <v>1202</v>
      </c>
      <c r="L1" s="1" t="s">
        <v>1203</v>
      </c>
      <c r="M1" s="1" t="s">
        <v>1204</v>
      </c>
      <c r="N1" s="1" t="s">
        <v>1205</v>
      </c>
      <c r="O1" s="1" t="s">
        <v>439</v>
      </c>
      <c r="P1" s="1" t="s">
        <v>163</v>
      </c>
      <c r="Q1" s="1" t="s">
        <v>515</v>
      </c>
      <c r="R1" s="1"/>
      <c r="S1" s="1"/>
      <c r="T1" s="1"/>
      <c r="U1" s="1"/>
      <c r="V1" s="1"/>
      <c r="W1" s="1"/>
      <c r="X1" s="1"/>
      <c r="Y1" s="1"/>
      <c r="Z1" s="1"/>
      <c r="AA1" s="1"/>
      <c r="AB1" s="1"/>
      <c r="AC1" s="1"/>
      <c r="AD1" s="1"/>
      <c r="AE1" s="1"/>
      <c r="AF1" s="1"/>
      <c r="AG1" s="1"/>
    </row>
    <row r="2" spans="1:33" x14ac:dyDescent="0.35">
      <c r="A2" s="150">
        <v>43937</v>
      </c>
      <c r="B2" t="s">
        <v>568</v>
      </c>
      <c r="C2" s="61">
        <v>26</v>
      </c>
      <c r="D2" s="61" t="s">
        <v>623</v>
      </c>
      <c r="E2" t="s">
        <v>569</v>
      </c>
      <c r="F2" t="s">
        <v>570</v>
      </c>
      <c r="H2" s="1">
        <v>13198367</v>
      </c>
      <c r="I2">
        <v>17</v>
      </c>
      <c r="K2">
        <v>36</v>
      </c>
      <c r="L2">
        <v>4.5</v>
      </c>
      <c r="M2">
        <v>20</v>
      </c>
      <c r="N2">
        <v>8</v>
      </c>
      <c r="O2" t="s">
        <v>571</v>
      </c>
      <c r="P2">
        <v>2.1800000000000002</v>
      </c>
      <c r="Q2" t="s">
        <v>473</v>
      </c>
      <c r="X2" s="2"/>
      <c r="Y2" s="2"/>
    </row>
    <row r="3" spans="1:33" x14ac:dyDescent="0.35">
      <c r="A3" s="150">
        <v>43938</v>
      </c>
      <c r="B3" t="s">
        <v>568</v>
      </c>
      <c r="C3" s="61">
        <v>26</v>
      </c>
      <c r="D3" s="61" t="s">
        <v>623</v>
      </c>
      <c r="E3" t="s">
        <v>569</v>
      </c>
      <c r="F3" t="s">
        <v>570</v>
      </c>
      <c r="H3" s="1">
        <v>13198367</v>
      </c>
      <c r="I3">
        <v>17</v>
      </c>
      <c r="K3">
        <v>241</v>
      </c>
      <c r="L3">
        <v>22.35</v>
      </c>
      <c r="M3">
        <v>147</v>
      </c>
      <c r="N3">
        <v>10.782997762863534</v>
      </c>
      <c r="O3" t="s">
        <v>571</v>
      </c>
      <c r="P3">
        <v>2.1800000000000002</v>
      </c>
      <c r="Q3" t="s">
        <v>473</v>
      </c>
    </row>
    <row r="4" spans="1:33" x14ac:dyDescent="0.35">
      <c r="A4" s="150">
        <v>43939</v>
      </c>
      <c r="B4" t="s">
        <v>634</v>
      </c>
      <c r="C4" s="61">
        <v>26</v>
      </c>
      <c r="D4" s="61" t="s">
        <v>624</v>
      </c>
      <c r="E4" t="s">
        <v>569</v>
      </c>
      <c r="F4" t="s">
        <v>570</v>
      </c>
      <c r="H4" s="1">
        <v>13198367</v>
      </c>
      <c r="I4">
        <v>258</v>
      </c>
      <c r="J4">
        <v>258</v>
      </c>
      <c r="N4">
        <v>0</v>
      </c>
      <c r="O4" t="s">
        <v>571</v>
      </c>
      <c r="P4">
        <v>2.1800000000000002</v>
      </c>
      <c r="Q4" t="s">
        <v>635</v>
      </c>
    </row>
    <row r="5" spans="1:33" x14ac:dyDescent="0.35">
      <c r="A5" s="150">
        <v>43941</v>
      </c>
      <c r="B5" t="s">
        <v>676</v>
      </c>
      <c r="C5" s="61">
        <v>17.5</v>
      </c>
      <c r="D5" s="61" t="s">
        <v>683</v>
      </c>
      <c r="E5" t="s">
        <v>677</v>
      </c>
      <c r="F5" t="s">
        <v>678</v>
      </c>
      <c r="H5" s="1" t="s">
        <v>679</v>
      </c>
      <c r="I5">
        <v>279</v>
      </c>
      <c r="N5">
        <v>0</v>
      </c>
      <c r="O5" t="s">
        <v>680</v>
      </c>
      <c r="P5">
        <v>1.37</v>
      </c>
      <c r="Q5" t="s">
        <v>473</v>
      </c>
    </row>
    <row r="6" spans="1:33" x14ac:dyDescent="0.35">
      <c r="A6" s="150">
        <v>43942</v>
      </c>
      <c r="B6" t="s">
        <v>676</v>
      </c>
      <c r="C6" s="61">
        <v>17.5</v>
      </c>
      <c r="D6" s="61" t="s">
        <v>683</v>
      </c>
      <c r="E6" t="s">
        <v>677</v>
      </c>
      <c r="F6" t="s">
        <v>678</v>
      </c>
      <c r="H6" s="1" t="s">
        <v>679</v>
      </c>
      <c r="I6">
        <v>279</v>
      </c>
      <c r="K6">
        <v>534</v>
      </c>
      <c r="L6">
        <v>11.75</v>
      </c>
      <c r="M6">
        <v>174</v>
      </c>
      <c r="N6">
        <v>45.446808510638299</v>
      </c>
      <c r="O6" t="s">
        <v>680</v>
      </c>
      <c r="P6">
        <v>1.37</v>
      </c>
      <c r="Q6" t="s">
        <v>473</v>
      </c>
    </row>
    <row r="7" spans="1:33" x14ac:dyDescent="0.35">
      <c r="A7" s="150">
        <v>43943</v>
      </c>
      <c r="B7" t="s">
        <v>694</v>
      </c>
      <c r="C7" s="61">
        <v>17.5</v>
      </c>
      <c r="D7" s="61" t="s">
        <v>697</v>
      </c>
      <c r="E7" t="s">
        <v>677</v>
      </c>
      <c r="F7" t="s">
        <v>678</v>
      </c>
      <c r="H7" s="1" t="s">
        <v>679</v>
      </c>
      <c r="I7">
        <v>1050</v>
      </c>
      <c r="N7">
        <v>0</v>
      </c>
      <c r="O7" t="s">
        <v>680</v>
      </c>
      <c r="P7">
        <v>1.37</v>
      </c>
      <c r="Q7" t="s">
        <v>624</v>
      </c>
    </row>
    <row r="8" spans="1:33" x14ac:dyDescent="0.35">
      <c r="A8" s="150">
        <v>43944</v>
      </c>
      <c r="B8" t="s">
        <v>694</v>
      </c>
      <c r="C8" s="61">
        <v>17.5</v>
      </c>
      <c r="D8" s="61" t="s">
        <v>624</v>
      </c>
      <c r="E8" t="s">
        <v>677</v>
      </c>
      <c r="F8" t="s">
        <v>678</v>
      </c>
      <c r="H8" s="1" t="s">
        <v>679</v>
      </c>
      <c r="I8">
        <v>1050</v>
      </c>
      <c r="J8">
        <v>1054</v>
      </c>
      <c r="K8">
        <v>4</v>
      </c>
      <c r="L8">
        <v>0.28000000000000003</v>
      </c>
      <c r="M8">
        <v>12</v>
      </c>
      <c r="N8">
        <v>14.285714285714285</v>
      </c>
      <c r="O8" t="s">
        <v>680</v>
      </c>
      <c r="P8">
        <v>1.37</v>
      </c>
      <c r="Q8" t="s">
        <v>695</v>
      </c>
    </row>
    <row r="9" spans="1:33" x14ac:dyDescent="0.35">
      <c r="A9" s="150">
        <v>43947</v>
      </c>
      <c r="B9" t="s">
        <v>731</v>
      </c>
      <c r="C9" s="61">
        <v>12.25</v>
      </c>
      <c r="D9" s="61" t="s">
        <v>735</v>
      </c>
      <c r="E9" t="s">
        <v>677</v>
      </c>
      <c r="F9" t="s">
        <v>732</v>
      </c>
      <c r="H9" s="1" t="s">
        <v>733</v>
      </c>
      <c r="I9">
        <v>1054</v>
      </c>
      <c r="J9">
        <v>1084</v>
      </c>
      <c r="K9">
        <v>30</v>
      </c>
      <c r="L9">
        <v>0.93</v>
      </c>
      <c r="M9">
        <v>18.600000000000001</v>
      </c>
      <c r="N9">
        <v>32.258064516129032</v>
      </c>
      <c r="O9" t="s">
        <v>680</v>
      </c>
      <c r="P9">
        <v>1.3740000000000001</v>
      </c>
      <c r="Q9" t="s">
        <v>635</v>
      </c>
    </row>
    <row r="10" spans="1:33" x14ac:dyDescent="0.35">
      <c r="A10" s="150">
        <v>43948</v>
      </c>
      <c r="B10" t="s">
        <v>742</v>
      </c>
      <c r="C10" s="61">
        <v>12.25</v>
      </c>
      <c r="D10" s="61" t="s">
        <v>744</v>
      </c>
      <c r="E10" t="s">
        <v>677</v>
      </c>
      <c r="F10" t="s">
        <v>732</v>
      </c>
      <c r="H10" s="1" t="s">
        <v>733</v>
      </c>
      <c r="I10">
        <v>1084</v>
      </c>
      <c r="K10">
        <v>296</v>
      </c>
      <c r="L10">
        <v>6.42</v>
      </c>
      <c r="M10">
        <v>90.2</v>
      </c>
      <c r="N10">
        <v>46.105919003115268</v>
      </c>
      <c r="O10" t="s">
        <v>680</v>
      </c>
      <c r="P10">
        <v>1.3740000000000001</v>
      </c>
      <c r="Q10" t="s">
        <v>635</v>
      </c>
    </row>
    <row r="11" spans="1:33" x14ac:dyDescent="0.35">
      <c r="A11" s="150">
        <v>43949</v>
      </c>
      <c r="B11" t="s">
        <v>742</v>
      </c>
      <c r="C11" s="61">
        <v>12.25</v>
      </c>
      <c r="D11" s="61" t="s">
        <v>744</v>
      </c>
      <c r="E11" t="s">
        <v>677</v>
      </c>
      <c r="F11" t="s">
        <v>732</v>
      </c>
      <c r="H11" s="1" t="s">
        <v>733</v>
      </c>
      <c r="I11">
        <v>1084</v>
      </c>
      <c r="K11">
        <v>780</v>
      </c>
      <c r="L11">
        <v>19.380000000000003</v>
      </c>
      <c r="M11">
        <v>175</v>
      </c>
      <c r="N11">
        <v>40.247678018575847</v>
      </c>
      <c r="O11" t="s">
        <v>680</v>
      </c>
      <c r="P11">
        <v>1.3740000000000001</v>
      </c>
      <c r="Q11" t="s">
        <v>635</v>
      </c>
    </row>
    <row r="12" spans="1:33" x14ac:dyDescent="0.35">
      <c r="A12" s="150">
        <v>43950</v>
      </c>
      <c r="B12" t="s">
        <v>742</v>
      </c>
      <c r="C12" s="61">
        <v>12.25</v>
      </c>
      <c r="D12" s="61" t="s">
        <v>744</v>
      </c>
      <c r="E12" t="s">
        <v>677</v>
      </c>
      <c r="F12" t="s">
        <v>732</v>
      </c>
      <c r="H12" s="1" t="s">
        <v>733</v>
      </c>
      <c r="I12">
        <v>1084</v>
      </c>
      <c r="K12">
        <v>1145</v>
      </c>
      <c r="L12">
        <v>32.06</v>
      </c>
      <c r="M12">
        <v>429</v>
      </c>
      <c r="N12">
        <v>35.714285714285715</v>
      </c>
      <c r="O12" t="s">
        <v>680</v>
      </c>
      <c r="P12">
        <v>1.3740000000000001</v>
      </c>
      <c r="Q12" t="s">
        <v>635</v>
      </c>
    </row>
    <row r="13" spans="1:33" x14ac:dyDescent="0.35">
      <c r="A13" s="150">
        <v>43951</v>
      </c>
      <c r="B13" t="s">
        <v>742</v>
      </c>
      <c r="C13" s="61">
        <v>12.25</v>
      </c>
      <c r="D13" s="61" t="s">
        <v>744</v>
      </c>
      <c r="E13" t="s">
        <v>677</v>
      </c>
      <c r="F13" t="s">
        <v>732</v>
      </c>
      <c r="H13" s="1" t="s">
        <v>733</v>
      </c>
      <c r="I13">
        <v>1084</v>
      </c>
      <c r="K13">
        <v>1266</v>
      </c>
      <c r="L13">
        <v>39.1</v>
      </c>
      <c r="M13">
        <v>540</v>
      </c>
      <c r="N13">
        <v>32.37851662404092</v>
      </c>
      <c r="O13" t="s">
        <v>680</v>
      </c>
      <c r="P13">
        <v>1.3740000000000001</v>
      </c>
      <c r="Q13" t="s">
        <v>635</v>
      </c>
    </row>
    <row r="14" spans="1:33" x14ac:dyDescent="0.35">
      <c r="A14" s="150">
        <v>43952</v>
      </c>
      <c r="B14" t="s">
        <v>742</v>
      </c>
      <c r="C14" s="61">
        <v>12.25</v>
      </c>
      <c r="D14" s="61" t="s">
        <v>744</v>
      </c>
      <c r="E14" t="s">
        <v>677</v>
      </c>
      <c r="F14" t="s">
        <v>732</v>
      </c>
      <c r="H14" s="1" t="s">
        <v>733</v>
      </c>
      <c r="I14">
        <v>1084</v>
      </c>
      <c r="K14">
        <v>1531</v>
      </c>
      <c r="L14">
        <v>56.63</v>
      </c>
      <c r="M14">
        <v>752</v>
      </c>
      <c r="N14">
        <v>27.035140384954971</v>
      </c>
      <c r="O14" t="s">
        <v>680</v>
      </c>
      <c r="P14">
        <v>1.3740000000000001</v>
      </c>
      <c r="Q14" t="s">
        <v>635</v>
      </c>
    </row>
    <row r="15" spans="1:33" x14ac:dyDescent="0.35">
      <c r="A15" s="150">
        <v>43953</v>
      </c>
      <c r="B15" t="s">
        <v>742</v>
      </c>
      <c r="C15" s="61">
        <v>12.25</v>
      </c>
      <c r="D15" s="61" t="s">
        <v>744</v>
      </c>
      <c r="E15" t="s">
        <v>677</v>
      </c>
      <c r="F15" t="s">
        <v>732</v>
      </c>
      <c r="H15" s="1" t="s">
        <v>733</v>
      </c>
      <c r="I15">
        <v>1084</v>
      </c>
      <c r="K15">
        <v>1672</v>
      </c>
      <c r="L15">
        <v>75.460000000000008</v>
      </c>
      <c r="M15">
        <v>960</v>
      </c>
      <c r="N15">
        <v>22.15743440233236</v>
      </c>
      <c r="O15" t="s">
        <v>680</v>
      </c>
      <c r="P15">
        <v>1.3740000000000001</v>
      </c>
      <c r="Q15" t="s">
        <v>635</v>
      </c>
    </row>
    <row r="16" spans="1:33" x14ac:dyDescent="0.35">
      <c r="A16" s="150">
        <v>43954</v>
      </c>
      <c r="B16" t="s">
        <v>742</v>
      </c>
      <c r="C16" s="61">
        <v>12.25</v>
      </c>
      <c r="D16" s="61" t="s">
        <v>744</v>
      </c>
      <c r="E16" t="s">
        <v>677</v>
      </c>
      <c r="F16" t="s">
        <v>732</v>
      </c>
      <c r="H16" s="1" t="s">
        <v>733</v>
      </c>
      <c r="I16">
        <v>1084</v>
      </c>
      <c r="K16">
        <v>1800</v>
      </c>
      <c r="L16">
        <v>95.63000000000001</v>
      </c>
      <c r="M16">
        <v>1184</v>
      </c>
      <c r="N16">
        <v>18.822545226393391</v>
      </c>
      <c r="O16" t="s">
        <v>680</v>
      </c>
      <c r="P16">
        <v>1.3740000000000001</v>
      </c>
      <c r="Q16" t="s">
        <v>635</v>
      </c>
    </row>
    <row r="17" spans="1:17" x14ac:dyDescent="0.35">
      <c r="A17" s="150">
        <v>43955</v>
      </c>
      <c r="B17" t="s">
        <v>770</v>
      </c>
      <c r="C17" s="61">
        <v>12.25</v>
      </c>
      <c r="D17" s="61" t="s">
        <v>773</v>
      </c>
      <c r="E17" t="s">
        <v>677</v>
      </c>
      <c r="F17" t="s">
        <v>732</v>
      </c>
      <c r="H17" s="1" t="s">
        <v>733</v>
      </c>
      <c r="I17">
        <v>2891</v>
      </c>
      <c r="O17" t="s">
        <v>680</v>
      </c>
      <c r="P17">
        <v>1.3740000000000001</v>
      </c>
      <c r="Q17" t="s">
        <v>771</v>
      </c>
    </row>
    <row r="18" spans="1:17" x14ac:dyDescent="0.35">
      <c r="A18" s="150">
        <v>43956</v>
      </c>
      <c r="B18" t="s">
        <v>770</v>
      </c>
      <c r="C18" s="61">
        <v>12.25</v>
      </c>
      <c r="D18" s="61" t="s">
        <v>773</v>
      </c>
      <c r="E18" t="s">
        <v>677</v>
      </c>
      <c r="F18" t="s">
        <v>732</v>
      </c>
      <c r="H18" s="1" t="s">
        <v>733</v>
      </c>
      <c r="I18">
        <v>2891</v>
      </c>
      <c r="O18" t="s">
        <v>680</v>
      </c>
      <c r="P18">
        <v>1.3740000000000001</v>
      </c>
      <c r="Q18" t="s">
        <v>771</v>
      </c>
    </row>
    <row r="19" spans="1:17" x14ac:dyDescent="0.35">
      <c r="A19" s="150">
        <v>43957</v>
      </c>
      <c r="B19" t="s">
        <v>770</v>
      </c>
      <c r="C19" s="61">
        <v>12.25</v>
      </c>
      <c r="D19" s="61" t="s">
        <v>624</v>
      </c>
      <c r="E19" t="s">
        <v>677</v>
      </c>
      <c r="F19" t="s">
        <v>732</v>
      </c>
      <c r="H19" s="1" t="s">
        <v>733</v>
      </c>
      <c r="I19">
        <v>2891</v>
      </c>
      <c r="J19">
        <v>2891</v>
      </c>
      <c r="O19" t="s">
        <v>680</v>
      </c>
      <c r="P19">
        <v>1.3740000000000001</v>
      </c>
      <c r="Q19" t="s">
        <v>771</v>
      </c>
    </row>
    <row r="20" spans="1:17" x14ac:dyDescent="0.35">
      <c r="A20" s="150">
        <v>43960</v>
      </c>
      <c r="B20" t="s">
        <v>802</v>
      </c>
      <c r="C20" s="61">
        <v>8.5</v>
      </c>
      <c r="D20" s="61" t="s">
        <v>809</v>
      </c>
      <c r="E20" t="s">
        <v>803</v>
      </c>
      <c r="F20" t="s">
        <v>804</v>
      </c>
      <c r="H20" s="1" t="s">
        <v>805</v>
      </c>
      <c r="I20" t="s">
        <v>624</v>
      </c>
      <c r="O20" t="s">
        <v>806</v>
      </c>
      <c r="P20">
        <v>0.66</v>
      </c>
      <c r="Q20" t="s">
        <v>807</v>
      </c>
    </row>
    <row r="21" spans="1:17" x14ac:dyDescent="0.35">
      <c r="A21" s="150">
        <v>43961</v>
      </c>
      <c r="B21" t="s">
        <v>802</v>
      </c>
      <c r="C21" s="61">
        <v>8.5</v>
      </c>
      <c r="D21" s="61" t="s">
        <v>809</v>
      </c>
      <c r="E21" t="s">
        <v>803</v>
      </c>
      <c r="F21" t="s">
        <v>804</v>
      </c>
      <c r="H21" s="1" t="s">
        <v>805</v>
      </c>
      <c r="I21">
        <v>2891</v>
      </c>
      <c r="K21">
        <v>85</v>
      </c>
      <c r="L21">
        <v>6.25</v>
      </c>
      <c r="M21">
        <v>125</v>
      </c>
      <c r="N21">
        <v>13.6</v>
      </c>
      <c r="O21" t="s">
        <v>806</v>
      </c>
      <c r="P21">
        <v>0.66</v>
      </c>
      <c r="Q21" t="s">
        <v>807</v>
      </c>
    </row>
    <row r="22" spans="1:17" x14ac:dyDescent="0.35">
      <c r="A22" s="150">
        <v>43962</v>
      </c>
      <c r="B22" t="s">
        <v>802</v>
      </c>
      <c r="C22" s="61">
        <v>8.5</v>
      </c>
      <c r="D22" s="61" t="s">
        <v>809</v>
      </c>
      <c r="E22" t="s">
        <v>803</v>
      </c>
      <c r="F22" t="s">
        <v>804</v>
      </c>
      <c r="H22" s="1" t="s">
        <v>805</v>
      </c>
      <c r="I22">
        <v>2891</v>
      </c>
      <c r="K22">
        <v>300</v>
      </c>
      <c r="L22">
        <v>22.62</v>
      </c>
      <c r="M22">
        <v>380</v>
      </c>
      <c r="N22">
        <v>13.262599469496021</v>
      </c>
      <c r="O22" t="s">
        <v>806</v>
      </c>
      <c r="P22">
        <v>0.66</v>
      </c>
      <c r="Q22" t="s">
        <v>807</v>
      </c>
    </row>
    <row r="23" spans="1:17" x14ac:dyDescent="0.35">
      <c r="A23" s="150">
        <v>43963</v>
      </c>
      <c r="B23" t="s">
        <v>828</v>
      </c>
      <c r="C23" s="61">
        <v>8.5</v>
      </c>
      <c r="D23" s="61" t="s">
        <v>832</v>
      </c>
      <c r="E23" t="s">
        <v>803</v>
      </c>
      <c r="F23" t="s">
        <v>804</v>
      </c>
      <c r="H23" s="1" t="s">
        <v>805</v>
      </c>
      <c r="I23">
        <v>3191</v>
      </c>
      <c r="N23">
        <v>0</v>
      </c>
      <c r="O23" t="s">
        <v>806</v>
      </c>
      <c r="P23">
        <v>0.66</v>
      </c>
      <c r="Q23" t="s">
        <v>829</v>
      </c>
    </row>
    <row r="24" spans="1:17" x14ac:dyDescent="0.35">
      <c r="A24" s="150">
        <v>43964</v>
      </c>
      <c r="B24" t="s">
        <v>828</v>
      </c>
      <c r="C24" s="61">
        <v>8.5</v>
      </c>
      <c r="D24" s="61" t="s">
        <v>624</v>
      </c>
      <c r="E24" t="s">
        <v>803</v>
      </c>
      <c r="F24" t="s">
        <v>804</v>
      </c>
      <c r="H24" s="1" t="s">
        <v>805</v>
      </c>
      <c r="I24">
        <v>3191</v>
      </c>
      <c r="J24">
        <v>3191</v>
      </c>
      <c r="N24">
        <v>0</v>
      </c>
      <c r="O24" t="s">
        <v>806</v>
      </c>
      <c r="P24">
        <v>0.66</v>
      </c>
      <c r="Q24" t="s">
        <v>829</v>
      </c>
    </row>
    <row r="25" spans="1:17" x14ac:dyDescent="0.35">
      <c r="A25" s="150">
        <v>43965</v>
      </c>
      <c r="B25" t="s">
        <v>845</v>
      </c>
      <c r="C25" s="61">
        <v>8.5</v>
      </c>
      <c r="D25" s="61" t="s">
        <v>849</v>
      </c>
      <c r="E25" t="s">
        <v>803</v>
      </c>
      <c r="F25" t="s">
        <v>804</v>
      </c>
      <c r="H25" s="1" t="s">
        <v>805</v>
      </c>
      <c r="I25">
        <v>3191</v>
      </c>
      <c r="N25">
        <v>0</v>
      </c>
      <c r="O25" t="s">
        <v>806</v>
      </c>
      <c r="P25">
        <v>0.66</v>
      </c>
      <c r="Q25" t="s">
        <v>829</v>
      </c>
    </row>
    <row r="26" spans="1:17" x14ac:dyDescent="0.35">
      <c r="A26" s="150">
        <v>43967</v>
      </c>
      <c r="B26">
        <v>6</v>
      </c>
      <c r="C26" s="61">
        <v>6</v>
      </c>
      <c r="D26" s="61" t="s">
        <v>862</v>
      </c>
      <c r="E26" t="s">
        <v>677</v>
      </c>
      <c r="F26" t="s">
        <v>859</v>
      </c>
      <c r="H26" s="1" t="s">
        <v>805</v>
      </c>
      <c r="I26">
        <v>3191</v>
      </c>
      <c r="K26">
        <v>42</v>
      </c>
      <c r="L26">
        <v>2.3199999999999998</v>
      </c>
      <c r="N26">
        <v>18.103448275862071</v>
      </c>
      <c r="O26" t="s">
        <v>860</v>
      </c>
      <c r="P26">
        <v>0.41599999999999998</v>
      </c>
      <c r="Q26" t="s">
        <v>473</v>
      </c>
    </row>
    <row r="27" spans="1:17" x14ac:dyDescent="0.35">
      <c r="A27" s="150">
        <v>43968</v>
      </c>
      <c r="B27">
        <v>6</v>
      </c>
      <c r="C27" s="61">
        <v>6</v>
      </c>
      <c r="D27" s="61" t="s">
        <v>862</v>
      </c>
      <c r="E27" t="s">
        <v>677</v>
      </c>
      <c r="F27" t="s">
        <v>859</v>
      </c>
      <c r="H27" s="1" t="s">
        <v>805</v>
      </c>
      <c r="I27">
        <v>3191</v>
      </c>
      <c r="K27">
        <v>269</v>
      </c>
      <c r="L27">
        <v>23.88</v>
      </c>
      <c r="M27">
        <v>384</v>
      </c>
      <c r="N27">
        <v>11.264656616415412</v>
      </c>
      <c r="O27" t="s">
        <v>860</v>
      </c>
      <c r="P27">
        <v>0.41599999999999998</v>
      </c>
      <c r="Q27" t="s">
        <v>473</v>
      </c>
    </row>
    <row r="28" spans="1:17" x14ac:dyDescent="0.35">
      <c r="A28" s="150">
        <v>43969</v>
      </c>
      <c r="B28">
        <v>6</v>
      </c>
      <c r="C28" s="61">
        <v>6</v>
      </c>
      <c r="D28" s="61" t="s">
        <v>624</v>
      </c>
      <c r="E28" t="s">
        <v>677</v>
      </c>
      <c r="F28" t="s">
        <v>859</v>
      </c>
      <c r="H28" s="1" t="s">
        <v>805</v>
      </c>
      <c r="I28">
        <v>3191</v>
      </c>
      <c r="J28">
        <v>3640</v>
      </c>
      <c r="K28">
        <v>269</v>
      </c>
      <c r="L28">
        <v>23.88</v>
      </c>
      <c r="M28">
        <v>384</v>
      </c>
      <c r="N28">
        <v>11.264656616415412</v>
      </c>
      <c r="O28" t="s">
        <v>860</v>
      </c>
      <c r="P28">
        <v>0.41599999999999998</v>
      </c>
      <c r="Q28" t="s">
        <v>874</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FA1FA-7EB3-4C27-8C86-45326B767763}">
  <sheetPr codeName="Sheet5"/>
  <dimension ref="A1:K3444"/>
  <sheetViews>
    <sheetView workbookViewId="0">
      <selection activeCell="N8" sqref="N8"/>
    </sheetView>
  </sheetViews>
  <sheetFormatPr defaultRowHeight="14.5" x14ac:dyDescent="0.35"/>
  <cols>
    <col min="1" max="1" width="11" customWidth="1"/>
    <col min="2" max="2" width="8.6328125" style="62" customWidth="1"/>
    <col min="3" max="3" width="11.36328125" style="62" customWidth="1"/>
    <col min="4" max="4" width="10.36328125" style="62" customWidth="1"/>
    <col min="5" max="5" width="8.6328125" style="61" customWidth="1"/>
    <col min="6" max="6" width="10.1796875" style="61" customWidth="1"/>
    <col min="7" max="7" width="9.1796875" style="61" customWidth="1"/>
    <col min="8" max="8" width="9.54296875" customWidth="1"/>
    <col min="9" max="9" width="10" customWidth="1"/>
    <col min="10" max="10" width="10.54296875" customWidth="1"/>
    <col min="11" max="11" width="11.6328125" style="61" customWidth="1"/>
  </cols>
  <sheetData>
    <row r="1" spans="1:11" ht="23" x14ac:dyDescent="0.35">
      <c r="A1" s="1" t="s">
        <v>8</v>
      </c>
      <c r="B1" s="62" t="s">
        <v>1189</v>
      </c>
      <c r="C1" s="62" t="s">
        <v>1206</v>
      </c>
      <c r="D1" s="62" t="s">
        <v>1207</v>
      </c>
      <c r="E1" s="1" t="s">
        <v>1208</v>
      </c>
      <c r="F1" s="1" t="s">
        <v>464</v>
      </c>
      <c r="G1" s="1" t="s">
        <v>1209</v>
      </c>
      <c r="H1" s="1" t="s">
        <v>412</v>
      </c>
      <c r="I1" s="1" t="s">
        <v>1210</v>
      </c>
      <c r="J1" s="1" t="s">
        <v>1211</v>
      </c>
      <c r="K1" s="1" t="s">
        <v>1212</v>
      </c>
    </row>
    <row r="2" spans="1:11" x14ac:dyDescent="0.35">
      <c r="B2" s="62">
        <v>26</v>
      </c>
      <c r="C2" s="471">
        <v>18</v>
      </c>
      <c r="D2" s="471">
        <v>18</v>
      </c>
      <c r="E2" s="469">
        <v>17.93</v>
      </c>
      <c r="F2" s="469">
        <v>2.1</v>
      </c>
      <c r="G2" s="469">
        <v>2.2000000000000002</v>
      </c>
      <c r="H2" s="470">
        <v>31</v>
      </c>
      <c r="I2" s="470">
        <v>455.9</v>
      </c>
      <c r="J2" s="470">
        <v>56.8</v>
      </c>
      <c r="K2" s="469">
        <v>1.03</v>
      </c>
    </row>
    <row r="3" spans="1:11" x14ac:dyDescent="0.35">
      <c r="B3" s="62">
        <v>26</v>
      </c>
      <c r="C3" s="471">
        <v>19</v>
      </c>
      <c r="D3" s="471">
        <v>19</v>
      </c>
      <c r="E3" s="469">
        <v>17.93</v>
      </c>
      <c r="F3" s="469">
        <v>2.1</v>
      </c>
      <c r="G3" s="469">
        <v>2.2000000000000002</v>
      </c>
      <c r="H3" s="470">
        <v>31</v>
      </c>
      <c r="I3" s="470">
        <v>456</v>
      </c>
      <c r="J3" s="470">
        <v>56.8</v>
      </c>
      <c r="K3" s="469">
        <v>1.03</v>
      </c>
    </row>
    <row r="4" spans="1:11" x14ac:dyDescent="0.35">
      <c r="B4" s="62">
        <v>26</v>
      </c>
      <c r="C4" s="471">
        <v>20</v>
      </c>
      <c r="D4" s="471">
        <v>20</v>
      </c>
      <c r="E4" s="469">
        <v>20.350000000000001</v>
      </c>
      <c r="F4" s="469">
        <v>1.1000000000000001</v>
      </c>
      <c r="G4" s="469">
        <v>2.6</v>
      </c>
      <c r="H4" s="470">
        <v>36</v>
      </c>
      <c r="I4" s="470">
        <v>457</v>
      </c>
      <c r="J4" s="470">
        <v>56.9</v>
      </c>
      <c r="K4" s="469">
        <v>1.03</v>
      </c>
    </row>
    <row r="5" spans="1:11" x14ac:dyDescent="0.35">
      <c r="B5" s="62">
        <v>26</v>
      </c>
      <c r="C5" s="471">
        <v>21</v>
      </c>
      <c r="D5" s="471">
        <v>21</v>
      </c>
      <c r="E5" s="469">
        <v>34.630000000000003</v>
      </c>
      <c r="F5" s="469">
        <v>1.2</v>
      </c>
      <c r="G5" s="469">
        <v>2.1</v>
      </c>
      <c r="H5" s="470">
        <v>51</v>
      </c>
      <c r="I5" s="470">
        <v>453</v>
      </c>
      <c r="J5" s="470">
        <v>57.4</v>
      </c>
      <c r="K5" s="469">
        <v>1.03</v>
      </c>
    </row>
    <row r="6" spans="1:11" x14ac:dyDescent="0.35">
      <c r="B6" s="62">
        <v>26</v>
      </c>
      <c r="C6" s="471">
        <v>22</v>
      </c>
      <c r="D6" s="471">
        <v>22</v>
      </c>
      <c r="E6" s="469">
        <v>25.78</v>
      </c>
      <c r="F6" s="469">
        <v>1.4</v>
      </c>
      <c r="G6" s="469">
        <v>2</v>
      </c>
      <c r="H6" s="470">
        <v>51</v>
      </c>
      <c r="I6" s="470">
        <v>458</v>
      </c>
      <c r="J6" s="470">
        <v>59.8</v>
      </c>
      <c r="K6" s="469">
        <v>1.03</v>
      </c>
    </row>
    <row r="7" spans="1:11" x14ac:dyDescent="0.35">
      <c r="B7" s="62">
        <v>26</v>
      </c>
      <c r="C7" s="471">
        <v>23</v>
      </c>
      <c r="D7" s="471">
        <v>23</v>
      </c>
      <c r="E7" s="469">
        <v>6.25</v>
      </c>
      <c r="F7" s="469">
        <v>1.4</v>
      </c>
      <c r="G7" s="469">
        <v>1.5</v>
      </c>
      <c r="H7" s="470">
        <v>50</v>
      </c>
      <c r="I7" s="470">
        <v>457</v>
      </c>
      <c r="J7" s="470">
        <v>59.6</v>
      </c>
      <c r="K7" s="469">
        <v>1.03</v>
      </c>
    </row>
    <row r="8" spans="1:11" x14ac:dyDescent="0.35">
      <c r="B8" s="62">
        <v>26</v>
      </c>
      <c r="C8" s="471">
        <v>24</v>
      </c>
      <c r="D8" s="471">
        <v>24</v>
      </c>
      <c r="E8" s="469">
        <v>7.28</v>
      </c>
      <c r="F8" s="469">
        <v>1.6</v>
      </c>
      <c r="G8" s="469">
        <v>1.1000000000000001</v>
      </c>
      <c r="H8" s="470">
        <v>51</v>
      </c>
      <c r="I8" s="470">
        <v>455</v>
      </c>
      <c r="J8" s="470">
        <v>57.3</v>
      </c>
      <c r="K8" s="469">
        <v>1.03</v>
      </c>
    </row>
    <row r="9" spans="1:11" x14ac:dyDescent="0.35">
      <c r="B9" s="62">
        <v>26</v>
      </c>
      <c r="C9" s="471">
        <v>25</v>
      </c>
      <c r="D9" s="471">
        <v>25</v>
      </c>
      <c r="E9" s="469">
        <v>6.72</v>
      </c>
      <c r="F9" s="469">
        <v>1.8</v>
      </c>
      <c r="G9" s="469">
        <v>1</v>
      </c>
      <c r="H9" s="470">
        <v>51</v>
      </c>
      <c r="I9" s="470">
        <v>460</v>
      </c>
      <c r="J9" s="470">
        <v>59.3</v>
      </c>
      <c r="K9" s="469">
        <v>1.03</v>
      </c>
    </row>
    <row r="10" spans="1:11" x14ac:dyDescent="0.35">
      <c r="B10" s="62">
        <v>26</v>
      </c>
      <c r="C10" s="471">
        <v>26</v>
      </c>
      <c r="D10" s="471">
        <v>26</v>
      </c>
      <c r="E10" s="469">
        <v>14.02</v>
      </c>
      <c r="F10" s="469">
        <v>2.1</v>
      </c>
      <c r="G10" s="469">
        <v>1.1000000000000001</v>
      </c>
      <c r="H10" s="470">
        <v>51</v>
      </c>
      <c r="I10" s="470">
        <v>429</v>
      </c>
      <c r="J10" s="470">
        <v>50.3</v>
      </c>
      <c r="K10" s="469">
        <v>1.03</v>
      </c>
    </row>
    <row r="11" spans="1:11" x14ac:dyDescent="0.35">
      <c r="B11" s="62">
        <v>26</v>
      </c>
      <c r="C11" s="471">
        <v>27</v>
      </c>
      <c r="D11" s="471">
        <v>27</v>
      </c>
      <c r="E11" s="469">
        <v>7.89</v>
      </c>
      <c r="F11" s="469">
        <v>2.2000000000000002</v>
      </c>
      <c r="G11" s="469">
        <v>1.3</v>
      </c>
      <c r="H11" s="470">
        <v>51</v>
      </c>
      <c r="I11" s="470">
        <v>430</v>
      </c>
      <c r="J11" s="470">
        <v>52</v>
      </c>
      <c r="K11" s="469">
        <v>1.03</v>
      </c>
    </row>
    <row r="12" spans="1:11" x14ac:dyDescent="0.35">
      <c r="B12" s="62">
        <v>26</v>
      </c>
      <c r="C12" s="471">
        <v>28</v>
      </c>
      <c r="D12" s="471">
        <v>28</v>
      </c>
      <c r="E12" s="469">
        <v>6.97</v>
      </c>
      <c r="F12" s="469">
        <v>2.4</v>
      </c>
      <c r="G12" s="469">
        <v>2</v>
      </c>
      <c r="H12" s="470">
        <v>57</v>
      </c>
      <c r="I12" s="470">
        <v>431</v>
      </c>
      <c r="J12" s="470">
        <v>54.4</v>
      </c>
      <c r="K12" s="469">
        <v>1.03</v>
      </c>
    </row>
    <row r="13" spans="1:11" x14ac:dyDescent="0.35">
      <c r="B13" s="62">
        <v>26</v>
      </c>
      <c r="C13" s="471">
        <v>29</v>
      </c>
      <c r="D13" s="471">
        <v>29</v>
      </c>
      <c r="E13" s="469">
        <v>4.3099999999999996</v>
      </c>
      <c r="F13" s="469">
        <v>1.1000000000000001</v>
      </c>
      <c r="G13" s="469">
        <v>1.3</v>
      </c>
      <c r="H13" s="470">
        <v>63</v>
      </c>
      <c r="I13" s="470">
        <v>900</v>
      </c>
      <c r="J13" s="470">
        <v>249.4</v>
      </c>
      <c r="K13" s="469">
        <v>1.03</v>
      </c>
    </row>
    <row r="14" spans="1:11" x14ac:dyDescent="0.35">
      <c r="B14" s="62">
        <v>26</v>
      </c>
      <c r="C14" s="471">
        <v>30</v>
      </c>
      <c r="D14" s="471">
        <v>30</v>
      </c>
      <c r="E14" s="469">
        <v>3.89</v>
      </c>
      <c r="F14" s="469">
        <v>1.1000000000000001</v>
      </c>
      <c r="G14" s="469">
        <v>1.4</v>
      </c>
      <c r="H14" s="470">
        <v>59</v>
      </c>
      <c r="I14" s="470">
        <v>909</v>
      </c>
      <c r="J14" s="470">
        <v>259</v>
      </c>
      <c r="K14" s="469">
        <v>1.03</v>
      </c>
    </row>
    <row r="15" spans="1:11" x14ac:dyDescent="0.35">
      <c r="B15" s="62">
        <v>26</v>
      </c>
      <c r="C15" s="471">
        <v>31</v>
      </c>
      <c r="D15" s="471">
        <v>31</v>
      </c>
      <c r="E15" s="469">
        <v>16.850000000000001</v>
      </c>
      <c r="F15" s="469">
        <v>1.1000000000000001</v>
      </c>
      <c r="G15" s="469">
        <v>2.1</v>
      </c>
      <c r="H15" s="470">
        <v>50</v>
      </c>
      <c r="I15" s="470">
        <v>920</v>
      </c>
      <c r="J15" s="470">
        <v>267.10000000000002</v>
      </c>
      <c r="K15" s="469">
        <v>1.03</v>
      </c>
    </row>
    <row r="16" spans="1:11" x14ac:dyDescent="0.35">
      <c r="B16" s="62">
        <v>26</v>
      </c>
      <c r="C16" s="471">
        <v>32</v>
      </c>
      <c r="D16" s="471">
        <v>32</v>
      </c>
      <c r="E16" s="469">
        <v>21.22</v>
      </c>
      <c r="F16" s="469">
        <v>1</v>
      </c>
      <c r="G16" s="469">
        <v>2.1</v>
      </c>
      <c r="H16" s="470">
        <v>50</v>
      </c>
      <c r="I16" s="470">
        <v>918</v>
      </c>
      <c r="J16" s="470">
        <v>272.2</v>
      </c>
      <c r="K16" s="469">
        <v>1.03</v>
      </c>
    </row>
    <row r="17" spans="2:11" x14ac:dyDescent="0.35">
      <c r="B17" s="62">
        <v>26</v>
      </c>
      <c r="C17" s="471">
        <v>33</v>
      </c>
      <c r="D17" s="471">
        <v>33</v>
      </c>
      <c r="E17" s="469">
        <v>20.48</v>
      </c>
      <c r="F17" s="469">
        <v>1.1000000000000001</v>
      </c>
      <c r="G17" s="469">
        <v>2.2999999999999998</v>
      </c>
      <c r="H17" s="470">
        <v>50</v>
      </c>
      <c r="I17" s="470">
        <v>920</v>
      </c>
      <c r="J17" s="470">
        <v>273.2</v>
      </c>
      <c r="K17" s="469">
        <v>1.03</v>
      </c>
    </row>
    <row r="18" spans="2:11" x14ac:dyDescent="0.35">
      <c r="B18" s="62">
        <v>26</v>
      </c>
      <c r="C18" s="471">
        <v>34</v>
      </c>
      <c r="D18" s="471">
        <v>34</v>
      </c>
      <c r="E18" s="469">
        <v>13.33</v>
      </c>
      <c r="F18" s="469">
        <v>1.1000000000000001</v>
      </c>
      <c r="G18" s="469">
        <v>2.2999999999999998</v>
      </c>
      <c r="H18" s="470">
        <v>50</v>
      </c>
      <c r="I18" s="470">
        <v>919</v>
      </c>
      <c r="J18" s="470">
        <v>272.39999999999998</v>
      </c>
      <c r="K18" s="469">
        <v>1.03</v>
      </c>
    </row>
    <row r="19" spans="2:11" x14ac:dyDescent="0.35">
      <c r="B19" s="62">
        <v>26</v>
      </c>
      <c r="C19" s="471">
        <v>35</v>
      </c>
      <c r="D19" s="471">
        <v>35</v>
      </c>
      <c r="E19" s="469">
        <v>8.82</v>
      </c>
      <c r="F19" s="469">
        <v>1</v>
      </c>
      <c r="G19" s="469">
        <v>1.9</v>
      </c>
      <c r="H19" s="470">
        <v>52</v>
      </c>
      <c r="I19" s="470">
        <v>922</v>
      </c>
      <c r="J19" s="470">
        <v>276.3</v>
      </c>
      <c r="K19" s="469">
        <v>1.03</v>
      </c>
    </row>
    <row r="20" spans="2:11" x14ac:dyDescent="0.35">
      <c r="B20" s="62">
        <v>26</v>
      </c>
      <c r="C20" s="471">
        <v>36</v>
      </c>
      <c r="D20" s="471">
        <v>36</v>
      </c>
      <c r="E20" s="469">
        <v>23.53</v>
      </c>
      <c r="F20" s="469">
        <v>1.1000000000000001</v>
      </c>
      <c r="G20" s="469">
        <v>2</v>
      </c>
      <c r="H20" s="470">
        <v>61</v>
      </c>
      <c r="I20" s="470">
        <v>919</v>
      </c>
      <c r="J20" s="470">
        <v>273.2</v>
      </c>
      <c r="K20" s="469">
        <v>1.03</v>
      </c>
    </row>
    <row r="21" spans="2:11" x14ac:dyDescent="0.35">
      <c r="B21" s="62">
        <v>26</v>
      </c>
      <c r="C21" s="471">
        <v>37</v>
      </c>
      <c r="D21" s="471">
        <v>37</v>
      </c>
      <c r="E21" s="469">
        <v>13.66</v>
      </c>
      <c r="F21" s="469">
        <v>1.1000000000000001</v>
      </c>
      <c r="G21" s="469">
        <v>1.9</v>
      </c>
      <c r="H21" s="470">
        <v>51</v>
      </c>
      <c r="I21" s="470">
        <v>915</v>
      </c>
      <c r="J21" s="470">
        <v>270.3</v>
      </c>
      <c r="K21" s="469">
        <v>1.03</v>
      </c>
    </row>
    <row r="22" spans="2:11" x14ac:dyDescent="0.35">
      <c r="B22" s="62">
        <v>26</v>
      </c>
      <c r="C22" s="471">
        <v>38</v>
      </c>
      <c r="D22" s="471">
        <v>38</v>
      </c>
      <c r="E22" s="469">
        <v>34.86</v>
      </c>
      <c r="F22" s="469">
        <v>1.2</v>
      </c>
      <c r="G22" s="469">
        <v>2</v>
      </c>
      <c r="H22" s="470">
        <v>48</v>
      </c>
      <c r="I22" s="470">
        <v>922</v>
      </c>
      <c r="J22" s="470">
        <v>269.8</v>
      </c>
      <c r="K22" s="469">
        <v>1.03</v>
      </c>
    </row>
    <row r="23" spans="2:11" x14ac:dyDescent="0.35">
      <c r="B23" s="62">
        <v>26</v>
      </c>
      <c r="C23" s="471">
        <v>39</v>
      </c>
      <c r="D23" s="471">
        <v>39</v>
      </c>
      <c r="E23" s="469">
        <v>50.9</v>
      </c>
      <c r="F23" s="469">
        <v>1</v>
      </c>
      <c r="G23" s="469">
        <v>2</v>
      </c>
      <c r="H23" s="470">
        <v>48</v>
      </c>
      <c r="I23" s="470">
        <v>917</v>
      </c>
      <c r="J23" s="470">
        <v>269</v>
      </c>
      <c r="K23" s="469">
        <v>1.03</v>
      </c>
    </row>
    <row r="24" spans="2:11" x14ac:dyDescent="0.35">
      <c r="B24" s="62">
        <v>26</v>
      </c>
      <c r="C24" s="471">
        <v>40</v>
      </c>
      <c r="D24" s="471">
        <v>40</v>
      </c>
      <c r="E24" s="469">
        <v>14.77</v>
      </c>
      <c r="F24" s="469">
        <v>1.1000000000000001</v>
      </c>
      <c r="G24" s="469">
        <v>1.9</v>
      </c>
      <c r="H24" s="470">
        <v>48</v>
      </c>
      <c r="I24" s="470">
        <v>918</v>
      </c>
      <c r="J24" s="470">
        <v>273.8</v>
      </c>
      <c r="K24" s="469">
        <v>1.03</v>
      </c>
    </row>
    <row r="25" spans="2:11" x14ac:dyDescent="0.35">
      <c r="B25" s="62">
        <v>26</v>
      </c>
      <c r="C25" s="471">
        <v>41</v>
      </c>
      <c r="D25" s="471">
        <v>41</v>
      </c>
      <c r="E25" s="469">
        <v>7.31</v>
      </c>
      <c r="F25" s="469">
        <v>1</v>
      </c>
      <c r="G25" s="469">
        <v>2.1</v>
      </c>
      <c r="H25" s="470">
        <v>45</v>
      </c>
      <c r="I25" s="470">
        <v>917</v>
      </c>
      <c r="J25" s="470">
        <v>274.39999999999998</v>
      </c>
      <c r="K25" s="469">
        <v>1.03</v>
      </c>
    </row>
    <row r="26" spans="2:11" x14ac:dyDescent="0.35">
      <c r="B26" s="62">
        <v>26</v>
      </c>
      <c r="C26" s="471">
        <v>42</v>
      </c>
      <c r="D26" s="471">
        <v>42</v>
      </c>
      <c r="E26" s="469">
        <v>8.39</v>
      </c>
      <c r="F26" s="469">
        <v>1.1000000000000001</v>
      </c>
      <c r="G26" s="469">
        <v>2.7</v>
      </c>
      <c r="H26" s="470">
        <v>45</v>
      </c>
      <c r="I26" s="470">
        <v>912</v>
      </c>
      <c r="J26" s="470">
        <v>270.60000000000002</v>
      </c>
      <c r="K26" s="469">
        <v>1.03</v>
      </c>
    </row>
    <row r="27" spans="2:11" x14ac:dyDescent="0.35">
      <c r="B27" s="62">
        <v>26</v>
      </c>
      <c r="C27" s="471">
        <v>43</v>
      </c>
      <c r="D27" s="471">
        <v>43</v>
      </c>
      <c r="E27" s="469">
        <v>0.99</v>
      </c>
      <c r="F27" s="469">
        <v>1.2</v>
      </c>
      <c r="G27" s="469">
        <v>2.2999999999999998</v>
      </c>
      <c r="H27" s="470">
        <v>45</v>
      </c>
      <c r="I27" s="470">
        <v>903</v>
      </c>
      <c r="J27" s="470">
        <v>270.2</v>
      </c>
      <c r="K27" s="469">
        <v>1.04</v>
      </c>
    </row>
    <row r="28" spans="2:11" x14ac:dyDescent="0.35">
      <c r="B28" s="62">
        <v>26</v>
      </c>
      <c r="C28" s="471">
        <v>44</v>
      </c>
      <c r="D28" s="471">
        <v>44</v>
      </c>
      <c r="E28" s="469">
        <v>7.11</v>
      </c>
      <c r="F28" s="469">
        <v>2</v>
      </c>
      <c r="G28" s="469">
        <v>3.1</v>
      </c>
      <c r="H28" s="470">
        <v>48</v>
      </c>
      <c r="I28" s="470">
        <v>902</v>
      </c>
      <c r="J28" s="470">
        <v>269.10000000000002</v>
      </c>
      <c r="K28" s="469">
        <v>1.04</v>
      </c>
    </row>
    <row r="29" spans="2:11" x14ac:dyDescent="0.35">
      <c r="B29" s="62">
        <v>26</v>
      </c>
      <c r="C29" s="471">
        <v>45</v>
      </c>
      <c r="D29" s="471">
        <v>45</v>
      </c>
      <c r="E29" s="469">
        <v>12.02</v>
      </c>
      <c r="F29" s="469">
        <v>4.2</v>
      </c>
      <c r="G29" s="469">
        <v>3.1</v>
      </c>
      <c r="H29" s="470">
        <v>57</v>
      </c>
      <c r="I29" s="470">
        <v>903</v>
      </c>
      <c r="J29" s="470">
        <v>271.10000000000002</v>
      </c>
      <c r="K29" s="469">
        <v>1.04</v>
      </c>
    </row>
    <row r="30" spans="2:11" x14ac:dyDescent="0.35">
      <c r="B30" s="62">
        <v>26</v>
      </c>
      <c r="C30" s="471">
        <v>46</v>
      </c>
      <c r="D30" s="471">
        <v>46</v>
      </c>
      <c r="E30" s="469">
        <v>5.8</v>
      </c>
      <c r="F30" s="469">
        <v>4.2</v>
      </c>
      <c r="G30" s="469">
        <v>3.2</v>
      </c>
      <c r="H30" s="470">
        <v>61</v>
      </c>
      <c r="I30" s="470">
        <v>902</v>
      </c>
      <c r="J30" s="470">
        <v>274.10000000000002</v>
      </c>
      <c r="K30" s="469">
        <v>1.05</v>
      </c>
    </row>
    <row r="31" spans="2:11" x14ac:dyDescent="0.35">
      <c r="B31" s="62">
        <v>26</v>
      </c>
      <c r="C31" s="471">
        <v>47</v>
      </c>
      <c r="D31" s="471">
        <v>47</v>
      </c>
      <c r="E31" s="469">
        <v>7.11</v>
      </c>
      <c r="F31" s="469">
        <v>4.2</v>
      </c>
      <c r="G31" s="469">
        <v>3</v>
      </c>
      <c r="H31" s="470">
        <v>73</v>
      </c>
      <c r="I31" s="470">
        <v>902</v>
      </c>
      <c r="J31" s="470">
        <v>268.60000000000002</v>
      </c>
      <c r="K31" s="469">
        <v>1.05</v>
      </c>
    </row>
    <row r="32" spans="2:11" x14ac:dyDescent="0.35">
      <c r="B32" s="62">
        <v>26</v>
      </c>
      <c r="C32" s="471">
        <v>48</v>
      </c>
      <c r="D32" s="471">
        <v>48</v>
      </c>
      <c r="E32" s="469">
        <v>11.28</v>
      </c>
      <c r="F32" s="469">
        <v>4.2</v>
      </c>
      <c r="G32" s="469">
        <v>2.9</v>
      </c>
      <c r="H32" s="470">
        <v>74</v>
      </c>
      <c r="I32" s="470">
        <v>903</v>
      </c>
      <c r="J32" s="470">
        <v>267.5</v>
      </c>
      <c r="K32" s="469">
        <v>1.05</v>
      </c>
    </row>
    <row r="33" spans="2:11" x14ac:dyDescent="0.35">
      <c r="B33" s="62">
        <v>26</v>
      </c>
      <c r="C33" s="471">
        <v>49</v>
      </c>
      <c r="D33" s="471">
        <v>49</v>
      </c>
      <c r="E33" s="469">
        <v>8.7899999999999991</v>
      </c>
      <c r="F33" s="469">
        <v>3.6</v>
      </c>
      <c r="G33" s="469">
        <v>3</v>
      </c>
      <c r="H33" s="470">
        <v>69</v>
      </c>
      <c r="I33" s="470">
        <v>904</v>
      </c>
      <c r="J33" s="470">
        <v>272.2</v>
      </c>
      <c r="K33" s="469">
        <v>1.06</v>
      </c>
    </row>
    <row r="34" spans="2:11" x14ac:dyDescent="0.35">
      <c r="B34" s="62">
        <v>26</v>
      </c>
      <c r="C34" s="471">
        <v>50</v>
      </c>
      <c r="D34" s="471">
        <v>50</v>
      </c>
      <c r="E34" s="469">
        <v>8.8800000000000008</v>
      </c>
      <c r="F34" s="469">
        <v>3.5</v>
      </c>
      <c r="G34" s="469">
        <v>3.2</v>
      </c>
      <c r="H34" s="470">
        <v>58</v>
      </c>
      <c r="I34" s="470">
        <v>901</v>
      </c>
      <c r="J34" s="470">
        <v>282.5</v>
      </c>
      <c r="K34" s="469">
        <v>1.06</v>
      </c>
    </row>
    <row r="35" spans="2:11" x14ac:dyDescent="0.35">
      <c r="B35" s="62">
        <v>26</v>
      </c>
      <c r="C35" s="471">
        <v>51</v>
      </c>
      <c r="D35" s="471">
        <v>51</v>
      </c>
      <c r="E35" s="469">
        <v>8.26</v>
      </c>
      <c r="F35" s="469">
        <v>3.5</v>
      </c>
      <c r="G35" s="469">
        <v>3.1</v>
      </c>
      <c r="H35" s="470">
        <v>59</v>
      </c>
      <c r="I35" s="470">
        <v>902</v>
      </c>
      <c r="J35" s="470">
        <v>281.89999999999998</v>
      </c>
      <c r="K35" s="469">
        <v>1.06</v>
      </c>
    </row>
    <row r="36" spans="2:11" x14ac:dyDescent="0.35">
      <c r="B36" s="62">
        <v>26</v>
      </c>
      <c r="C36" s="471">
        <v>52</v>
      </c>
      <c r="D36" s="471">
        <v>52</v>
      </c>
      <c r="E36" s="469">
        <v>9.8699999999999992</v>
      </c>
      <c r="F36" s="469">
        <v>3.6</v>
      </c>
      <c r="G36" s="469">
        <v>3.2</v>
      </c>
      <c r="H36" s="470">
        <v>58</v>
      </c>
      <c r="I36" s="470">
        <v>901</v>
      </c>
      <c r="J36" s="470">
        <v>278.60000000000002</v>
      </c>
      <c r="K36" s="469">
        <v>1.06</v>
      </c>
    </row>
    <row r="37" spans="2:11" x14ac:dyDescent="0.35">
      <c r="B37" s="62">
        <v>26</v>
      </c>
      <c r="C37" s="471">
        <v>53</v>
      </c>
      <c r="D37" s="471">
        <v>53</v>
      </c>
      <c r="E37" s="469">
        <v>9.26</v>
      </c>
      <c r="F37" s="469">
        <v>3.6</v>
      </c>
      <c r="G37" s="469">
        <v>3</v>
      </c>
      <c r="H37" s="470">
        <v>59</v>
      </c>
      <c r="I37" s="470">
        <v>902</v>
      </c>
      <c r="J37" s="470">
        <v>279.10000000000002</v>
      </c>
      <c r="K37" s="469">
        <v>1.06</v>
      </c>
    </row>
    <row r="38" spans="2:11" x14ac:dyDescent="0.35">
      <c r="B38" s="62">
        <v>26</v>
      </c>
      <c r="C38" s="471">
        <v>54</v>
      </c>
      <c r="D38" s="471">
        <v>54</v>
      </c>
      <c r="E38" s="469">
        <v>11.11</v>
      </c>
      <c r="F38" s="469">
        <v>1.4</v>
      </c>
      <c r="G38" s="469">
        <v>2.5</v>
      </c>
      <c r="H38" s="470">
        <v>54</v>
      </c>
      <c r="I38" s="470">
        <v>895</v>
      </c>
      <c r="J38" s="470">
        <v>344.5</v>
      </c>
      <c r="K38" s="469">
        <v>1.06</v>
      </c>
    </row>
    <row r="39" spans="2:11" x14ac:dyDescent="0.35">
      <c r="B39" s="62">
        <v>26</v>
      </c>
      <c r="C39" s="471">
        <v>55</v>
      </c>
      <c r="D39" s="471">
        <v>55</v>
      </c>
      <c r="E39" s="469">
        <v>9.52</v>
      </c>
      <c r="F39" s="469">
        <v>1.8</v>
      </c>
      <c r="G39" s="469">
        <v>4.3</v>
      </c>
      <c r="H39" s="470">
        <v>58</v>
      </c>
      <c r="I39" s="470">
        <v>900</v>
      </c>
      <c r="J39" s="470">
        <v>342.4</v>
      </c>
      <c r="K39" s="469">
        <v>1.06</v>
      </c>
    </row>
    <row r="40" spans="2:11" x14ac:dyDescent="0.35">
      <c r="B40" s="62">
        <v>26</v>
      </c>
      <c r="C40" s="471">
        <v>56</v>
      </c>
      <c r="D40" s="471">
        <v>56</v>
      </c>
      <c r="E40" s="469">
        <v>11.35</v>
      </c>
      <c r="F40" s="469">
        <v>3.7</v>
      </c>
      <c r="G40" s="469">
        <v>3.5</v>
      </c>
      <c r="H40" s="470">
        <v>63</v>
      </c>
      <c r="I40" s="470">
        <v>898</v>
      </c>
      <c r="J40" s="470">
        <v>343.1</v>
      </c>
      <c r="K40" s="469">
        <v>1.06</v>
      </c>
    </row>
    <row r="41" spans="2:11" x14ac:dyDescent="0.35">
      <c r="B41" s="62">
        <v>26</v>
      </c>
      <c r="C41" s="471">
        <v>57</v>
      </c>
      <c r="D41" s="471">
        <v>57</v>
      </c>
      <c r="E41" s="469">
        <v>8.06</v>
      </c>
      <c r="F41" s="469">
        <v>2.6</v>
      </c>
      <c r="G41" s="469">
        <v>3.6</v>
      </c>
      <c r="H41" s="470">
        <v>66</v>
      </c>
      <c r="I41" s="470">
        <v>937</v>
      </c>
      <c r="J41" s="470">
        <v>367.2</v>
      </c>
      <c r="K41" s="469">
        <v>1.06</v>
      </c>
    </row>
    <row r="42" spans="2:11" x14ac:dyDescent="0.35">
      <c r="B42" s="62">
        <v>26</v>
      </c>
      <c r="C42" s="471">
        <v>58</v>
      </c>
      <c r="D42" s="471">
        <v>58</v>
      </c>
      <c r="E42" s="469">
        <v>11.01</v>
      </c>
      <c r="F42" s="469">
        <v>1.6</v>
      </c>
      <c r="G42" s="469">
        <v>3.5</v>
      </c>
      <c r="H42" s="470">
        <v>68</v>
      </c>
      <c r="I42" s="470">
        <v>958</v>
      </c>
      <c r="J42" s="470">
        <v>387.8</v>
      </c>
      <c r="K42" s="469">
        <v>1.06</v>
      </c>
    </row>
    <row r="43" spans="2:11" x14ac:dyDescent="0.35">
      <c r="B43" s="62">
        <v>26</v>
      </c>
      <c r="C43" s="471">
        <v>59</v>
      </c>
      <c r="D43" s="471">
        <v>59</v>
      </c>
      <c r="E43" s="469">
        <v>10.45</v>
      </c>
      <c r="F43" s="469">
        <v>2</v>
      </c>
      <c r="G43" s="469">
        <v>4.2</v>
      </c>
      <c r="H43" s="470">
        <v>63</v>
      </c>
      <c r="I43" s="470">
        <v>950</v>
      </c>
      <c r="J43" s="470">
        <v>378.9</v>
      </c>
      <c r="K43" s="469">
        <v>1.06</v>
      </c>
    </row>
    <row r="44" spans="2:11" x14ac:dyDescent="0.35">
      <c r="B44" s="62">
        <v>26</v>
      </c>
      <c r="C44" s="471">
        <v>60</v>
      </c>
      <c r="D44" s="471">
        <v>60</v>
      </c>
      <c r="E44" s="469">
        <v>10.71</v>
      </c>
      <c r="F44" s="469">
        <v>2</v>
      </c>
      <c r="G44" s="469">
        <v>3.9</v>
      </c>
      <c r="H44" s="470">
        <v>62</v>
      </c>
      <c r="I44" s="470">
        <v>949</v>
      </c>
      <c r="J44" s="470">
        <v>379.1</v>
      </c>
      <c r="K44" s="469">
        <v>1.06</v>
      </c>
    </row>
    <row r="45" spans="2:11" x14ac:dyDescent="0.35">
      <c r="B45" s="62">
        <v>26</v>
      </c>
      <c r="C45" s="471">
        <v>61</v>
      </c>
      <c r="D45" s="471">
        <v>61</v>
      </c>
      <c r="E45" s="469">
        <v>12.78</v>
      </c>
      <c r="F45" s="469">
        <v>2</v>
      </c>
      <c r="G45" s="469">
        <v>3.3</v>
      </c>
      <c r="H45" s="470">
        <v>68</v>
      </c>
      <c r="I45" s="470">
        <v>952</v>
      </c>
      <c r="J45" s="470">
        <v>377.7</v>
      </c>
      <c r="K45" s="469">
        <v>1.06</v>
      </c>
    </row>
    <row r="46" spans="2:11" x14ac:dyDescent="0.35">
      <c r="B46" s="62">
        <v>26</v>
      </c>
      <c r="C46" s="471">
        <v>62</v>
      </c>
      <c r="D46" s="471">
        <v>62</v>
      </c>
      <c r="E46" s="469">
        <v>8.23</v>
      </c>
      <c r="F46" s="469">
        <v>2</v>
      </c>
      <c r="G46" s="469">
        <v>3.7</v>
      </c>
      <c r="H46" s="470">
        <v>67</v>
      </c>
      <c r="I46" s="470">
        <v>951</v>
      </c>
      <c r="J46" s="470">
        <v>377.1</v>
      </c>
      <c r="K46" s="469">
        <v>1.06</v>
      </c>
    </row>
    <row r="47" spans="2:11" x14ac:dyDescent="0.35">
      <c r="B47" s="62">
        <v>26</v>
      </c>
      <c r="C47" s="471">
        <v>63</v>
      </c>
      <c r="D47" s="471">
        <v>63</v>
      </c>
      <c r="E47" s="469">
        <v>8.77</v>
      </c>
      <c r="F47" s="469">
        <v>2.1</v>
      </c>
      <c r="G47" s="469">
        <v>3.1</v>
      </c>
      <c r="H47" s="470">
        <v>68</v>
      </c>
      <c r="I47" s="470">
        <v>953</v>
      </c>
      <c r="J47" s="470">
        <v>376</v>
      </c>
      <c r="K47" s="469">
        <v>1.06</v>
      </c>
    </row>
    <row r="48" spans="2:11" x14ac:dyDescent="0.35">
      <c r="B48" s="62">
        <v>26</v>
      </c>
      <c r="C48" s="471">
        <v>64</v>
      </c>
      <c r="D48" s="471">
        <v>64</v>
      </c>
      <c r="E48" s="469">
        <v>7.69</v>
      </c>
      <c r="F48" s="469">
        <v>2.1</v>
      </c>
      <c r="G48" s="469">
        <v>4</v>
      </c>
      <c r="H48" s="470">
        <v>65</v>
      </c>
      <c r="I48" s="470">
        <v>950</v>
      </c>
      <c r="J48" s="470">
        <v>377.9</v>
      </c>
      <c r="K48" s="469">
        <v>1.06</v>
      </c>
    </row>
    <row r="49" spans="2:11" x14ac:dyDescent="0.35">
      <c r="B49" s="62">
        <v>26</v>
      </c>
      <c r="C49" s="471">
        <v>65</v>
      </c>
      <c r="D49" s="471">
        <v>65</v>
      </c>
      <c r="E49" s="469">
        <v>7.97</v>
      </c>
      <c r="F49" s="469">
        <v>2.2000000000000002</v>
      </c>
      <c r="G49" s="469">
        <v>3.5</v>
      </c>
      <c r="H49" s="470">
        <v>68</v>
      </c>
      <c r="I49" s="470">
        <v>956</v>
      </c>
      <c r="J49" s="470">
        <v>378.5</v>
      </c>
      <c r="K49" s="469">
        <v>1.06</v>
      </c>
    </row>
    <row r="50" spans="2:11" x14ac:dyDescent="0.35">
      <c r="B50" s="62">
        <v>26</v>
      </c>
      <c r="C50" s="471">
        <v>66</v>
      </c>
      <c r="D50" s="471">
        <v>66</v>
      </c>
      <c r="E50" s="469">
        <v>8.08</v>
      </c>
      <c r="F50" s="469">
        <v>2.9</v>
      </c>
      <c r="G50" s="469">
        <v>4</v>
      </c>
      <c r="H50" s="470">
        <v>67</v>
      </c>
      <c r="I50" s="470">
        <v>982</v>
      </c>
      <c r="J50" s="470">
        <v>399.2</v>
      </c>
      <c r="K50" s="469">
        <v>1.06</v>
      </c>
    </row>
    <row r="51" spans="2:11" x14ac:dyDescent="0.35">
      <c r="B51" s="62">
        <v>26</v>
      </c>
      <c r="C51" s="471">
        <v>67</v>
      </c>
      <c r="D51" s="471">
        <v>67</v>
      </c>
      <c r="E51" s="469">
        <v>6.3</v>
      </c>
      <c r="F51" s="469">
        <v>3.8</v>
      </c>
      <c r="G51" s="469">
        <v>3.2</v>
      </c>
      <c r="H51" s="470">
        <v>67</v>
      </c>
      <c r="I51" s="470">
        <v>970</v>
      </c>
      <c r="J51" s="470">
        <v>396.5</v>
      </c>
      <c r="K51" s="469">
        <v>1.06</v>
      </c>
    </row>
    <row r="52" spans="2:11" x14ac:dyDescent="0.35">
      <c r="B52" s="62">
        <v>26</v>
      </c>
      <c r="C52" s="471">
        <v>68</v>
      </c>
      <c r="D52" s="471">
        <v>68</v>
      </c>
      <c r="E52" s="469">
        <v>6.29</v>
      </c>
      <c r="F52" s="469">
        <v>4.5</v>
      </c>
      <c r="G52" s="469">
        <v>2.9</v>
      </c>
      <c r="H52" s="470">
        <v>68</v>
      </c>
      <c r="I52" s="470">
        <v>972</v>
      </c>
      <c r="J52" s="470">
        <v>394.4</v>
      </c>
      <c r="K52" s="469">
        <v>1.06</v>
      </c>
    </row>
    <row r="53" spans="2:11" x14ac:dyDescent="0.35">
      <c r="B53" s="62">
        <v>26</v>
      </c>
      <c r="C53" s="471">
        <v>69</v>
      </c>
      <c r="D53" s="471">
        <v>69</v>
      </c>
      <c r="E53" s="469">
        <v>4.7699999999999996</v>
      </c>
      <c r="F53" s="469">
        <v>4.5999999999999996</v>
      </c>
      <c r="G53" s="469">
        <v>2.4</v>
      </c>
      <c r="H53" s="470">
        <v>78</v>
      </c>
      <c r="I53" s="470">
        <v>970</v>
      </c>
      <c r="J53" s="470">
        <v>395.7</v>
      </c>
      <c r="K53" s="469">
        <v>1.06</v>
      </c>
    </row>
    <row r="54" spans="2:11" x14ac:dyDescent="0.35">
      <c r="B54" s="62">
        <v>26</v>
      </c>
      <c r="C54" s="471">
        <v>70</v>
      </c>
      <c r="D54" s="471">
        <v>70</v>
      </c>
      <c r="E54" s="469">
        <v>7.05</v>
      </c>
      <c r="F54" s="469">
        <v>4.3</v>
      </c>
      <c r="G54" s="469">
        <v>2.8</v>
      </c>
      <c r="H54" s="470">
        <v>82</v>
      </c>
      <c r="I54" s="470">
        <v>972</v>
      </c>
      <c r="J54" s="470">
        <v>397.6</v>
      </c>
      <c r="K54" s="469">
        <v>1.06</v>
      </c>
    </row>
    <row r="55" spans="2:11" x14ac:dyDescent="0.35">
      <c r="B55" s="62">
        <v>26</v>
      </c>
      <c r="C55" s="471">
        <v>71</v>
      </c>
      <c r="D55" s="471">
        <v>71</v>
      </c>
      <c r="E55" s="469">
        <v>6.72</v>
      </c>
      <c r="F55" s="469">
        <v>4.5</v>
      </c>
      <c r="G55" s="469">
        <v>3.1</v>
      </c>
      <c r="H55" s="470">
        <v>81</v>
      </c>
      <c r="I55" s="470">
        <v>973</v>
      </c>
      <c r="J55" s="470">
        <v>395.7</v>
      </c>
      <c r="K55" s="469">
        <v>1.06</v>
      </c>
    </row>
    <row r="56" spans="2:11" x14ac:dyDescent="0.35">
      <c r="B56" s="62">
        <v>26</v>
      </c>
      <c r="C56" s="471">
        <v>72</v>
      </c>
      <c r="D56" s="471">
        <v>72</v>
      </c>
      <c r="E56" s="469">
        <v>20.57</v>
      </c>
      <c r="F56" s="469">
        <v>4.5</v>
      </c>
      <c r="G56" s="469">
        <v>4.3</v>
      </c>
      <c r="H56" s="470">
        <v>81</v>
      </c>
      <c r="I56" s="470">
        <v>973</v>
      </c>
      <c r="J56" s="470">
        <v>395.6</v>
      </c>
      <c r="K56" s="469">
        <v>1.06</v>
      </c>
    </row>
    <row r="57" spans="2:11" x14ac:dyDescent="0.35">
      <c r="B57" s="62">
        <v>26</v>
      </c>
      <c r="C57" s="471">
        <v>73</v>
      </c>
      <c r="D57" s="471">
        <v>73</v>
      </c>
      <c r="E57" s="469">
        <v>17.07</v>
      </c>
      <c r="F57" s="469">
        <v>4.4000000000000004</v>
      </c>
      <c r="G57" s="469">
        <v>4.3</v>
      </c>
      <c r="H57" s="470">
        <v>77</v>
      </c>
      <c r="I57" s="470">
        <v>972</v>
      </c>
      <c r="J57" s="470">
        <v>397.3</v>
      </c>
      <c r="K57" s="469">
        <v>1.06</v>
      </c>
    </row>
    <row r="58" spans="2:11" x14ac:dyDescent="0.35">
      <c r="B58" s="62">
        <v>26</v>
      </c>
      <c r="C58" s="471">
        <v>74</v>
      </c>
      <c r="D58" s="471">
        <v>74</v>
      </c>
      <c r="E58" s="469">
        <v>12.39</v>
      </c>
      <c r="F58" s="469">
        <v>4.0999999999999996</v>
      </c>
      <c r="G58" s="469">
        <v>4.0999999999999996</v>
      </c>
      <c r="H58" s="470">
        <v>81</v>
      </c>
      <c r="I58" s="470">
        <v>753</v>
      </c>
      <c r="J58" s="470">
        <v>396.5</v>
      </c>
      <c r="K58" s="469">
        <v>1.06</v>
      </c>
    </row>
    <row r="59" spans="2:11" x14ac:dyDescent="0.35">
      <c r="B59" s="62">
        <v>26</v>
      </c>
      <c r="C59" s="471">
        <v>75</v>
      </c>
      <c r="D59" s="471">
        <v>75</v>
      </c>
      <c r="E59" s="469">
        <v>17.829999999999998</v>
      </c>
      <c r="F59" s="469">
        <v>4</v>
      </c>
      <c r="G59" s="469">
        <v>4.0999999999999996</v>
      </c>
      <c r="H59" s="470">
        <v>81</v>
      </c>
      <c r="I59" s="470">
        <v>975</v>
      </c>
      <c r="J59" s="470">
        <v>395</v>
      </c>
      <c r="K59" s="469">
        <v>1.06</v>
      </c>
    </row>
    <row r="60" spans="2:11" x14ac:dyDescent="0.35">
      <c r="B60" s="62">
        <v>26</v>
      </c>
      <c r="C60" s="471">
        <v>76</v>
      </c>
      <c r="D60" s="471">
        <v>76</v>
      </c>
      <c r="E60" s="469">
        <v>15.49</v>
      </c>
      <c r="F60" s="469">
        <v>5.3</v>
      </c>
      <c r="G60" s="469">
        <v>4.5</v>
      </c>
      <c r="H60" s="470">
        <v>81</v>
      </c>
      <c r="I60" s="470">
        <v>940</v>
      </c>
      <c r="J60" s="470">
        <v>370.3</v>
      </c>
      <c r="K60" s="469">
        <v>1.06</v>
      </c>
    </row>
    <row r="61" spans="2:11" x14ac:dyDescent="0.35">
      <c r="B61" s="62">
        <v>26</v>
      </c>
      <c r="C61" s="471">
        <v>77</v>
      </c>
      <c r="D61" s="471">
        <v>77</v>
      </c>
      <c r="E61" s="469">
        <v>18.440000000000001</v>
      </c>
      <c r="F61" s="469">
        <v>6.5</v>
      </c>
      <c r="G61" s="469">
        <v>3.9</v>
      </c>
      <c r="H61" s="470">
        <v>81</v>
      </c>
      <c r="I61" s="470">
        <v>903</v>
      </c>
      <c r="J61" s="470">
        <v>348.7</v>
      </c>
      <c r="K61" s="469">
        <v>1.06</v>
      </c>
    </row>
    <row r="62" spans="2:11" x14ac:dyDescent="0.35">
      <c r="B62" s="62">
        <v>26</v>
      </c>
      <c r="C62" s="471">
        <v>78</v>
      </c>
      <c r="D62" s="471">
        <v>78</v>
      </c>
      <c r="E62" s="469">
        <v>20.71</v>
      </c>
      <c r="F62" s="469">
        <v>6.4</v>
      </c>
      <c r="G62" s="469">
        <v>4</v>
      </c>
      <c r="H62" s="470">
        <v>81</v>
      </c>
      <c r="I62" s="470">
        <v>903</v>
      </c>
      <c r="J62" s="470">
        <v>349.6</v>
      </c>
      <c r="K62" s="469">
        <v>1.06</v>
      </c>
    </row>
    <row r="63" spans="2:11" x14ac:dyDescent="0.35">
      <c r="B63" s="62">
        <v>26</v>
      </c>
      <c r="C63" s="471">
        <v>79</v>
      </c>
      <c r="D63" s="471">
        <v>79</v>
      </c>
      <c r="E63" s="469">
        <v>22.98</v>
      </c>
      <c r="F63" s="469">
        <v>6.4</v>
      </c>
      <c r="G63" s="469">
        <v>4.5</v>
      </c>
      <c r="H63" s="470">
        <v>81</v>
      </c>
      <c r="I63" s="470">
        <v>904</v>
      </c>
      <c r="J63" s="470">
        <v>350.9</v>
      </c>
      <c r="K63" s="469">
        <v>1.06</v>
      </c>
    </row>
    <row r="64" spans="2:11" x14ac:dyDescent="0.35">
      <c r="B64" s="62">
        <v>26</v>
      </c>
      <c r="C64" s="471">
        <v>80</v>
      </c>
      <c r="D64" s="471">
        <v>80</v>
      </c>
      <c r="E64" s="469">
        <v>10.050000000000001</v>
      </c>
      <c r="F64" s="469">
        <v>6.3</v>
      </c>
      <c r="G64" s="469">
        <v>3.4</v>
      </c>
      <c r="H64" s="470">
        <v>81</v>
      </c>
      <c r="I64" s="470">
        <v>902</v>
      </c>
      <c r="J64" s="470">
        <v>344.3</v>
      </c>
      <c r="K64" s="469">
        <v>1.08</v>
      </c>
    </row>
    <row r="65" spans="2:11" x14ac:dyDescent="0.35">
      <c r="B65" s="62">
        <v>26</v>
      </c>
      <c r="C65" s="471">
        <v>81</v>
      </c>
      <c r="D65" s="471">
        <v>81</v>
      </c>
      <c r="E65" s="469">
        <v>7.8</v>
      </c>
      <c r="F65" s="469">
        <v>2.5</v>
      </c>
      <c r="G65" s="469">
        <v>4.9000000000000004</v>
      </c>
      <c r="H65" s="470">
        <v>61</v>
      </c>
      <c r="I65" s="470">
        <v>913</v>
      </c>
      <c r="J65" s="470">
        <v>408.8</v>
      </c>
      <c r="K65" s="469">
        <v>1.08</v>
      </c>
    </row>
    <row r="66" spans="2:11" x14ac:dyDescent="0.35">
      <c r="B66" s="62">
        <v>26</v>
      </c>
      <c r="C66" s="471">
        <v>82</v>
      </c>
      <c r="D66" s="471">
        <v>82</v>
      </c>
      <c r="E66" s="469">
        <v>16.88</v>
      </c>
      <c r="F66" s="469">
        <v>2.4</v>
      </c>
      <c r="G66" s="469">
        <v>4.3</v>
      </c>
      <c r="H66" s="470">
        <v>72</v>
      </c>
      <c r="I66" s="470">
        <v>914</v>
      </c>
      <c r="J66" s="470">
        <v>409.6</v>
      </c>
      <c r="K66" s="469">
        <v>1.08</v>
      </c>
    </row>
    <row r="67" spans="2:11" x14ac:dyDescent="0.35">
      <c r="B67" s="62">
        <v>26</v>
      </c>
      <c r="C67" s="471">
        <v>83</v>
      </c>
      <c r="D67" s="471">
        <v>83</v>
      </c>
      <c r="E67" s="469">
        <v>13.9</v>
      </c>
      <c r="F67" s="469">
        <v>2.2999999999999998</v>
      </c>
      <c r="G67" s="469">
        <v>4.5</v>
      </c>
      <c r="H67" s="470">
        <v>69</v>
      </c>
      <c r="I67" s="470">
        <v>914</v>
      </c>
      <c r="J67" s="470">
        <v>411.6</v>
      </c>
      <c r="K67" s="469">
        <v>1.08</v>
      </c>
    </row>
    <row r="68" spans="2:11" x14ac:dyDescent="0.35">
      <c r="B68" s="62">
        <v>26</v>
      </c>
      <c r="C68" s="471">
        <v>84</v>
      </c>
      <c r="D68" s="471">
        <v>84</v>
      </c>
      <c r="E68" s="469">
        <v>12.74</v>
      </c>
      <c r="F68" s="469">
        <v>3.7</v>
      </c>
      <c r="G68" s="469">
        <v>4.5999999999999996</v>
      </c>
      <c r="H68" s="470">
        <v>68</v>
      </c>
      <c r="I68" s="470">
        <v>913</v>
      </c>
      <c r="J68" s="470">
        <v>408.1</v>
      </c>
      <c r="K68" s="469">
        <v>1.08</v>
      </c>
    </row>
    <row r="69" spans="2:11" x14ac:dyDescent="0.35">
      <c r="B69" s="62">
        <v>26</v>
      </c>
      <c r="C69" s="471">
        <v>85</v>
      </c>
      <c r="D69" s="471">
        <v>85</v>
      </c>
      <c r="E69" s="469">
        <v>24.22</v>
      </c>
      <c r="F69" s="469">
        <v>4.4000000000000004</v>
      </c>
      <c r="G69" s="469">
        <v>4.3</v>
      </c>
      <c r="H69" s="470">
        <v>71</v>
      </c>
      <c r="I69" s="470">
        <v>913</v>
      </c>
      <c r="J69" s="470">
        <v>408.6</v>
      </c>
      <c r="K69" s="469">
        <v>1.08</v>
      </c>
    </row>
    <row r="70" spans="2:11" x14ac:dyDescent="0.35">
      <c r="B70" s="62">
        <v>26</v>
      </c>
      <c r="C70" s="471">
        <v>86</v>
      </c>
      <c r="D70" s="471">
        <v>86</v>
      </c>
      <c r="E70" s="469">
        <v>19.850000000000001</v>
      </c>
      <c r="F70" s="469">
        <v>4.5</v>
      </c>
      <c r="G70" s="469">
        <v>4.3</v>
      </c>
      <c r="H70" s="470">
        <v>72</v>
      </c>
      <c r="I70" s="470">
        <v>914</v>
      </c>
      <c r="J70" s="470">
        <v>408.7</v>
      </c>
      <c r="K70" s="469">
        <v>1.08</v>
      </c>
    </row>
    <row r="71" spans="2:11" x14ac:dyDescent="0.35">
      <c r="B71" s="62">
        <v>26</v>
      </c>
      <c r="C71" s="471">
        <v>87</v>
      </c>
      <c r="D71" s="471">
        <v>87</v>
      </c>
      <c r="E71" s="469">
        <v>14.4</v>
      </c>
      <c r="F71" s="469">
        <v>4.5</v>
      </c>
      <c r="G71" s="469">
        <v>3.8</v>
      </c>
      <c r="H71" s="470">
        <v>73</v>
      </c>
      <c r="I71" s="470">
        <v>913</v>
      </c>
      <c r="J71" s="470">
        <v>409.3</v>
      </c>
      <c r="K71" s="469">
        <v>1.08</v>
      </c>
    </row>
    <row r="72" spans="2:11" x14ac:dyDescent="0.35">
      <c r="B72" s="62">
        <v>26</v>
      </c>
      <c r="C72" s="471">
        <v>88</v>
      </c>
      <c r="D72" s="471">
        <v>88</v>
      </c>
      <c r="E72" s="469">
        <v>11.14</v>
      </c>
      <c r="F72" s="469">
        <v>4.4000000000000004</v>
      </c>
      <c r="G72" s="469">
        <v>3.2</v>
      </c>
      <c r="H72" s="470">
        <v>72</v>
      </c>
      <c r="I72" s="470">
        <v>913</v>
      </c>
      <c r="J72" s="470">
        <v>408</v>
      </c>
      <c r="K72" s="469">
        <v>1.08</v>
      </c>
    </row>
    <row r="73" spans="2:11" x14ac:dyDescent="0.35">
      <c r="B73" s="62">
        <v>26</v>
      </c>
      <c r="C73" s="471">
        <v>89</v>
      </c>
      <c r="D73" s="471">
        <v>89</v>
      </c>
      <c r="E73" s="469">
        <v>11.7</v>
      </c>
      <c r="F73" s="469">
        <v>4.3</v>
      </c>
      <c r="G73" s="469">
        <v>3.8</v>
      </c>
      <c r="H73" s="470">
        <v>75</v>
      </c>
      <c r="I73" s="470">
        <v>915</v>
      </c>
      <c r="J73" s="470">
        <v>407.3</v>
      </c>
      <c r="K73" s="469">
        <v>1.08</v>
      </c>
    </row>
    <row r="74" spans="2:11" x14ac:dyDescent="0.35">
      <c r="B74" s="62">
        <v>26</v>
      </c>
      <c r="C74" s="471">
        <v>90</v>
      </c>
      <c r="D74" s="471">
        <v>90</v>
      </c>
      <c r="E74" s="469">
        <v>22.92</v>
      </c>
      <c r="F74" s="469">
        <v>4.2</v>
      </c>
      <c r="G74" s="469">
        <v>4.3</v>
      </c>
      <c r="H74" s="470">
        <v>81</v>
      </c>
      <c r="I74" s="470">
        <v>914</v>
      </c>
      <c r="J74" s="470">
        <v>409</v>
      </c>
      <c r="K74" s="469">
        <v>1.08</v>
      </c>
    </row>
    <row r="75" spans="2:11" x14ac:dyDescent="0.35">
      <c r="B75" s="62">
        <v>26</v>
      </c>
      <c r="C75" s="471">
        <v>91</v>
      </c>
      <c r="D75" s="471">
        <v>91</v>
      </c>
      <c r="E75" s="469">
        <v>34.61</v>
      </c>
      <c r="F75" s="469">
        <v>4.2</v>
      </c>
      <c r="G75" s="469">
        <v>4.5999999999999996</v>
      </c>
      <c r="H75" s="470">
        <v>92</v>
      </c>
      <c r="I75" s="470">
        <v>914</v>
      </c>
      <c r="J75" s="470">
        <v>409.8</v>
      </c>
      <c r="K75" s="469">
        <v>1.08</v>
      </c>
    </row>
    <row r="76" spans="2:11" x14ac:dyDescent="0.35">
      <c r="B76" s="62">
        <v>26</v>
      </c>
      <c r="C76" s="471">
        <v>92</v>
      </c>
      <c r="D76" s="471">
        <v>92</v>
      </c>
      <c r="E76" s="469">
        <v>32.86</v>
      </c>
      <c r="F76" s="469">
        <v>4.3</v>
      </c>
      <c r="G76" s="469">
        <v>4.4000000000000004</v>
      </c>
      <c r="H76" s="470">
        <v>92</v>
      </c>
      <c r="I76" s="470">
        <v>913</v>
      </c>
      <c r="J76" s="470">
        <v>408.7</v>
      </c>
      <c r="K76" s="469">
        <v>1.08</v>
      </c>
    </row>
    <row r="77" spans="2:11" x14ac:dyDescent="0.35">
      <c r="B77" s="62">
        <v>26</v>
      </c>
      <c r="C77" s="471">
        <v>93</v>
      </c>
      <c r="D77" s="471">
        <v>93</v>
      </c>
      <c r="E77" s="469">
        <v>23.28</v>
      </c>
      <c r="F77" s="469">
        <v>4.5</v>
      </c>
      <c r="G77" s="469">
        <v>3.7</v>
      </c>
      <c r="H77" s="470">
        <v>94</v>
      </c>
      <c r="I77" s="470">
        <v>913</v>
      </c>
      <c r="J77" s="470">
        <v>411.6</v>
      </c>
      <c r="K77" s="469">
        <v>1.08</v>
      </c>
    </row>
    <row r="78" spans="2:11" x14ac:dyDescent="0.35">
      <c r="B78" s="62">
        <v>26</v>
      </c>
      <c r="C78" s="471">
        <v>94</v>
      </c>
      <c r="D78" s="471">
        <v>94</v>
      </c>
      <c r="E78" s="469">
        <v>27.1</v>
      </c>
      <c r="F78" s="469">
        <v>4.5</v>
      </c>
      <c r="G78" s="469">
        <v>4.2</v>
      </c>
      <c r="H78" s="470">
        <v>93</v>
      </c>
      <c r="I78" s="470">
        <v>914</v>
      </c>
      <c r="J78" s="470">
        <v>409</v>
      </c>
      <c r="K78" s="469">
        <v>1.08</v>
      </c>
    </row>
    <row r="79" spans="2:11" x14ac:dyDescent="0.35">
      <c r="B79" s="62">
        <v>26</v>
      </c>
      <c r="C79" s="471">
        <v>95</v>
      </c>
      <c r="D79" s="471">
        <v>95</v>
      </c>
      <c r="E79" s="469">
        <v>20.63</v>
      </c>
      <c r="F79" s="469">
        <v>4.5999999999999996</v>
      </c>
      <c r="G79" s="469">
        <v>4.2</v>
      </c>
      <c r="H79" s="470">
        <v>93</v>
      </c>
      <c r="I79" s="470">
        <v>914</v>
      </c>
      <c r="J79" s="470">
        <v>406.9</v>
      </c>
      <c r="K79" s="469">
        <v>1.08</v>
      </c>
    </row>
    <row r="80" spans="2:11" x14ac:dyDescent="0.35">
      <c r="B80" s="62">
        <v>26</v>
      </c>
      <c r="C80" s="471">
        <v>96</v>
      </c>
      <c r="D80" s="471">
        <v>96</v>
      </c>
      <c r="E80" s="469">
        <v>15.54</v>
      </c>
      <c r="F80" s="469">
        <v>4.5</v>
      </c>
      <c r="G80" s="469">
        <v>4</v>
      </c>
      <c r="H80" s="470">
        <v>91</v>
      </c>
      <c r="I80" s="470">
        <v>913</v>
      </c>
      <c r="J80" s="470">
        <v>409.1</v>
      </c>
      <c r="K80" s="469">
        <v>1.08</v>
      </c>
    </row>
    <row r="81" spans="2:11" x14ac:dyDescent="0.35">
      <c r="B81" s="62">
        <v>26</v>
      </c>
      <c r="C81" s="471">
        <v>97</v>
      </c>
      <c r="D81" s="471">
        <v>97</v>
      </c>
      <c r="E81" s="469">
        <v>16.64</v>
      </c>
      <c r="F81" s="469">
        <v>4.0999999999999996</v>
      </c>
      <c r="G81" s="469">
        <v>4.2</v>
      </c>
      <c r="H81" s="470">
        <v>93</v>
      </c>
      <c r="I81" s="470">
        <v>914</v>
      </c>
      <c r="J81" s="470">
        <v>407.9</v>
      </c>
      <c r="K81" s="469">
        <v>1.08</v>
      </c>
    </row>
    <row r="82" spans="2:11" x14ac:dyDescent="0.35">
      <c r="B82" s="62">
        <v>26</v>
      </c>
      <c r="C82" s="471">
        <v>98</v>
      </c>
      <c r="D82" s="471">
        <v>98</v>
      </c>
      <c r="E82" s="469">
        <v>31.09</v>
      </c>
      <c r="F82" s="469">
        <v>3.8</v>
      </c>
      <c r="G82" s="469">
        <v>4.3</v>
      </c>
      <c r="H82" s="470">
        <v>93</v>
      </c>
      <c r="I82" s="470">
        <v>913</v>
      </c>
      <c r="J82" s="470">
        <v>406.5</v>
      </c>
      <c r="K82" s="469">
        <v>1.08</v>
      </c>
    </row>
    <row r="83" spans="2:11" x14ac:dyDescent="0.35">
      <c r="B83" s="62">
        <v>26</v>
      </c>
      <c r="C83" s="471">
        <v>99</v>
      </c>
      <c r="D83" s="471">
        <v>99</v>
      </c>
      <c r="E83" s="469">
        <v>11.04</v>
      </c>
      <c r="F83" s="469">
        <v>3.8</v>
      </c>
      <c r="G83" s="469">
        <v>4.3</v>
      </c>
      <c r="H83" s="470">
        <v>88</v>
      </c>
      <c r="I83" s="470">
        <v>915</v>
      </c>
      <c r="J83" s="470">
        <v>407.6</v>
      </c>
      <c r="K83" s="469">
        <v>1.08</v>
      </c>
    </row>
    <row r="84" spans="2:11" x14ac:dyDescent="0.35">
      <c r="B84" s="62">
        <v>26</v>
      </c>
      <c r="C84" s="471">
        <v>100</v>
      </c>
      <c r="D84" s="471">
        <v>100</v>
      </c>
      <c r="E84" s="469">
        <v>27.22</v>
      </c>
      <c r="F84" s="469">
        <v>3.7</v>
      </c>
      <c r="G84" s="469">
        <v>4.3</v>
      </c>
      <c r="H84" s="470">
        <v>97</v>
      </c>
      <c r="I84" s="470">
        <v>915</v>
      </c>
      <c r="J84" s="470">
        <v>407.4</v>
      </c>
      <c r="K84" s="469">
        <v>1.08</v>
      </c>
    </row>
    <row r="85" spans="2:11" x14ac:dyDescent="0.35">
      <c r="B85" s="62">
        <v>26</v>
      </c>
      <c r="C85" s="471">
        <v>101</v>
      </c>
      <c r="D85" s="471">
        <v>101</v>
      </c>
      <c r="E85" s="469">
        <v>18.47</v>
      </c>
      <c r="F85" s="469">
        <v>3.8</v>
      </c>
      <c r="G85" s="469">
        <v>4.4000000000000004</v>
      </c>
      <c r="H85" s="470">
        <v>100</v>
      </c>
      <c r="I85" s="470">
        <v>913</v>
      </c>
      <c r="J85" s="470">
        <v>406.2</v>
      </c>
      <c r="K85" s="469">
        <v>1.08</v>
      </c>
    </row>
    <row r="86" spans="2:11" x14ac:dyDescent="0.35">
      <c r="B86" s="62">
        <v>26</v>
      </c>
      <c r="C86" s="471">
        <v>102</v>
      </c>
      <c r="D86" s="471">
        <v>102</v>
      </c>
      <c r="E86" s="469">
        <v>33.93</v>
      </c>
      <c r="F86" s="469">
        <v>3.8</v>
      </c>
      <c r="G86" s="469">
        <v>3.9</v>
      </c>
      <c r="H86" s="470">
        <v>103</v>
      </c>
      <c r="I86" s="470">
        <v>913</v>
      </c>
      <c r="J86" s="470">
        <v>409.5</v>
      </c>
      <c r="K86" s="469">
        <v>1.08</v>
      </c>
    </row>
    <row r="87" spans="2:11" x14ac:dyDescent="0.35">
      <c r="B87" s="62">
        <v>26</v>
      </c>
      <c r="C87" s="471">
        <v>103</v>
      </c>
      <c r="D87" s="471">
        <v>103</v>
      </c>
      <c r="E87" s="469">
        <v>17.43</v>
      </c>
      <c r="F87" s="469">
        <v>3.9</v>
      </c>
      <c r="G87" s="469">
        <v>4</v>
      </c>
      <c r="H87" s="470">
        <v>103</v>
      </c>
      <c r="I87" s="470">
        <v>914</v>
      </c>
      <c r="J87" s="470">
        <v>410.4</v>
      </c>
      <c r="K87" s="469">
        <v>1.08</v>
      </c>
    </row>
    <row r="88" spans="2:11" x14ac:dyDescent="0.35">
      <c r="B88" s="62">
        <v>26</v>
      </c>
      <c r="C88" s="471">
        <v>104</v>
      </c>
      <c r="D88" s="471">
        <v>104</v>
      </c>
      <c r="E88" s="469">
        <v>11.27</v>
      </c>
      <c r="F88" s="469">
        <v>3.3</v>
      </c>
      <c r="G88" s="469">
        <v>3.7</v>
      </c>
      <c r="H88" s="470">
        <v>95</v>
      </c>
      <c r="I88" s="470">
        <v>855</v>
      </c>
      <c r="J88" s="470">
        <v>425.6</v>
      </c>
      <c r="K88" s="469">
        <v>1.08</v>
      </c>
    </row>
    <row r="89" spans="2:11" x14ac:dyDescent="0.35">
      <c r="B89" s="62">
        <v>26</v>
      </c>
      <c r="C89" s="471">
        <v>105</v>
      </c>
      <c r="D89" s="471">
        <v>105</v>
      </c>
      <c r="E89" s="469">
        <v>11.49</v>
      </c>
      <c r="F89" s="469">
        <v>3</v>
      </c>
      <c r="G89" s="469">
        <v>3.7</v>
      </c>
      <c r="H89" s="470">
        <v>99</v>
      </c>
      <c r="I89" s="470">
        <v>765</v>
      </c>
      <c r="J89" s="470">
        <v>454</v>
      </c>
      <c r="K89" s="469">
        <v>1.08</v>
      </c>
    </row>
    <row r="90" spans="2:11" x14ac:dyDescent="0.35">
      <c r="B90" s="62">
        <v>26</v>
      </c>
      <c r="C90" s="471">
        <v>106</v>
      </c>
      <c r="D90" s="471">
        <v>106</v>
      </c>
      <c r="E90" s="469">
        <v>6.06</v>
      </c>
      <c r="F90" s="469">
        <v>3.1</v>
      </c>
      <c r="G90" s="469">
        <v>3.3</v>
      </c>
      <c r="H90" s="470">
        <v>91</v>
      </c>
      <c r="I90" s="470">
        <v>903</v>
      </c>
      <c r="J90" s="470">
        <v>453.2</v>
      </c>
      <c r="K90" s="469">
        <v>1.08</v>
      </c>
    </row>
    <row r="91" spans="2:11" x14ac:dyDescent="0.35">
      <c r="B91" s="62">
        <v>26</v>
      </c>
      <c r="C91" s="471">
        <v>107</v>
      </c>
      <c r="D91" s="471">
        <v>107</v>
      </c>
      <c r="E91" s="469">
        <v>5.79</v>
      </c>
      <c r="F91" s="469">
        <v>1.7</v>
      </c>
      <c r="G91" s="469">
        <v>4.0999999999999996</v>
      </c>
      <c r="H91" s="470">
        <v>94</v>
      </c>
      <c r="I91" s="470">
        <v>918</v>
      </c>
      <c r="J91" s="470">
        <v>474.3</v>
      </c>
      <c r="K91" s="469">
        <v>1.08</v>
      </c>
    </row>
    <row r="92" spans="2:11" x14ac:dyDescent="0.35">
      <c r="B92" s="62">
        <v>26</v>
      </c>
      <c r="C92" s="471">
        <v>108</v>
      </c>
      <c r="D92" s="471">
        <v>108</v>
      </c>
      <c r="E92" s="469">
        <v>5.88</v>
      </c>
      <c r="F92" s="469">
        <v>2.2000000000000002</v>
      </c>
      <c r="G92" s="469">
        <v>3.9</v>
      </c>
      <c r="H92" s="470">
        <v>101</v>
      </c>
      <c r="I92" s="470">
        <v>928</v>
      </c>
      <c r="J92" s="470">
        <v>498</v>
      </c>
      <c r="K92" s="469">
        <v>1.08</v>
      </c>
    </row>
    <row r="93" spans="2:11" x14ac:dyDescent="0.35">
      <c r="B93" s="62">
        <v>26</v>
      </c>
      <c r="C93" s="471">
        <v>109</v>
      </c>
      <c r="D93" s="471">
        <v>109</v>
      </c>
      <c r="E93" s="469">
        <v>5.21</v>
      </c>
      <c r="F93" s="469">
        <v>2.4</v>
      </c>
      <c r="G93" s="469">
        <v>3.5</v>
      </c>
      <c r="H93" s="470">
        <v>111</v>
      </c>
      <c r="I93" s="470">
        <v>986</v>
      </c>
      <c r="J93" s="470">
        <v>550</v>
      </c>
      <c r="K93" s="469">
        <v>1.08</v>
      </c>
    </row>
    <row r="94" spans="2:11" x14ac:dyDescent="0.35">
      <c r="B94" s="62">
        <v>26</v>
      </c>
      <c r="C94" s="471">
        <v>110</v>
      </c>
      <c r="D94" s="471">
        <v>110</v>
      </c>
      <c r="E94" s="469">
        <v>14.56</v>
      </c>
      <c r="F94" s="469">
        <v>2.2999999999999998</v>
      </c>
      <c r="G94" s="469">
        <v>4.2</v>
      </c>
      <c r="H94" s="470">
        <v>110</v>
      </c>
      <c r="I94" s="470">
        <v>1025</v>
      </c>
      <c r="J94" s="470">
        <v>560.9</v>
      </c>
      <c r="K94" s="469">
        <v>1.08</v>
      </c>
    </row>
    <row r="95" spans="2:11" x14ac:dyDescent="0.35">
      <c r="B95" s="62">
        <v>26</v>
      </c>
      <c r="C95" s="471">
        <v>111</v>
      </c>
      <c r="D95" s="471">
        <v>111</v>
      </c>
      <c r="E95" s="469">
        <v>13.8</v>
      </c>
      <c r="F95" s="469">
        <v>1.7</v>
      </c>
      <c r="G95" s="469">
        <v>3.8</v>
      </c>
      <c r="H95" s="470">
        <v>126</v>
      </c>
      <c r="I95" s="470">
        <v>1025</v>
      </c>
      <c r="J95" s="470">
        <v>559.5</v>
      </c>
      <c r="K95" s="469">
        <v>1.08</v>
      </c>
    </row>
    <row r="96" spans="2:11" x14ac:dyDescent="0.35">
      <c r="B96" s="62">
        <v>26</v>
      </c>
      <c r="C96" s="471">
        <v>112</v>
      </c>
      <c r="D96" s="471">
        <v>112</v>
      </c>
      <c r="E96" s="469">
        <v>10.83</v>
      </c>
      <c r="F96" s="469">
        <v>2.1</v>
      </c>
      <c r="G96" s="469">
        <v>3.5</v>
      </c>
      <c r="H96" s="470">
        <v>125</v>
      </c>
      <c r="I96" s="470">
        <v>1024</v>
      </c>
      <c r="J96" s="470">
        <v>561.6</v>
      </c>
      <c r="K96" s="469">
        <v>1.08</v>
      </c>
    </row>
    <row r="97" spans="2:11" x14ac:dyDescent="0.35">
      <c r="B97" s="62">
        <v>26</v>
      </c>
      <c r="C97" s="471">
        <v>113</v>
      </c>
      <c r="D97" s="471">
        <v>113</v>
      </c>
      <c r="E97" s="469">
        <v>17.739999999999998</v>
      </c>
      <c r="F97" s="469">
        <v>1.5</v>
      </c>
      <c r="G97" s="469">
        <v>3.7</v>
      </c>
      <c r="H97" s="470">
        <v>125</v>
      </c>
      <c r="I97" s="470">
        <v>1023</v>
      </c>
      <c r="J97" s="470">
        <v>563.79999999999995</v>
      </c>
      <c r="K97" s="469">
        <v>1.08</v>
      </c>
    </row>
    <row r="98" spans="2:11" x14ac:dyDescent="0.35">
      <c r="B98" s="62">
        <v>26</v>
      </c>
      <c r="C98" s="471">
        <v>114</v>
      </c>
      <c r="D98" s="471">
        <v>114</v>
      </c>
      <c r="E98" s="469">
        <v>10.36</v>
      </c>
      <c r="F98" s="469">
        <v>2.1</v>
      </c>
      <c r="G98" s="469">
        <v>3.4</v>
      </c>
      <c r="H98" s="470">
        <v>125</v>
      </c>
      <c r="I98" s="470">
        <v>1022</v>
      </c>
      <c r="J98" s="470">
        <v>562.70000000000005</v>
      </c>
      <c r="K98" s="469">
        <v>1.08</v>
      </c>
    </row>
    <row r="99" spans="2:11" x14ac:dyDescent="0.35">
      <c r="B99" s="62">
        <v>26</v>
      </c>
      <c r="C99" s="471">
        <v>115</v>
      </c>
      <c r="D99" s="471">
        <v>115</v>
      </c>
      <c r="E99" s="469">
        <v>10.199999999999999</v>
      </c>
      <c r="F99" s="469">
        <v>3.9</v>
      </c>
      <c r="G99" s="469">
        <v>3.7</v>
      </c>
      <c r="H99" s="470">
        <v>125</v>
      </c>
      <c r="I99" s="470">
        <v>1026</v>
      </c>
      <c r="J99" s="470">
        <v>559.4</v>
      </c>
      <c r="K99" s="469">
        <v>1.08</v>
      </c>
    </row>
    <row r="100" spans="2:11" x14ac:dyDescent="0.35">
      <c r="B100" s="62">
        <v>26</v>
      </c>
      <c r="C100" s="471">
        <v>116</v>
      </c>
      <c r="D100" s="471">
        <v>116</v>
      </c>
      <c r="E100" s="469">
        <v>7.23</v>
      </c>
      <c r="F100" s="469">
        <v>4.4000000000000004</v>
      </c>
      <c r="G100" s="469">
        <v>3.6</v>
      </c>
      <c r="H100" s="470">
        <v>126</v>
      </c>
      <c r="I100" s="470">
        <v>1025</v>
      </c>
      <c r="J100" s="470">
        <v>561.6</v>
      </c>
      <c r="K100" s="469">
        <v>1.08</v>
      </c>
    </row>
    <row r="101" spans="2:11" x14ac:dyDescent="0.35">
      <c r="B101" s="62">
        <v>26</v>
      </c>
      <c r="C101" s="471">
        <v>117</v>
      </c>
      <c r="D101" s="471">
        <v>117</v>
      </c>
      <c r="E101" s="469">
        <v>5.37</v>
      </c>
      <c r="F101" s="469">
        <v>3.9</v>
      </c>
      <c r="G101" s="469">
        <v>3.1</v>
      </c>
      <c r="H101" s="470">
        <v>126</v>
      </c>
      <c r="I101" s="470">
        <v>1025</v>
      </c>
      <c r="J101" s="470">
        <v>558</v>
      </c>
      <c r="K101" s="469">
        <v>1.08</v>
      </c>
    </row>
    <row r="102" spans="2:11" x14ac:dyDescent="0.35">
      <c r="B102" s="62">
        <v>26</v>
      </c>
      <c r="C102" s="471">
        <v>118</v>
      </c>
      <c r="D102" s="471">
        <v>118</v>
      </c>
      <c r="E102" s="469">
        <v>6.28</v>
      </c>
      <c r="F102" s="469">
        <v>3.9</v>
      </c>
      <c r="G102" s="469">
        <v>3.6</v>
      </c>
      <c r="H102" s="470">
        <v>125</v>
      </c>
      <c r="I102" s="470">
        <v>1026</v>
      </c>
      <c r="J102" s="470">
        <v>559.5</v>
      </c>
      <c r="K102" s="469">
        <v>1.08</v>
      </c>
    </row>
    <row r="103" spans="2:11" x14ac:dyDescent="0.35">
      <c r="B103" s="62">
        <v>26</v>
      </c>
      <c r="C103" s="471">
        <v>119</v>
      </c>
      <c r="D103" s="471">
        <v>119</v>
      </c>
      <c r="E103" s="469">
        <v>8.08</v>
      </c>
      <c r="F103" s="469">
        <v>3.9</v>
      </c>
      <c r="G103" s="469">
        <v>3.3</v>
      </c>
      <c r="H103" s="470">
        <v>125</v>
      </c>
      <c r="I103" s="470">
        <v>1026</v>
      </c>
      <c r="J103" s="470">
        <v>562.20000000000005</v>
      </c>
      <c r="K103" s="469">
        <v>1.08</v>
      </c>
    </row>
    <row r="104" spans="2:11" x14ac:dyDescent="0.35">
      <c r="B104" s="62">
        <v>26</v>
      </c>
      <c r="C104" s="471">
        <v>120</v>
      </c>
      <c r="D104" s="471">
        <v>120</v>
      </c>
      <c r="E104" s="469">
        <v>9.5399999999999991</v>
      </c>
      <c r="F104" s="469">
        <v>3.5</v>
      </c>
      <c r="G104" s="469">
        <v>3.9</v>
      </c>
      <c r="H104" s="470">
        <v>124</v>
      </c>
      <c r="I104" s="470">
        <v>1026</v>
      </c>
      <c r="J104" s="470">
        <v>560.9</v>
      </c>
      <c r="K104" s="469">
        <v>1.08</v>
      </c>
    </row>
    <row r="105" spans="2:11" x14ac:dyDescent="0.35">
      <c r="B105" s="62">
        <v>26</v>
      </c>
      <c r="C105" s="471">
        <v>121</v>
      </c>
      <c r="D105" s="471">
        <v>121</v>
      </c>
      <c r="E105" s="469">
        <v>7.15</v>
      </c>
      <c r="F105" s="469">
        <v>3.4</v>
      </c>
      <c r="G105" s="469">
        <v>3.3</v>
      </c>
      <c r="H105" s="470">
        <v>125</v>
      </c>
      <c r="I105" s="470">
        <v>1024</v>
      </c>
      <c r="J105" s="470">
        <v>554.29999999999995</v>
      </c>
      <c r="K105" s="469">
        <v>1.08</v>
      </c>
    </row>
    <row r="106" spans="2:11" x14ac:dyDescent="0.35">
      <c r="B106" s="62">
        <v>26</v>
      </c>
      <c r="C106" s="471">
        <v>122</v>
      </c>
      <c r="D106" s="471">
        <v>122</v>
      </c>
      <c r="E106" s="469">
        <v>10.02</v>
      </c>
      <c r="F106" s="469">
        <v>3.4</v>
      </c>
      <c r="G106" s="469">
        <v>3.5</v>
      </c>
      <c r="H106" s="470">
        <v>126</v>
      </c>
      <c r="I106" s="470">
        <v>1025</v>
      </c>
      <c r="J106" s="470">
        <v>556</v>
      </c>
      <c r="K106" s="469">
        <v>1.08</v>
      </c>
    </row>
    <row r="107" spans="2:11" x14ac:dyDescent="0.35">
      <c r="B107" s="62">
        <v>26</v>
      </c>
      <c r="C107" s="471">
        <v>123</v>
      </c>
      <c r="D107" s="471">
        <v>123</v>
      </c>
      <c r="E107" s="469">
        <v>10.3</v>
      </c>
      <c r="F107" s="469">
        <v>3</v>
      </c>
      <c r="G107" s="469">
        <v>3.6</v>
      </c>
      <c r="H107" s="470">
        <v>125</v>
      </c>
      <c r="I107" s="470">
        <v>1025</v>
      </c>
      <c r="J107" s="470">
        <v>555.70000000000005</v>
      </c>
      <c r="K107" s="469">
        <v>1.08</v>
      </c>
    </row>
    <row r="108" spans="2:11" x14ac:dyDescent="0.35">
      <c r="B108" s="62">
        <v>26</v>
      </c>
      <c r="C108" s="471">
        <v>124</v>
      </c>
      <c r="D108" s="471">
        <v>124</v>
      </c>
      <c r="E108" s="469">
        <v>6.68</v>
      </c>
      <c r="F108" s="469">
        <v>3.8</v>
      </c>
      <c r="G108" s="469">
        <v>3.5</v>
      </c>
      <c r="H108" s="470">
        <v>125</v>
      </c>
      <c r="I108" s="470">
        <v>1024</v>
      </c>
      <c r="J108" s="470">
        <v>556.1</v>
      </c>
      <c r="K108" s="469">
        <v>1.08</v>
      </c>
    </row>
    <row r="109" spans="2:11" x14ac:dyDescent="0.35">
      <c r="B109" s="62">
        <v>26</v>
      </c>
      <c r="C109" s="471">
        <v>125</v>
      </c>
      <c r="D109" s="471">
        <v>125</v>
      </c>
      <c r="E109" s="469">
        <v>14.5</v>
      </c>
      <c r="F109" s="469">
        <v>5.3</v>
      </c>
      <c r="G109" s="469">
        <v>3.2</v>
      </c>
      <c r="H109" s="470">
        <v>126</v>
      </c>
      <c r="I109" s="470">
        <v>1027</v>
      </c>
      <c r="J109" s="470">
        <v>555.5</v>
      </c>
      <c r="K109" s="469">
        <v>1.08</v>
      </c>
    </row>
    <row r="110" spans="2:11" x14ac:dyDescent="0.35">
      <c r="B110" s="62">
        <v>26</v>
      </c>
      <c r="C110" s="471">
        <v>126</v>
      </c>
      <c r="D110" s="471">
        <v>126</v>
      </c>
      <c r="E110" s="469">
        <v>21.19</v>
      </c>
      <c r="F110" s="469">
        <v>5.2</v>
      </c>
      <c r="G110" s="469">
        <v>3.4</v>
      </c>
      <c r="H110" s="470">
        <v>126</v>
      </c>
      <c r="I110" s="470">
        <v>1027</v>
      </c>
      <c r="J110" s="470">
        <v>559.6</v>
      </c>
      <c r="K110" s="469">
        <v>1.08</v>
      </c>
    </row>
    <row r="111" spans="2:11" x14ac:dyDescent="0.35">
      <c r="B111" s="62">
        <v>26</v>
      </c>
      <c r="C111" s="471">
        <v>127</v>
      </c>
      <c r="D111" s="471">
        <v>127</v>
      </c>
      <c r="E111" s="469">
        <v>10.9</v>
      </c>
      <c r="F111" s="469">
        <v>5.8</v>
      </c>
      <c r="G111" s="469">
        <v>3.7</v>
      </c>
      <c r="H111" s="470">
        <v>126</v>
      </c>
      <c r="I111" s="470">
        <v>1025</v>
      </c>
      <c r="J111" s="470">
        <v>555.5</v>
      </c>
      <c r="K111" s="469">
        <v>1.08</v>
      </c>
    </row>
    <row r="112" spans="2:11" x14ac:dyDescent="0.35">
      <c r="B112" s="62">
        <v>26</v>
      </c>
      <c r="C112" s="471">
        <v>128</v>
      </c>
      <c r="D112" s="471">
        <v>128</v>
      </c>
      <c r="E112" s="469">
        <v>14.18</v>
      </c>
      <c r="F112" s="469">
        <v>6</v>
      </c>
      <c r="G112" s="469">
        <v>3.6</v>
      </c>
      <c r="H112" s="470">
        <v>125</v>
      </c>
      <c r="I112" s="470">
        <v>1025</v>
      </c>
      <c r="J112" s="470">
        <v>558.9</v>
      </c>
      <c r="K112" s="469">
        <v>1.08</v>
      </c>
    </row>
    <row r="113" spans="2:11" x14ac:dyDescent="0.35">
      <c r="B113" s="62">
        <v>26</v>
      </c>
      <c r="C113" s="471">
        <v>129</v>
      </c>
      <c r="D113" s="471">
        <v>129</v>
      </c>
      <c r="E113" s="469">
        <v>8.6999999999999993</v>
      </c>
      <c r="F113" s="469">
        <v>6.2</v>
      </c>
      <c r="G113" s="469">
        <v>3.6</v>
      </c>
      <c r="H113" s="470">
        <v>125</v>
      </c>
      <c r="I113" s="470">
        <v>1025</v>
      </c>
      <c r="J113" s="470">
        <v>558.29999999999995</v>
      </c>
      <c r="K113" s="469">
        <v>1.08</v>
      </c>
    </row>
    <row r="114" spans="2:11" x14ac:dyDescent="0.35">
      <c r="B114" s="62">
        <v>26</v>
      </c>
      <c r="C114" s="471">
        <v>130</v>
      </c>
      <c r="D114" s="471">
        <v>130</v>
      </c>
      <c r="E114" s="469">
        <v>13.91</v>
      </c>
      <c r="F114" s="469">
        <v>5.8</v>
      </c>
      <c r="G114" s="469">
        <v>3.3</v>
      </c>
      <c r="H114" s="470">
        <v>126</v>
      </c>
      <c r="I114" s="470">
        <v>1026</v>
      </c>
      <c r="J114" s="470">
        <v>559.9</v>
      </c>
      <c r="K114" s="469">
        <v>1.08</v>
      </c>
    </row>
    <row r="115" spans="2:11" x14ac:dyDescent="0.35">
      <c r="B115" s="62">
        <v>26</v>
      </c>
      <c r="C115" s="471">
        <v>131</v>
      </c>
      <c r="D115" s="471">
        <v>131</v>
      </c>
      <c r="E115" s="469">
        <v>7.79</v>
      </c>
      <c r="F115" s="469">
        <v>5.3</v>
      </c>
      <c r="G115" s="469">
        <v>2.4</v>
      </c>
      <c r="H115" s="470">
        <v>122</v>
      </c>
      <c r="I115" s="470">
        <v>1022</v>
      </c>
      <c r="J115" s="470">
        <v>577.4</v>
      </c>
      <c r="K115" s="469">
        <v>1.08</v>
      </c>
    </row>
    <row r="116" spans="2:11" x14ac:dyDescent="0.35">
      <c r="B116" s="62">
        <v>26</v>
      </c>
      <c r="C116" s="471">
        <v>132</v>
      </c>
      <c r="D116" s="471">
        <v>132</v>
      </c>
      <c r="E116" s="469">
        <v>15.7</v>
      </c>
      <c r="F116" s="469">
        <v>9.8000000000000007</v>
      </c>
      <c r="G116" s="469">
        <v>6.1</v>
      </c>
      <c r="H116" s="470">
        <v>101</v>
      </c>
      <c r="I116" s="470">
        <v>1010</v>
      </c>
      <c r="J116" s="470">
        <v>627.29999999999995</v>
      </c>
      <c r="K116" s="469">
        <v>1.08</v>
      </c>
    </row>
    <row r="117" spans="2:11" x14ac:dyDescent="0.35">
      <c r="B117" s="62">
        <v>26</v>
      </c>
      <c r="C117" s="471">
        <v>133</v>
      </c>
      <c r="D117" s="471">
        <v>133</v>
      </c>
      <c r="E117" s="469">
        <v>28.12</v>
      </c>
      <c r="F117" s="469">
        <v>9.1999999999999993</v>
      </c>
      <c r="G117" s="469">
        <v>8.1</v>
      </c>
      <c r="H117" s="470">
        <v>104</v>
      </c>
      <c r="I117" s="470">
        <v>1008</v>
      </c>
      <c r="J117" s="470">
        <v>628.70000000000005</v>
      </c>
      <c r="K117" s="469">
        <v>1.08</v>
      </c>
    </row>
    <row r="118" spans="2:11" x14ac:dyDescent="0.35">
      <c r="B118" s="62">
        <v>26</v>
      </c>
      <c r="C118" s="471">
        <v>134</v>
      </c>
      <c r="D118" s="471">
        <v>134</v>
      </c>
      <c r="E118" s="469">
        <v>9.42</v>
      </c>
      <c r="F118" s="469">
        <v>7.6</v>
      </c>
      <c r="G118" s="469">
        <v>5.5</v>
      </c>
      <c r="H118" s="470">
        <v>109</v>
      </c>
      <c r="I118" s="470">
        <v>1016</v>
      </c>
      <c r="J118" s="470">
        <v>647.1</v>
      </c>
      <c r="K118" s="469">
        <v>1.08</v>
      </c>
    </row>
    <row r="119" spans="2:11" x14ac:dyDescent="0.35">
      <c r="B119" s="62">
        <v>26</v>
      </c>
      <c r="C119" s="471">
        <v>135</v>
      </c>
      <c r="D119" s="471">
        <v>135</v>
      </c>
      <c r="E119" s="469">
        <v>8.24</v>
      </c>
      <c r="F119" s="469">
        <v>7.9</v>
      </c>
      <c r="G119" s="469">
        <v>5.4</v>
      </c>
      <c r="H119" s="470">
        <v>103</v>
      </c>
      <c r="I119" s="470">
        <v>1017</v>
      </c>
      <c r="J119" s="470">
        <v>644.79999999999995</v>
      </c>
      <c r="K119" s="469">
        <v>1.08</v>
      </c>
    </row>
    <row r="120" spans="2:11" x14ac:dyDescent="0.35">
      <c r="B120" s="62">
        <v>26</v>
      </c>
      <c r="C120" s="471">
        <v>136</v>
      </c>
      <c r="D120" s="471">
        <v>136</v>
      </c>
      <c r="E120" s="469">
        <v>9.0299999999999994</v>
      </c>
      <c r="F120" s="469">
        <v>7.2</v>
      </c>
      <c r="G120" s="469">
        <v>4.3</v>
      </c>
      <c r="H120" s="470">
        <v>105</v>
      </c>
      <c r="I120" s="470">
        <v>1018</v>
      </c>
      <c r="J120" s="470">
        <v>646.9</v>
      </c>
      <c r="K120" s="469">
        <v>1.08</v>
      </c>
    </row>
    <row r="121" spans="2:11" x14ac:dyDescent="0.35">
      <c r="B121" s="62">
        <v>26</v>
      </c>
      <c r="C121" s="471">
        <v>137</v>
      </c>
      <c r="D121" s="471">
        <v>137</v>
      </c>
      <c r="E121" s="469">
        <v>6.72</v>
      </c>
      <c r="F121" s="469">
        <v>8</v>
      </c>
      <c r="G121" s="469">
        <v>5.0999999999999996</v>
      </c>
      <c r="H121" s="470">
        <v>111</v>
      </c>
      <c r="I121" s="470">
        <v>1015</v>
      </c>
      <c r="J121" s="470">
        <v>643.79999999999995</v>
      </c>
      <c r="K121" s="469">
        <v>1.08</v>
      </c>
    </row>
    <row r="122" spans="2:11" x14ac:dyDescent="0.35">
      <c r="B122" s="62">
        <v>26</v>
      </c>
      <c r="C122" s="471">
        <v>138</v>
      </c>
      <c r="D122" s="471">
        <v>138</v>
      </c>
      <c r="E122" s="469">
        <v>8.07</v>
      </c>
      <c r="F122" s="469">
        <v>7.3</v>
      </c>
      <c r="G122" s="469">
        <v>5.2</v>
      </c>
      <c r="H122" s="470">
        <v>112</v>
      </c>
      <c r="I122" s="470">
        <v>1016</v>
      </c>
      <c r="J122" s="470">
        <v>642</v>
      </c>
      <c r="K122" s="469">
        <v>1.08</v>
      </c>
    </row>
    <row r="123" spans="2:11" x14ac:dyDescent="0.35">
      <c r="B123" s="62">
        <v>26</v>
      </c>
      <c r="C123" s="471">
        <v>139</v>
      </c>
      <c r="D123" s="471">
        <v>139</v>
      </c>
      <c r="E123" s="469">
        <v>7.62</v>
      </c>
      <c r="F123" s="469">
        <v>7.6</v>
      </c>
      <c r="G123" s="469">
        <v>4.7</v>
      </c>
      <c r="H123" s="470">
        <v>108</v>
      </c>
      <c r="I123" s="470">
        <v>1016</v>
      </c>
      <c r="J123" s="470">
        <v>645.5</v>
      </c>
      <c r="K123" s="469">
        <v>1.08</v>
      </c>
    </row>
    <row r="124" spans="2:11" x14ac:dyDescent="0.35">
      <c r="B124" s="62">
        <v>26</v>
      </c>
      <c r="C124" s="471">
        <v>140</v>
      </c>
      <c r="D124" s="471">
        <v>140</v>
      </c>
      <c r="E124" s="469">
        <v>11.29</v>
      </c>
      <c r="F124" s="469">
        <v>9.4</v>
      </c>
      <c r="G124" s="469">
        <v>7.5</v>
      </c>
      <c r="H124" s="470">
        <v>109</v>
      </c>
      <c r="I124" s="470">
        <v>1016</v>
      </c>
      <c r="J124" s="470">
        <v>642.79999999999995</v>
      </c>
      <c r="K124" s="469">
        <v>1.08</v>
      </c>
    </row>
    <row r="125" spans="2:11" x14ac:dyDescent="0.35">
      <c r="B125" s="62">
        <v>26</v>
      </c>
      <c r="C125" s="471">
        <v>141</v>
      </c>
      <c r="D125" s="471">
        <v>141</v>
      </c>
      <c r="E125" s="469">
        <v>14.84</v>
      </c>
      <c r="F125" s="469">
        <v>7.4</v>
      </c>
      <c r="G125" s="469">
        <v>5.6</v>
      </c>
      <c r="H125" s="470">
        <v>113</v>
      </c>
      <c r="I125" s="470">
        <v>1016</v>
      </c>
      <c r="J125" s="470">
        <v>645.9</v>
      </c>
      <c r="K125" s="469">
        <v>1.08</v>
      </c>
    </row>
    <row r="126" spans="2:11" x14ac:dyDescent="0.35">
      <c r="B126" s="62">
        <v>26</v>
      </c>
      <c r="C126" s="471">
        <v>142</v>
      </c>
      <c r="D126" s="471">
        <v>142</v>
      </c>
      <c r="E126" s="469">
        <v>17.07</v>
      </c>
      <c r="F126" s="469">
        <v>7.4</v>
      </c>
      <c r="G126" s="469">
        <v>5.9</v>
      </c>
      <c r="H126" s="470">
        <v>113</v>
      </c>
      <c r="I126" s="470">
        <v>1016</v>
      </c>
      <c r="J126" s="470">
        <v>646.4</v>
      </c>
      <c r="K126" s="469">
        <v>1.08</v>
      </c>
    </row>
    <row r="127" spans="2:11" x14ac:dyDescent="0.35">
      <c r="B127" s="62">
        <v>26</v>
      </c>
      <c r="C127" s="471">
        <v>143</v>
      </c>
      <c r="D127" s="471">
        <v>143</v>
      </c>
      <c r="E127" s="469">
        <v>13.06</v>
      </c>
      <c r="F127" s="469">
        <v>6</v>
      </c>
      <c r="G127" s="469">
        <v>4.4000000000000004</v>
      </c>
      <c r="H127" s="470">
        <v>113</v>
      </c>
      <c r="I127" s="470">
        <v>1016</v>
      </c>
      <c r="J127" s="470">
        <v>648.29999999999995</v>
      </c>
      <c r="K127" s="469">
        <v>1.08</v>
      </c>
    </row>
    <row r="128" spans="2:11" x14ac:dyDescent="0.35">
      <c r="B128" s="62">
        <v>26</v>
      </c>
      <c r="C128" s="471">
        <v>144</v>
      </c>
      <c r="D128" s="471">
        <v>144</v>
      </c>
      <c r="E128" s="469">
        <v>14.44</v>
      </c>
      <c r="F128" s="469">
        <v>7.2</v>
      </c>
      <c r="G128" s="469">
        <v>5.8</v>
      </c>
      <c r="H128" s="470">
        <v>113</v>
      </c>
      <c r="I128" s="470">
        <v>1016</v>
      </c>
      <c r="J128" s="470">
        <v>645.6</v>
      </c>
      <c r="K128" s="469">
        <v>1.08</v>
      </c>
    </row>
    <row r="129" spans="2:11" x14ac:dyDescent="0.35">
      <c r="B129" s="62">
        <v>26</v>
      </c>
      <c r="C129" s="471">
        <v>145</v>
      </c>
      <c r="D129" s="471">
        <v>145</v>
      </c>
      <c r="E129" s="469">
        <v>17.27</v>
      </c>
      <c r="F129" s="469">
        <v>8</v>
      </c>
      <c r="G129" s="469">
        <v>6.5</v>
      </c>
      <c r="H129" s="470">
        <v>112</v>
      </c>
      <c r="I129" s="470">
        <v>1016</v>
      </c>
      <c r="J129" s="470">
        <v>647</v>
      </c>
      <c r="K129" s="469">
        <v>1.08</v>
      </c>
    </row>
    <row r="130" spans="2:11" x14ac:dyDescent="0.35">
      <c r="B130" s="62">
        <v>26</v>
      </c>
      <c r="C130" s="471">
        <v>146</v>
      </c>
      <c r="D130" s="471">
        <v>146</v>
      </c>
      <c r="E130" s="469">
        <v>13.94</v>
      </c>
      <c r="F130" s="469">
        <v>7.1</v>
      </c>
      <c r="G130" s="469">
        <v>5.6</v>
      </c>
      <c r="H130" s="470">
        <v>112</v>
      </c>
      <c r="I130" s="470">
        <v>1015</v>
      </c>
      <c r="J130" s="470">
        <v>647.70000000000005</v>
      </c>
      <c r="K130" s="469">
        <v>1.08</v>
      </c>
    </row>
    <row r="131" spans="2:11" x14ac:dyDescent="0.35">
      <c r="B131" s="62">
        <v>26</v>
      </c>
      <c r="C131" s="471">
        <v>147</v>
      </c>
      <c r="D131" s="471">
        <v>147</v>
      </c>
      <c r="E131" s="469">
        <v>13.29</v>
      </c>
      <c r="F131" s="469">
        <v>7.8</v>
      </c>
      <c r="G131" s="469">
        <v>5.5</v>
      </c>
      <c r="H131" s="470">
        <v>113</v>
      </c>
      <c r="I131" s="470">
        <v>1016</v>
      </c>
      <c r="J131" s="470">
        <v>645.4</v>
      </c>
      <c r="K131" s="469">
        <v>1.08</v>
      </c>
    </row>
    <row r="132" spans="2:11" x14ac:dyDescent="0.35">
      <c r="B132" s="62">
        <v>26</v>
      </c>
      <c r="C132" s="471">
        <v>148</v>
      </c>
      <c r="D132" s="471">
        <v>148</v>
      </c>
      <c r="E132" s="469">
        <v>15.16</v>
      </c>
      <c r="F132" s="469">
        <v>7.4</v>
      </c>
      <c r="G132" s="469">
        <v>4.9000000000000004</v>
      </c>
      <c r="H132" s="470">
        <v>113</v>
      </c>
      <c r="I132" s="470">
        <v>1015</v>
      </c>
      <c r="J132" s="470">
        <v>646.4</v>
      </c>
      <c r="K132" s="469">
        <v>1.08</v>
      </c>
    </row>
    <row r="133" spans="2:11" x14ac:dyDescent="0.35">
      <c r="B133" s="62">
        <v>26</v>
      </c>
      <c r="C133" s="471">
        <v>149</v>
      </c>
      <c r="D133" s="471">
        <v>149</v>
      </c>
      <c r="E133" s="469">
        <v>14.56</v>
      </c>
      <c r="F133" s="469">
        <v>6.7</v>
      </c>
      <c r="G133" s="469">
        <v>5.2</v>
      </c>
      <c r="H133" s="470">
        <v>113</v>
      </c>
      <c r="I133" s="470">
        <v>1015</v>
      </c>
      <c r="J133" s="470">
        <v>643.4</v>
      </c>
      <c r="K133" s="469">
        <v>1.08</v>
      </c>
    </row>
    <row r="134" spans="2:11" x14ac:dyDescent="0.35">
      <c r="B134" s="62">
        <v>26</v>
      </c>
      <c r="C134" s="471">
        <v>150</v>
      </c>
      <c r="D134" s="471">
        <v>150</v>
      </c>
      <c r="E134" s="469">
        <v>16.63</v>
      </c>
      <c r="F134" s="469">
        <v>6.5</v>
      </c>
      <c r="G134" s="469">
        <v>4.5999999999999996</v>
      </c>
      <c r="H134" s="470">
        <v>113</v>
      </c>
      <c r="I134" s="470">
        <v>1016</v>
      </c>
      <c r="J134" s="470">
        <v>647.5</v>
      </c>
      <c r="K134" s="469">
        <v>1.08</v>
      </c>
    </row>
    <row r="135" spans="2:11" x14ac:dyDescent="0.35">
      <c r="B135" s="62">
        <v>26</v>
      </c>
      <c r="C135" s="471">
        <v>151</v>
      </c>
      <c r="D135" s="471">
        <v>151</v>
      </c>
      <c r="E135" s="469">
        <v>13.47</v>
      </c>
      <c r="F135" s="469">
        <v>8.1999999999999993</v>
      </c>
      <c r="G135" s="469">
        <v>6.5</v>
      </c>
      <c r="H135" s="470">
        <v>113</v>
      </c>
      <c r="I135" s="470">
        <v>1016</v>
      </c>
      <c r="J135" s="470">
        <v>649.5</v>
      </c>
      <c r="K135" s="469">
        <v>1.08</v>
      </c>
    </row>
    <row r="136" spans="2:11" x14ac:dyDescent="0.35">
      <c r="B136" s="62">
        <v>26</v>
      </c>
      <c r="C136" s="471">
        <v>152</v>
      </c>
      <c r="D136" s="471">
        <v>152</v>
      </c>
      <c r="E136" s="469">
        <v>25.74</v>
      </c>
      <c r="F136" s="469">
        <v>7.5</v>
      </c>
      <c r="G136" s="469">
        <v>6</v>
      </c>
      <c r="H136" s="470">
        <v>113</v>
      </c>
      <c r="I136" s="470">
        <v>1017</v>
      </c>
      <c r="J136" s="470">
        <v>647.5</v>
      </c>
      <c r="K136" s="469">
        <v>1.08</v>
      </c>
    </row>
    <row r="137" spans="2:11" x14ac:dyDescent="0.35">
      <c r="B137" s="62">
        <v>26</v>
      </c>
      <c r="C137" s="471">
        <v>153</v>
      </c>
      <c r="D137" s="471">
        <v>153</v>
      </c>
      <c r="E137" s="469">
        <v>20.6</v>
      </c>
      <c r="F137" s="469">
        <v>7.2</v>
      </c>
      <c r="G137" s="469">
        <v>5.5</v>
      </c>
      <c r="H137" s="470">
        <v>113</v>
      </c>
      <c r="I137" s="470">
        <v>1016</v>
      </c>
      <c r="J137" s="470">
        <v>648.79999999999995</v>
      </c>
      <c r="K137" s="469">
        <v>1.08</v>
      </c>
    </row>
    <row r="138" spans="2:11" x14ac:dyDescent="0.35">
      <c r="B138" s="62">
        <v>26</v>
      </c>
      <c r="C138" s="471">
        <v>154</v>
      </c>
      <c r="D138" s="471">
        <v>154</v>
      </c>
      <c r="E138" s="469">
        <v>15.59</v>
      </c>
      <c r="F138" s="469">
        <v>7.4</v>
      </c>
      <c r="G138" s="469">
        <v>4.9000000000000004</v>
      </c>
      <c r="H138" s="470">
        <v>113</v>
      </c>
      <c r="I138" s="470">
        <v>1016</v>
      </c>
      <c r="J138" s="470">
        <v>646.29999999999995</v>
      </c>
      <c r="K138" s="469">
        <v>1.08</v>
      </c>
    </row>
    <row r="139" spans="2:11" x14ac:dyDescent="0.35">
      <c r="B139" s="62">
        <v>26</v>
      </c>
      <c r="C139" s="471">
        <v>155</v>
      </c>
      <c r="D139" s="471">
        <v>155</v>
      </c>
      <c r="E139" s="469">
        <v>23.61</v>
      </c>
      <c r="F139" s="469">
        <v>7.4</v>
      </c>
      <c r="G139" s="469">
        <v>6.4</v>
      </c>
      <c r="H139" s="470">
        <v>113</v>
      </c>
      <c r="I139" s="470">
        <v>1017</v>
      </c>
      <c r="J139" s="470">
        <v>646.5</v>
      </c>
      <c r="K139" s="469">
        <v>1.08</v>
      </c>
    </row>
    <row r="140" spans="2:11" x14ac:dyDescent="0.35">
      <c r="B140" s="62">
        <v>26</v>
      </c>
      <c r="C140" s="471">
        <v>156</v>
      </c>
      <c r="D140" s="471">
        <v>156</v>
      </c>
      <c r="E140" s="469">
        <v>18.62</v>
      </c>
      <c r="F140" s="469">
        <v>7.1</v>
      </c>
      <c r="G140" s="469">
        <v>5.9</v>
      </c>
      <c r="H140" s="470">
        <v>113</v>
      </c>
      <c r="I140" s="470">
        <v>1018</v>
      </c>
      <c r="J140" s="470">
        <v>646.20000000000005</v>
      </c>
      <c r="K140" s="469">
        <v>1.08</v>
      </c>
    </row>
    <row r="141" spans="2:11" x14ac:dyDescent="0.35">
      <c r="B141" s="62">
        <v>26</v>
      </c>
      <c r="C141" s="471">
        <v>157</v>
      </c>
      <c r="D141" s="471">
        <v>157</v>
      </c>
      <c r="E141" s="469">
        <v>22.61</v>
      </c>
      <c r="F141" s="469">
        <v>7.3</v>
      </c>
      <c r="G141" s="469">
        <v>5.7</v>
      </c>
      <c r="H141" s="470">
        <v>113</v>
      </c>
      <c r="I141" s="470">
        <v>1016</v>
      </c>
      <c r="J141" s="470">
        <v>648.5</v>
      </c>
      <c r="K141" s="469">
        <v>1.08</v>
      </c>
    </row>
    <row r="142" spans="2:11" x14ac:dyDescent="0.35">
      <c r="B142" s="62">
        <v>26</v>
      </c>
      <c r="C142" s="471">
        <v>158</v>
      </c>
      <c r="D142" s="471">
        <v>158</v>
      </c>
      <c r="E142" s="469">
        <v>13.76</v>
      </c>
      <c r="F142" s="469">
        <v>7.1</v>
      </c>
      <c r="G142" s="469">
        <v>5.8</v>
      </c>
      <c r="H142" s="470">
        <v>113</v>
      </c>
      <c r="I142" s="470">
        <v>1016</v>
      </c>
      <c r="J142" s="470">
        <v>650</v>
      </c>
      <c r="K142" s="469">
        <v>1.08</v>
      </c>
    </row>
    <row r="143" spans="2:11" x14ac:dyDescent="0.35">
      <c r="B143" s="62">
        <v>26</v>
      </c>
      <c r="C143" s="471">
        <v>159</v>
      </c>
      <c r="D143" s="471">
        <v>159</v>
      </c>
      <c r="E143" s="469">
        <v>10.85</v>
      </c>
      <c r="F143" s="469">
        <v>6.1</v>
      </c>
      <c r="G143" s="469">
        <v>4.7</v>
      </c>
      <c r="H143" s="470">
        <v>112</v>
      </c>
      <c r="I143" s="470">
        <v>1015</v>
      </c>
      <c r="J143" s="470">
        <v>644.1</v>
      </c>
      <c r="K143" s="469">
        <v>1.08</v>
      </c>
    </row>
    <row r="144" spans="2:11" x14ac:dyDescent="0.35">
      <c r="B144" s="62">
        <v>26</v>
      </c>
      <c r="C144" s="471">
        <v>160</v>
      </c>
      <c r="D144" s="471">
        <v>160</v>
      </c>
      <c r="E144" s="469">
        <v>5.28</v>
      </c>
      <c r="F144" s="469">
        <v>4.4000000000000004</v>
      </c>
      <c r="G144" s="469">
        <v>2.2999999999999998</v>
      </c>
      <c r="H144" s="470">
        <v>111</v>
      </c>
      <c r="I144" s="470">
        <v>1026</v>
      </c>
      <c r="J144" s="470">
        <v>677.6</v>
      </c>
      <c r="K144" s="469">
        <v>1.08</v>
      </c>
    </row>
    <row r="145" spans="2:11" x14ac:dyDescent="0.35">
      <c r="B145" s="62">
        <v>26</v>
      </c>
      <c r="C145" s="471">
        <v>161</v>
      </c>
      <c r="D145" s="471">
        <v>161</v>
      </c>
      <c r="E145" s="469">
        <v>5.82</v>
      </c>
      <c r="F145" s="469">
        <v>6.9</v>
      </c>
      <c r="G145" s="469">
        <v>5</v>
      </c>
      <c r="H145" s="470">
        <v>118</v>
      </c>
      <c r="I145" s="470">
        <v>1026</v>
      </c>
      <c r="J145" s="470">
        <v>680.4</v>
      </c>
      <c r="K145" s="469">
        <v>1.08</v>
      </c>
    </row>
    <row r="146" spans="2:11" x14ac:dyDescent="0.35">
      <c r="B146" s="62">
        <v>26</v>
      </c>
      <c r="C146" s="471">
        <v>162</v>
      </c>
      <c r="D146" s="471">
        <v>162</v>
      </c>
      <c r="E146" s="469">
        <v>16.57</v>
      </c>
      <c r="F146" s="469">
        <v>6.2</v>
      </c>
      <c r="G146" s="469">
        <v>5.7</v>
      </c>
      <c r="H146" s="470">
        <v>122</v>
      </c>
      <c r="I146" s="470">
        <v>1026</v>
      </c>
      <c r="J146" s="470">
        <v>676.4</v>
      </c>
      <c r="K146" s="469">
        <v>1.08</v>
      </c>
    </row>
    <row r="147" spans="2:11" x14ac:dyDescent="0.35">
      <c r="B147" s="62">
        <v>26</v>
      </c>
      <c r="C147" s="471">
        <v>163</v>
      </c>
      <c r="D147" s="471">
        <v>163</v>
      </c>
      <c r="E147" s="469">
        <v>21.15</v>
      </c>
      <c r="F147" s="469">
        <v>6.3</v>
      </c>
      <c r="G147" s="469">
        <v>5.8</v>
      </c>
      <c r="H147" s="470">
        <v>122</v>
      </c>
      <c r="I147" s="470">
        <v>1024</v>
      </c>
      <c r="J147" s="470">
        <v>681.4</v>
      </c>
      <c r="K147" s="469">
        <v>1.08</v>
      </c>
    </row>
    <row r="148" spans="2:11" x14ac:dyDescent="0.35">
      <c r="B148" s="62">
        <v>26</v>
      </c>
      <c r="C148" s="471">
        <v>164</v>
      </c>
      <c r="D148" s="471">
        <v>164</v>
      </c>
      <c r="E148" s="469">
        <v>20.64</v>
      </c>
      <c r="F148" s="469">
        <v>5.5</v>
      </c>
      <c r="G148" s="469">
        <v>4.9000000000000004</v>
      </c>
      <c r="H148" s="470">
        <v>123</v>
      </c>
      <c r="I148" s="470">
        <v>1025</v>
      </c>
      <c r="J148" s="470">
        <v>681.6</v>
      </c>
      <c r="K148" s="469">
        <v>1.08</v>
      </c>
    </row>
    <row r="149" spans="2:11" x14ac:dyDescent="0.35">
      <c r="B149" s="62">
        <v>26</v>
      </c>
      <c r="C149" s="471">
        <v>165</v>
      </c>
      <c r="D149" s="471">
        <v>165</v>
      </c>
      <c r="E149" s="469">
        <v>28.59</v>
      </c>
      <c r="F149" s="469">
        <v>5.8</v>
      </c>
      <c r="G149" s="469">
        <v>5.4</v>
      </c>
      <c r="H149" s="470">
        <v>123</v>
      </c>
      <c r="I149" s="470">
        <v>1029</v>
      </c>
      <c r="J149" s="470">
        <v>679.5</v>
      </c>
      <c r="K149" s="469">
        <v>1.08</v>
      </c>
    </row>
    <row r="150" spans="2:11" x14ac:dyDescent="0.35">
      <c r="B150" s="62">
        <v>26</v>
      </c>
      <c r="C150" s="471">
        <v>166</v>
      </c>
      <c r="D150" s="471">
        <v>166</v>
      </c>
      <c r="E150" s="469">
        <v>26.2</v>
      </c>
      <c r="F150" s="469">
        <v>6.1</v>
      </c>
      <c r="G150" s="469">
        <v>6.2</v>
      </c>
      <c r="H150" s="470">
        <v>122</v>
      </c>
      <c r="I150" s="470">
        <v>1028</v>
      </c>
      <c r="J150" s="470">
        <v>682.9</v>
      </c>
      <c r="K150" s="469">
        <v>1.08</v>
      </c>
    </row>
    <row r="151" spans="2:11" x14ac:dyDescent="0.35">
      <c r="B151" s="62">
        <v>26</v>
      </c>
      <c r="C151" s="471">
        <v>167</v>
      </c>
      <c r="D151" s="471">
        <v>167</v>
      </c>
      <c r="E151" s="469">
        <v>31.46</v>
      </c>
      <c r="F151" s="469">
        <v>6.5</v>
      </c>
      <c r="G151" s="469">
        <v>6.5</v>
      </c>
      <c r="H151" s="470">
        <v>122</v>
      </c>
      <c r="I151" s="470">
        <v>1028</v>
      </c>
      <c r="J151" s="470">
        <v>683.9</v>
      </c>
      <c r="K151" s="469">
        <v>1.08</v>
      </c>
    </row>
    <row r="152" spans="2:11" x14ac:dyDescent="0.35">
      <c r="B152" s="62">
        <v>26</v>
      </c>
      <c r="C152" s="471">
        <v>168</v>
      </c>
      <c r="D152" s="471">
        <v>168</v>
      </c>
      <c r="E152" s="469">
        <v>12.41</v>
      </c>
      <c r="F152" s="469">
        <v>6</v>
      </c>
      <c r="G152" s="469">
        <v>4.5999999999999996</v>
      </c>
      <c r="H152" s="470">
        <v>122</v>
      </c>
      <c r="I152" s="470">
        <v>1030</v>
      </c>
      <c r="J152" s="470">
        <v>683</v>
      </c>
      <c r="K152" s="469">
        <v>1.08</v>
      </c>
    </row>
    <row r="153" spans="2:11" x14ac:dyDescent="0.35">
      <c r="B153" s="62">
        <v>26</v>
      </c>
      <c r="C153" s="471">
        <v>169</v>
      </c>
      <c r="D153" s="471">
        <v>169</v>
      </c>
      <c r="E153" s="469">
        <v>13.07</v>
      </c>
      <c r="F153" s="469">
        <v>6.6</v>
      </c>
      <c r="G153" s="469">
        <v>6.1</v>
      </c>
      <c r="H153" s="470">
        <v>122</v>
      </c>
      <c r="I153" s="470">
        <v>1026</v>
      </c>
      <c r="J153" s="470">
        <v>679.3</v>
      </c>
      <c r="K153" s="469">
        <v>1.08</v>
      </c>
    </row>
    <row r="154" spans="2:11" x14ac:dyDescent="0.35">
      <c r="B154" s="62">
        <v>26</v>
      </c>
      <c r="C154" s="471">
        <v>170</v>
      </c>
      <c r="D154" s="471">
        <v>170</v>
      </c>
      <c r="E154" s="469">
        <v>37.61</v>
      </c>
      <c r="F154" s="469">
        <v>6.7</v>
      </c>
      <c r="G154" s="469">
        <v>7</v>
      </c>
      <c r="H154" s="470">
        <v>118</v>
      </c>
      <c r="I154" s="470">
        <v>1029</v>
      </c>
      <c r="J154" s="470">
        <v>679.2</v>
      </c>
      <c r="K154" s="469">
        <v>1.08</v>
      </c>
    </row>
    <row r="155" spans="2:11" x14ac:dyDescent="0.35">
      <c r="B155" s="62">
        <v>26</v>
      </c>
      <c r="C155" s="471">
        <v>171</v>
      </c>
      <c r="D155" s="471">
        <v>171</v>
      </c>
      <c r="E155" s="469">
        <v>20.25</v>
      </c>
      <c r="F155" s="469">
        <v>7.3</v>
      </c>
      <c r="G155" s="469">
        <v>6.5</v>
      </c>
      <c r="H155" s="470">
        <v>122</v>
      </c>
      <c r="I155" s="470">
        <v>1027</v>
      </c>
      <c r="J155" s="470">
        <v>679.5</v>
      </c>
      <c r="K155" s="469">
        <v>1.08</v>
      </c>
    </row>
    <row r="156" spans="2:11" x14ac:dyDescent="0.35">
      <c r="B156" s="62">
        <v>26</v>
      </c>
      <c r="C156" s="471">
        <v>172</v>
      </c>
      <c r="D156" s="471">
        <v>172</v>
      </c>
      <c r="E156" s="469">
        <v>14.36</v>
      </c>
      <c r="F156" s="469">
        <v>7.3</v>
      </c>
      <c r="G156" s="469">
        <v>5.9</v>
      </c>
      <c r="H156" s="470">
        <v>122</v>
      </c>
      <c r="I156" s="470">
        <v>1028</v>
      </c>
      <c r="J156" s="470">
        <v>680.3</v>
      </c>
      <c r="K156" s="469">
        <v>1.08</v>
      </c>
    </row>
    <row r="157" spans="2:11" x14ac:dyDescent="0.35">
      <c r="B157" s="62">
        <v>26</v>
      </c>
      <c r="C157" s="471">
        <v>173</v>
      </c>
      <c r="D157" s="471">
        <v>173</v>
      </c>
      <c r="E157" s="469">
        <v>22.88</v>
      </c>
      <c r="F157" s="469">
        <v>7.6</v>
      </c>
      <c r="G157" s="469">
        <v>6.1</v>
      </c>
      <c r="H157" s="470">
        <v>122</v>
      </c>
      <c r="I157" s="470">
        <v>1029</v>
      </c>
      <c r="J157" s="470">
        <v>677.3</v>
      </c>
      <c r="K157" s="469">
        <v>1.08</v>
      </c>
    </row>
    <row r="158" spans="2:11" x14ac:dyDescent="0.35">
      <c r="B158" s="62">
        <v>26</v>
      </c>
      <c r="C158" s="471">
        <v>174</v>
      </c>
      <c r="D158" s="471">
        <v>174</v>
      </c>
      <c r="E158" s="469">
        <v>12.81</v>
      </c>
      <c r="F158" s="469">
        <v>7.4</v>
      </c>
      <c r="G158" s="469">
        <v>5.7</v>
      </c>
      <c r="H158" s="470">
        <v>122</v>
      </c>
      <c r="I158" s="470">
        <v>1030</v>
      </c>
      <c r="J158" s="470">
        <v>681.1</v>
      </c>
      <c r="K158" s="469">
        <v>1.08</v>
      </c>
    </row>
    <row r="159" spans="2:11" x14ac:dyDescent="0.35">
      <c r="B159" s="62">
        <v>26</v>
      </c>
      <c r="C159" s="471">
        <v>175</v>
      </c>
      <c r="D159" s="471">
        <v>175</v>
      </c>
      <c r="E159" s="469">
        <v>27.33</v>
      </c>
      <c r="F159" s="469">
        <v>6.5</v>
      </c>
      <c r="G159" s="469">
        <v>5.7</v>
      </c>
      <c r="H159" s="470">
        <v>122</v>
      </c>
      <c r="I159" s="470">
        <v>1032</v>
      </c>
      <c r="J159" s="470">
        <v>681.4</v>
      </c>
      <c r="K159" s="469">
        <v>1.08</v>
      </c>
    </row>
    <row r="160" spans="2:11" x14ac:dyDescent="0.35">
      <c r="B160" s="62">
        <v>26</v>
      </c>
      <c r="C160" s="471">
        <v>176</v>
      </c>
      <c r="D160" s="471">
        <v>176</v>
      </c>
      <c r="E160" s="469">
        <v>23.03</v>
      </c>
      <c r="F160" s="469">
        <v>6.6</v>
      </c>
      <c r="G160" s="469">
        <v>6.3</v>
      </c>
      <c r="H160" s="470">
        <v>122</v>
      </c>
      <c r="I160" s="470">
        <v>1028</v>
      </c>
      <c r="J160" s="470">
        <v>673.4</v>
      </c>
      <c r="K160" s="469">
        <v>1.08</v>
      </c>
    </row>
    <row r="161" spans="2:11" x14ac:dyDescent="0.35">
      <c r="B161" s="62">
        <v>26</v>
      </c>
      <c r="C161" s="471">
        <v>177</v>
      </c>
      <c r="D161" s="471">
        <v>177</v>
      </c>
      <c r="E161" s="469">
        <v>19.47</v>
      </c>
      <c r="F161" s="469">
        <v>5.5</v>
      </c>
      <c r="G161" s="469">
        <v>5.4</v>
      </c>
      <c r="H161" s="470">
        <v>122</v>
      </c>
      <c r="I161" s="470">
        <v>1028</v>
      </c>
      <c r="J161" s="470">
        <v>680.3</v>
      </c>
      <c r="K161" s="469">
        <v>1.08</v>
      </c>
    </row>
    <row r="162" spans="2:11" x14ac:dyDescent="0.35">
      <c r="B162" s="62">
        <v>26</v>
      </c>
      <c r="C162" s="471">
        <v>178</v>
      </c>
      <c r="D162" s="471">
        <v>178</v>
      </c>
      <c r="E162" s="469">
        <v>19.2</v>
      </c>
      <c r="F162" s="469">
        <v>5.6</v>
      </c>
      <c r="G162" s="469">
        <v>5.2</v>
      </c>
      <c r="H162" s="470">
        <v>122</v>
      </c>
      <c r="I162" s="470">
        <v>1025</v>
      </c>
      <c r="J162" s="470">
        <v>675.2</v>
      </c>
      <c r="K162" s="469">
        <v>1.08</v>
      </c>
    </row>
    <row r="163" spans="2:11" x14ac:dyDescent="0.35">
      <c r="B163" s="62">
        <v>26</v>
      </c>
      <c r="C163" s="471">
        <v>179</v>
      </c>
      <c r="D163" s="471">
        <v>179</v>
      </c>
      <c r="E163" s="469">
        <v>16.34</v>
      </c>
      <c r="F163" s="469">
        <v>6.3</v>
      </c>
      <c r="G163" s="469">
        <v>6.2</v>
      </c>
      <c r="H163" s="470">
        <v>122</v>
      </c>
      <c r="I163" s="470">
        <v>1031</v>
      </c>
      <c r="J163" s="470">
        <v>680.9</v>
      </c>
      <c r="K163" s="469">
        <v>1.08</v>
      </c>
    </row>
    <row r="164" spans="2:11" x14ac:dyDescent="0.35">
      <c r="B164" s="62">
        <v>26</v>
      </c>
      <c r="C164" s="471">
        <v>180</v>
      </c>
      <c r="D164" s="471">
        <v>180</v>
      </c>
      <c r="E164" s="469">
        <v>25.96</v>
      </c>
      <c r="F164" s="469">
        <v>4.7</v>
      </c>
      <c r="G164" s="469">
        <v>4.7</v>
      </c>
      <c r="H164" s="470">
        <v>122</v>
      </c>
      <c r="I164" s="470">
        <v>1031</v>
      </c>
      <c r="J164" s="470">
        <v>676.3</v>
      </c>
      <c r="K164" s="469">
        <v>1.08</v>
      </c>
    </row>
    <row r="165" spans="2:11" x14ac:dyDescent="0.35">
      <c r="B165" s="62">
        <v>26</v>
      </c>
      <c r="C165" s="471">
        <v>181</v>
      </c>
      <c r="D165" s="471">
        <v>181</v>
      </c>
      <c r="E165" s="469">
        <v>41.97</v>
      </c>
      <c r="F165" s="469">
        <v>7.3</v>
      </c>
      <c r="G165" s="469">
        <v>7.3</v>
      </c>
      <c r="H165" s="470">
        <v>122</v>
      </c>
      <c r="I165" s="470">
        <v>1034</v>
      </c>
      <c r="J165" s="470">
        <v>679</v>
      </c>
      <c r="K165" s="469">
        <v>1.08</v>
      </c>
    </row>
    <row r="166" spans="2:11" x14ac:dyDescent="0.35">
      <c r="B166" s="62">
        <v>26</v>
      </c>
      <c r="C166" s="471">
        <v>182</v>
      </c>
      <c r="D166" s="471">
        <v>182</v>
      </c>
      <c r="E166" s="469">
        <v>14.12</v>
      </c>
      <c r="F166" s="469">
        <v>7.2</v>
      </c>
      <c r="G166" s="469">
        <v>5.0999999999999996</v>
      </c>
      <c r="H166" s="470">
        <v>122</v>
      </c>
      <c r="I166" s="470">
        <v>1029</v>
      </c>
      <c r="J166" s="470">
        <v>680.1</v>
      </c>
      <c r="K166" s="469">
        <v>1.08</v>
      </c>
    </row>
    <row r="167" spans="2:11" x14ac:dyDescent="0.35">
      <c r="B167" s="62">
        <v>26</v>
      </c>
      <c r="C167" s="471">
        <v>183</v>
      </c>
      <c r="D167" s="471">
        <v>183</v>
      </c>
      <c r="E167" s="469">
        <v>19.09</v>
      </c>
      <c r="F167" s="469">
        <v>6</v>
      </c>
      <c r="G167" s="469">
        <v>5.2</v>
      </c>
      <c r="H167" s="470">
        <v>122</v>
      </c>
      <c r="I167" s="470">
        <v>1031</v>
      </c>
      <c r="J167" s="470">
        <v>680.6</v>
      </c>
      <c r="K167" s="469">
        <v>1.08</v>
      </c>
    </row>
    <row r="168" spans="2:11" x14ac:dyDescent="0.35">
      <c r="B168" s="62">
        <v>26</v>
      </c>
      <c r="C168" s="471">
        <v>184</v>
      </c>
      <c r="D168" s="471">
        <v>184</v>
      </c>
      <c r="E168" s="469">
        <v>26.64</v>
      </c>
      <c r="F168" s="469">
        <v>5.0999999999999996</v>
      </c>
      <c r="G168" s="469">
        <v>4.5</v>
      </c>
      <c r="H168" s="470">
        <v>123</v>
      </c>
      <c r="I168" s="470">
        <v>1031</v>
      </c>
      <c r="J168" s="470">
        <v>674.1</v>
      </c>
      <c r="K168" s="469">
        <v>1.08</v>
      </c>
    </row>
    <row r="169" spans="2:11" x14ac:dyDescent="0.35">
      <c r="B169" s="62">
        <v>26</v>
      </c>
      <c r="C169" s="471">
        <v>185</v>
      </c>
      <c r="D169" s="471">
        <v>185</v>
      </c>
      <c r="E169" s="469">
        <v>24.82</v>
      </c>
      <c r="F169" s="469">
        <v>6.1</v>
      </c>
      <c r="G169" s="469">
        <v>6.7</v>
      </c>
      <c r="H169" s="470">
        <v>122</v>
      </c>
      <c r="I169" s="470">
        <v>1027</v>
      </c>
      <c r="J169" s="470">
        <v>678.4</v>
      </c>
      <c r="K169" s="469">
        <v>1.08</v>
      </c>
    </row>
    <row r="170" spans="2:11" x14ac:dyDescent="0.35">
      <c r="B170" s="62">
        <v>26</v>
      </c>
      <c r="C170" s="471">
        <v>186</v>
      </c>
      <c r="D170" s="471">
        <v>186</v>
      </c>
      <c r="E170" s="469">
        <v>18.96</v>
      </c>
      <c r="F170" s="469">
        <v>5.4</v>
      </c>
      <c r="G170" s="469">
        <v>5.3</v>
      </c>
      <c r="H170" s="470">
        <v>122</v>
      </c>
      <c r="I170" s="470">
        <v>1031</v>
      </c>
      <c r="J170" s="470">
        <v>678.7</v>
      </c>
      <c r="K170" s="469">
        <v>1.08</v>
      </c>
    </row>
    <row r="171" spans="2:11" x14ac:dyDescent="0.35">
      <c r="B171" s="62">
        <v>26</v>
      </c>
      <c r="C171" s="471">
        <v>187</v>
      </c>
      <c r="D171" s="471">
        <v>187</v>
      </c>
      <c r="E171" s="469">
        <v>11.63</v>
      </c>
      <c r="F171" s="469">
        <v>5.8</v>
      </c>
      <c r="G171" s="469">
        <v>5.4</v>
      </c>
      <c r="H171" s="470">
        <v>122</v>
      </c>
      <c r="I171" s="470">
        <v>1027</v>
      </c>
      <c r="J171" s="470">
        <v>677.4</v>
      </c>
      <c r="K171" s="469">
        <v>1.08</v>
      </c>
    </row>
    <row r="172" spans="2:11" x14ac:dyDescent="0.35">
      <c r="B172" s="62">
        <v>26</v>
      </c>
      <c r="C172" s="471">
        <v>188</v>
      </c>
      <c r="D172" s="471">
        <v>188</v>
      </c>
      <c r="E172" s="469">
        <v>14.43</v>
      </c>
      <c r="F172" s="469">
        <v>5.6</v>
      </c>
      <c r="G172" s="469">
        <v>5.0999999999999996</v>
      </c>
      <c r="H172" s="470">
        <v>122</v>
      </c>
      <c r="I172" s="470">
        <v>1032</v>
      </c>
      <c r="J172" s="470">
        <v>681.1</v>
      </c>
      <c r="K172" s="469">
        <v>1.08</v>
      </c>
    </row>
    <row r="173" spans="2:11" x14ac:dyDescent="0.35">
      <c r="B173" s="62">
        <v>26</v>
      </c>
      <c r="C173" s="471">
        <v>189</v>
      </c>
      <c r="D173" s="471">
        <v>189</v>
      </c>
      <c r="E173" s="469">
        <v>17.600000000000001</v>
      </c>
      <c r="F173" s="469">
        <v>5.0999999999999996</v>
      </c>
      <c r="G173" s="469">
        <v>4.5</v>
      </c>
      <c r="H173" s="470">
        <v>122</v>
      </c>
      <c r="I173" s="470">
        <v>1033</v>
      </c>
      <c r="J173" s="470">
        <v>678.4</v>
      </c>
      <c r="K173" s="469">
        <v>1.08</v>
      </c>
    </row>
    <row r="174" spans="2:11" x14ac:dyDescent="0.35">
      <c r="B174" s="62">
        <v>26</v>
      </c>
      <c r="C174" s="471">
        <v>190</v>
      </c>
      <c r="D174" s="471">
        <v>190</v>
      </c>
      <c r="E174" s="469">
        <v>8.73</v>
      </c>
      <c r="F174" s="469">
        <v>4</v>
      </c>
      <c r="G174" s="469">
        <v>4</v>
      </c>
      <c r="H174" s="470">
        <v>121</v>
      </c>
      <c r="I174" s="470">
        <v>1024</v>
      </c>
      <c r="J174" s="470">
        <v>680.6</v>
      </c>
      <c r="K174" s="469">
        <v>1.08</v>
      </c>
    </row>
    <row r="175" spans="2:11" x14ac:dyDescent="0.35">
      <c r="B175" s="62">
        <v>26</v>
      </c>
      <c r="C175" s="471">
        <v>191</v>
      </c>
      <c r="D175" s="471">
        <v>191</v>
      </c>
      <c r="E175" s="469">
        <v>16.440000000000001</v>
      </c>
      <c r="F175" s="469">
        <v>4</v>
      </c>
      <c r="G175" s="469">
        <v>5.2</v>
      </c>
      <c r="H175" s="470">
        <v>123</v>
      </c>
      <c r="I175" s="470">
        <v>1039</v>
      </c>
      <c r="J175" s="470">
        <v>697.2</v>
      </c>
      <c r="K175" s="469">
        <v>1.08</v>
      </c>
    </row>
    <row r="176" spans="2:11" x14ac:dyDescent="0.35">
      <c r="B176" s="62">
        <v>26</v>
      </c>
      <c r="C176" s="471">
        <v>192</v>
      </c>
      <c r="D176" s="471">
        <v>192</v>
      </c>
      <c r="E176" s="469">
        <v>25.47</v>
      </c>
      <c r="F176" s="469">
        <v>7.1</v>
      </c>
      <c r="G176" s="469">
        <v>6.7</v>
      </c>
      <c r="H176" s="470">
        <v>123</v>
      </c>
      <c r="I176" s="470">
        <v>1038</v>
      </c>
      <c r="J176" s="470">
        <v>691</v>
      </c>
      <c r="K176" s="469">
        <v>1.08</v>
      </c>
    </row>
    <row r="177" spans="2:11" x14ac:dyDescent="0.35">
      <c r="B177" s="62">
        <v>26</v>
      </c>
      <c r="C177" s="471">
        <v>193</v>
      </c>
      <c r="D177" s="471">
        <v>193</v>
      </c>
      <c r="E177" s="469">
        <v>29.16</v>
      </c>
      <c r="F177" s="469">
        <v>5.7</v>
      </c>
      <c r="G177" s="469">
        <v>6.6</v>
      </c>
      <c r="H177" s="470">
        <v>123</v>
      </c>
      <c r="I177" s="470">
        <v>1044</v>
      </c>
      <c r="J177" s="470">
        <v>698.1</v>
      </c>
      <c r="K177" s="469">
        <v>1.08</v>
      </c>
    </row>
    <row r="178" spans="2:11" x14ac:dyDescent="0.35">
      <c r="B178" s="62">
        <v>26</v>
      </c>
      <c r="C178" s="471">
        <v>194</v>
      </c>
      <c r="D178" s="471">
        <v>194</v>
      </c>
      <c r="E178" s="469">
        <v>30.64</v>
      </c>
      <c r="F178" s="469">
        <v>5.7</v>
      </c>
      <c r="G178" s="469">
        <v>6.4</v>
      </c>
      <c r="H178" s="470">
        <v>123</v>
      </c>
      <c r="I178" s="470">
        <v>1042</v>
      </c>
      <c r="J178" s="470">
        <v>696.6</v>
      </c>
      <c r="K178" s="469">
        <v>1.08</v>
      </c>
    </row>
    <row r="179" spans="2:11" x14ac:dyDescent="0.35">
      <c r="B179" s="62">
        <v>26</v>
      </c>
      <c r="C179" s="471">
        <v>195</v>
      </c>
      <c r="D179" s="471">
        <v>195</v>
      </c>
      <c r="E179" s="469">
        <v>12.18</v>
      </c>
      <c r="F179" s="469">
        <v>5.0999999999999996</v>
      </c>
      <c r="G179" s="469">
        <v>5.7</v>
      </c>
      <c r="H179" s="470">
        <v>123</v>
      </c>
      <c r="I179" s="470">
        <v>1044</v>
      </c>
      <c r="J179" s="470">
        <v>699.2</v>
      </c>
      <c r="K179" s="469">
        <v>1.08</v>
      </c>
    </row>
    <row r="180" spans="2:11" x14ac:dyDescent="0.35">
      <c r="B180" s="62">
        <v>26</v>
      </c>
      <c r="C180" s="471">
        <v>196</v>
      </c>
      <c r="D180" s="471">
        <v>196</v>
      </c>
      <c r="E180" s="469">
        <v>10.62</v>
      </c>
      <c r="F180" s="469">
        <v>4.5</v>
      </c>
      <c r="G180" s="469">
        <v>5</v>
      </c>
      <c r="H180" s="470">
        <v>125</v>
      </c>
      <c r="I180" s="470">
        <v>1043</v>
      </c>
      <c r="J180" s="470">
        <v>691.6</v>
      </c>
      <c r="K180" s="469">
        <v>1.08</v>
      </c>
    </row>
    <row r="181" spans="2:11" x14ac:dyDescent="0.35">
      <c r="B181" s="62">
        <v>26</v>
      </c>
      <c r="C181" s="471">
        <v>197</v>
      </c>
      <c r="D181" s="471">
        <v>197</v>
      </c>
      <c r="E181" s="469">
        <v>15.65</v>
      </c>
      <c r="F181" s="469">
        <v>5.0999999999999996</v>
      </c>
      <c r="G181" s="469">
        <v>5.6</v>
      </c>
      <c r="H181" s="470">
        <v>125</v>
      </c>
      <c r="I181" s="470">
        <v>1041</v>
      </c>
      <c r="J181" s="470">
        <v>693.4</v>
      </c>
      <c r="K181" s="469">
        <v>1.08</v>
      </c>
    </row>
    <row r="182" spans="2:11" x14ac:dyDescent="0.35">
      <c r="B182" s="62">
        <v>26</v>
      </c>
      <c r="C182" s="471">
        <v>198</v>
      </c>
      <c r="D182" s="471">
        <v>198</v>
      </c>
      <c r="E182" s="469">
        <v>12.07</v>
      </c>
      <c r="F182" s="469">
        <v>4.9000000000000004</v>
      </c>
      <c r="G182" s="469">
        <v>5.8</v>
      </c>
      <c r="H182" s="470">
        <v>125</v>
      </c>
      <c r="I182" s="470">
        <v>1038</v>
      </c>
      <c r="J182" s="470">
        <v>696.5</v>
      </c>
      <c r="K182" s="469">
        <v>1.08</v>
      </c>
    </row>
    <row r="183" spans="2:11" x14ac:dyDescent="0.35">
      <c r="B183" s="62">
        <v>26</v>
      </c>
      <c r="C183" s="471">
        <v>199</v>
      </c>
      <c r="D183" s="471">
        <v>199</v>
      </c>
      <c r="E183" s="469">
        <v>12.12</v>
      </c>
      <c r="F183" s="469">
        <v>4.8</v>
      </c>
      <c r="G183" s="469">
        <v>5</v>
      </c>
      <c r="H183" s="470">
        <v>125</v>
      </c>
      <c r="I183" s="470">
        <v>1040</v>
      </c>
      <c r="J183" s="470">
        <v>701.6</v>
      </c>
      <c r="K183" s="469">
        <v>1.08</v>
      </c>
    </row>
    <row r="184" spans="2:11" x14ac:dyDescent="0.35">
      <c r="B184" s="62">
        <v>26</v>
      </c>
      <c r="C184" s="471">
        <v>200</v>
      </c>
      <c r="D184" s="471">
        <v>200</v>
      </c>
      <c r="E184" s="469">
        <v>10.64</v>
      </c>
      <c r="F184" s="469">
        <v>4.0999999999999996</v>
      </c>
      <c r="G184" s="469">
        <v>4.0999999999999996</v>
      </c>
      <c r="H184" s="470">
        <v>125</v>
      </c>
      <c r="I184" s="470">
        <v>1037</v>
      </c>
      <c r="J184" s="470">
        <v>697.7</v>
      </c>
      <c r="K184" s="469">
        <v>1.08</v>
      </c>
    </row>
    <row r="185" spans="2:11" x14ac:dyDescent="0.35">
      <c r="B185" s="62">
        <v>26</v>
      </c>
      <c r="C185" s="471">
        <v>201</v>
      </c>
      <c r="D185" s="471">
        <v>201</v>
      </c>
      <c r="E185" s="469">
        <v>8.4700000000000006</v>
      </c>
      <c r="F185" s="469">
        <v>5.4</v>
      </c>
      <c r="G185" s="469">
        <v>5.2</v>
      </c>
      <c r="H185" s="470">
        <v>125</v>
      </c>
      <c r="I185" s="470">
        <v>1036</v>
      </c>
      <c r="J185" s="470">
        <v>698</v>
      </c>
      <c r="K185" s="469">
        <v>1.08</v>
      </c>
    </row>
    <row r="186" spans="2:11" x14ac:dyDescent="0.35">
      <c r="B186" s="62">
        <v>26</v>
      </c>
      <c r="C186" s="471">
        <v>202</v>
      </c>
      <c r="D186" s="471">
        <v>202</v>
      </c>
      <c r="E186" s="469">
        <v>14.44</v>
      </c>
      <c r="F186" s="469">
        <v>4.9000000000000004</v>
      </c>
      <c r="G186" s="469">
        <v>4.9000000000000004</v>
      </c>
      <c r="H186" s="470">
        <v>125</v>
      </c>
      <c r="I186" s="470">
        <v>1042</v>
      </c>
      <c r="J186" s="470">
        <v>697.3</v>
      </c>
      <c r="K186" s="469">
        <v>1.08</v>
      </c>
    </row>
    <row r="187" spans="2:11" x14ac:dyDescent="0.35">
      <c r="B187" s="62">
        <v>26</v>
      </c>
      <c r="C187" s="471">
        <v>203</v>
      </c>
      <c r="D187" s="471">
        <v>203</v>
      </c>
      <c r="E187" s="469">
        <v>10.95</v>
      </c>
      <c r="F187" s="469">
        <v>5.3</v>
      </c>
      <c r="G187" s="469">
        <v>5.7</v>
      </c>
      <c r="H187" s="470">
        <v>125</v>
      </c>
      <c r="I187" s="470">
        <v>1041</v>
      </c>
      <c r="J187" s="470">
        <v>695.9</v>
      </c>
      <c r="K187" s="469">
        <v>1.08</v>
      </c>
    </row>
    <row r="188" spans="2:11" x14ac:dyDescent="0.35">
      <c r="B188" s="62">
        <v>26</v>
      </c>
      <c r="C188" s="471">
        <v>204</v>
      </c>
      <c r="D188" s="471">
        <v>204</v>
      </c>
      <c r="E188" s="469">
        <v>12.97</v>
      </c>
      <c r="F188" s="469">
        <v>4.8</v>
      </c>
      <c r="G188" s="469">
        <v>4.3</v>
      </c>
      <c r="H188" s="470">
        <v>126</v>
      </c>
      <c r="I188" s="470">
        <v>1044</v>
      </c>
      <c r="J188" s="470">
        <v>690.7</v>
      </c>
      <c r="K188" s="469">
        <v>1.08</v>
      </c>
    </row>
    <row r="189" spans="2:11" x14ac:dyDescent="0.35">
      <c r="B189" s="62">
        <v>26</v>
      </c>
      <c r="C189" s="471">
        <v>205</v>
      </c>
      <c r="D189" s="471">
        <v>205</v>
      </c>
      <c r="E189" s="469">
        <v>13.2</v>
      </c>
      <c r="F189" s="469">
        <v>4.8</v>
      </c>
      <c r="G189" s="469">
        <v>5.4</v>
      </c>
      <c r="H189" s="470">
        <v>125</v>
      </c>
      <c r="I189" s="470">
        <v>1040</v>
      </c>
      <c r="J189" s="470">
        <v>694.3</v>
      </c>
      <c r="K189" s="469">
        <v>1.08</v>
      </c>
    </row>
    <row r="190" spans="2:11" x14ac:dyDescent="0.35">
      <c r="B190" s="62">
        <v>26</v>
      </c>
      <c r="C190" s="471">
        <v>206</v>
      </c>
      <c r="D190" s="471">
        <v>206</v>
      </c>
      <c r="E190" s="469">
        <v>8.91</v>
      </c>
      <c r="F190" s="469">
        <v>5.8</v>
      </c>
      <c r="G190" s="469">
        <v>5.0999999999999996</v>
      </c>
      <c r="H190" s="470">
        <v>125</v>
      </c>
      <c r="I190" s="470">
        <v>1042</v>
      </c>
      <c r="J190" s="470">
        <v>691.2</v>
      </c>
      <c r="K190" s="469">
        <v>1.08</v>
      </c>
    </row>
    <row r="191" spans="2:11" x14ac:dyDescent="0.35">
      <c r="B191" s="62">
        <v>26</v>
      </c>
      <c r="C191" s="471">
        <v>207</v>
      </c>
      <c r="D191" s="471">
        <v>207</v>
      </c>
      <c r="E191" s="469">
        <v>6.08</v>
      </c>
      <c r="F191" s="469">
        <v>5.4</v>
      </c>
      <c r="G191" s="469">
        <v>3.6</v>
      </c>
      <c r="H191" s="470">
        <v>125</v>
      </c>
      <c r="I191" s="470">
        <v>1042</v>
      </c>
      <c r="J191" s="470">
        <v>695.1</v>
      </c>
      <c r="K191" s="469">
        <v>1.08</v>
      </c>
    </row>
    <row r="192" spans="2:11" x14ac:dyDescent="0.35">
      <c r="B192" s="62">
        <v>26</v>
      </c>
      <c r="C192" s="471">
        <v>208</v>
      </c>
      <c r="D192" s="471">
        <v>208</v>
      </c>
      <c r="E192" s="469">
        <v>8.77</v>
      </c>
      <c r="F192" s="469">
        <v>4.0999999999999996</v>
      </c>
      <c r="G192" s="469">
        <v>3.8</v>
      </c>
      <c r="H192" s="470">
        <v>125</v>
      </c>
      <c r="I192" s="470">
        <v>1045</v>
      </c>
      <c r="J192" s="470">
        <v>693.6</v>
      </c>
      <c r="K192" s="469">
        <v>1.08</v>
      </c>
    </row>
    <row r="193" spans="2:11" x14ac:dyDescent="0.35">
      <c r="B193" s="62">
        <v>26</v>
      </c>
      <c r="C193" s="471">
        <v>209</v>
      </c>
      <c r="D193" s="471">
        <v>209</v>
      </c>
      <c r="E193" s="469">
        <v>7.74</v>
      </c>
      <c r="F193" s="469">
        <v>5.4</v>
      </c>
      <c r="G193" s="469">
        <v>4.0999999999999996</v>
      </c>
      <c r="H193" s="470">
        <v>125</v>
      </c>
      <c r="I193" s="470">
        <v>1044</v>
      </c>
      <c r="J193" s="470">
        <v>694.9</v>
      </c>
      <c r="K193" s="469">
        <v>1.08</v>
      </c>
    </row>
    <row r="194" spans="2:11" x14ac:dyDescent="0.35">
      <c r="B194" s="62">
        <v>26</v>
      </c>
      <c r="C194" s="471">
        <v>210</v>
      </c>
      <c r="D194" s="471">
        <v>210</v>
      </c>
      <c r="E194" s="469">
        <v>17.579999999999998</v>
      </c>
      <c r="F194" s="469">
        <v>6.6</v>
      </c>
      <c r="G194" s="469">
        <v>6.4</v>
      </c>
      <c r="H194" s="470">
        <v>125</v>
      </c>
      <c r="I194" s="470">
        <v>1046</v>
      </c>
      <c r="J194" s="470">
        <v>695.4</v>
      </c>
      <c r="K194" s="469">
        <v>1.08</v>
      </c>
    </row>
    <row r="195" spans="2:11" x14ac:dyDescent="0.35">
      <c r="B195" s="62">
        <v>26</v>
      </c>
      <c r="C195" s="471">
        <v>211</v>
      </c>
      <c r="D195" s="471">
        <v>211</v>
      </c>
      <c r="E195" s="469">
        <v>27.62</v>
      </c>
      <c r="F195" s="469">
        <v>6.1</v>
      </c>
      <c r="G195" s="469">
        <v>6.5</v>
      </c>
      <c r="H195" s="470">
        <v>125</v>
      </c>
      <c r="I195" s="470">
        <v>1045</v>
      </c>
      <c r="J195" s="470">
        <v>692.7</v>
      </c>
      <c r="K195" s="469">
        <v>1.08</v>
      </c>
    </row>
    <row r="196" spans="2:11" x14ac:dyDescent="0.35">
      <c r="B196" s="62">
        <v>26</v>
      </c>
      <c r="C196" s="471">
        <v>212</v>
      </c>
      <c r="D196" s="471">
        <v>212</v>
      </c>
      <c r="E196" s="469">
        <v>34.44</v>
      </c>
      <c r="F196" s="469">
        <v>6.7</v>
      </c>
      <c r="G196" s="469">
        <v>7.6</v>
      </c>
      <c r="H196" s="470">
        <v>125</v>
      </c>
      <c r="I196" s="470">
        <v>1042</v>
      </c>
      <c r="J196" s="470">
        <v>697.5</v>
      </c>
      <c r="K196" s="469">
        <v>1.08</v>
      </c>
    </row>
    <row r="197" spans="2:11" x14ac:dyDescent="0.35">
      <c r="B197" s="62">
        <v>26</v>
      </c>
      <c r="C197" s="471">
        <v>213</v>
      </c>
      <c r="D197" s="471">
        <v>213</v>
      </c>
      <c r="E197" s="469">
        <v>17.84</v>
      </c>
      <c r="F197" s="469">
        <v>7</v>
      </c>
      <c r="G197" s="469">
        <v>7.5</v>
      </c>
      <c r="H197" s="470">
        <v>124</v>
      </c>
      <c r="I197" s="470">
        <v>1032</v>
      </c>
      <c r="J197" s="470">
        <v>690.1</v>
      </c>
      <c r="K197" s="469">
        <v>1.08</v>
      </c>
    </row>
    <row r="198" spans="2:11" x14ac:dyDescent="0.35">
      <c r="B198" s="62">
        <v>26</v>
      </c>
      <c r="C198" s="471">
        <v>214</v>
      </c>
      <c r="D198" s="471">
        <v>214</v>
      </c>
      <c r="E198" s="469">
        <v>20.81</v>
      </c>
      <c r="F198" s="469">
        <v>7</v>
      </c>
      <c r="G198" s="469">
        <v>7.2</v>
      </c>
      <c r="H198" s="470">
        <v>122</v>
      </c>
      <c r="I198" s="470">
        <v>1027</v>
      </c>
      <c r="J198" s="470">
        <v>681.7</v>
      </c>
      <c r="K198" s="469">
        <v>1.08</v>
      </c>
    </row>
    <row r="199" spans="2:11" x14ac:dyDescent="0.35">
      <c r="B199" s="62">
        <v>26</v>
      </c>
      <c r="C199" s="471">
        <v>215</v>
      </c>
      <c r="D199" s="471">
        <v>215</v>
      </c>
      <c r="E199" s="469">
        <v>16.079999999999998</v>
      </c>
      <c r="F199" s="469">
        <v>7</v>
      </c>
      <c r="G199" s="469">
        <v>5.8</v>
      </c>
      <c r="H199" s="470">
        <v>123</v>
      </c>
      <c r="I199" s="470">
        <v>1027</v>
      </c>
      <c r="J199" s="470">
        <v>688.1</v>
      </c>
      <c r="K199" s="469">
        <v>1.08</v>
      </c>
    </row>
    <row r="200" spans="2:11" x14ac:dyDescent="0.35">
      <c r="B200" s="62">
        <v>26</v>
      </c>
      <c r="C200" s="471">
        <v>216</v>
      </c>
      <c r="D200" s="471">
        <v>216</v>
      </c>
      <c r="E200" s="469">
        <v>26.09</v>
      </c>
      <c r="F200" s="469">
        <v>8</v>
      </c>
      <c r="G200" s="469">
        <v>7.6</v>
      </c>
      <c r="H200" s="470">
        <v>121</v>
      </c>
      <c r="I200" s="470">
        <v>1027</v>
      </c>
      <c r="J200" s="470">
        <v>684.2</v>
      </c>
      <c r="K200" s="469">
        <v>1.08</v>
      </c>
    </row>
    <row r="201" spans="2:11" x14ac:dyDescent="0.35">
      <c r="B201" s="62">
        <v>26</v>
      </c>
      <c r="C201" s="471">
        <v>217</v>
      </c>
      <c r="D201" s="471">
        <v>217</v>
      </c>
      <c r="E201" s="469">
        <v>21.22</v>
      </c>
      <c r="F201" s="469">
        <v>7.7</v>
      </c>
      <c r="G201" s="469">
        <v>7.4</v>
      </c>
      <c r="H201" s="470">
        <v>122</v>
      </c>
      <c r="I201" s="470">
        <v>1031</v>
      </c>
      <c r="J201" s="470">
        <v>693.4</v>
      </c>
      <c r="K201" s="469">
        <v>1.08</v>
      </c>
    </row>
    <row r="202" spans="2:11" x14ac:dyDescent="0.35">
      <c r="B202" s="62">
        <v>26</v>
      </c>
      <c r="C202" s="471">
        <v>218</v>
      </c>
      <c r="D202" s="471">
        <v>218</v>
      </c>
      <c r="E202" s="469">
        <v>29.4</v>
      </c>
      <c r="F202" s="469">
        <v>6.8</v>
      </c>
      <c r="G202" s="469">
        <v>7</v>
      </c>
      <c r="H202" s="470">
        <v>123</v>
      </c>
      <c r="I202" s="470">
        <v>1034</v>
      </c>
      <c r="J202" s="470">
        <v>696.8</v>
      </c>
      <c r="K202" s="469">
        <v>1.08</v>
      </c>
    </row>
    <row r="203" spans="2:11" x14ac:dyDescent="0.35">
      <c r="B203" s="62">
        <v>26</v>
      </c>
      <c r="C203" s="471">
        <v>219</v>
      </c>
      <c r="D203" s="471">
        <v>219</v>
      </c>
      <c r="E203" s="469">
        <v>23.4</v>
      </c>
      <c r="F203" s="469">
        <v>6.4</v>
      </c>
      <c r="G203" s="469">
        <v>5.6</v>
      </c>
      <c r="H203" s="470">
        <v>122</v>
      </c>
      <c r="I203" s="470">
        <v>1034</v>
      </c>
      <c r="J203" s="470">
        <v>697.6</v>
      </c>
      <c r="K203" s="469">
        <v>1.08</v>
      </c>
    </row>
    <row r="204" spans="2:11" x14ac:dyDescent="0.35">
      <c r="B204" s="62">
        <v>26</v>
      </c>
      <c r="C204" s="471">
        <v>220</v>
      </c>
      <c r="D204" s="471">
        <v>220</v>
      </c>
      <c r="E204" s="469">
        <v>4.8899999999999997</v>
      </c>
      <c r="F204" s="469">
        <v>5.8</v>
      </c>
      <c r="G204" s="469">
        <v>4.7</v>
      </c>
      <c r="H204" s="470">
        <v>125</v>
      </c>
      <c r="I204" s="470">
        <v>1016</v>
      </c>
      <c r="J204" s="470">
        <v>714.1</v>
      </c>
      <c r="K204" s="469">
        <v>1.08</v>
      </c>
    </row>
    <row r="205" spans="2:11" x14ac:dyDescent="0.35">
      <c r="B205" s="62">
        <v>26</v>
      </c>
      <c r="C205" s="471">
        <v>221</v>
      </c>
      <c r="D205" s="471">
        <v>221</v>
      </c>
      <c r="E205" s="469">
        <v>9.5399999999999991</v>
      </c>
      <c r="F205" s="469">
        <v>4.8</v>
      </c>
      <c r="G205" s="469">
        <v>4.2</v>
      </c>
      <c r="H205" s="470">
        <v>125</v>
      </c>
      <c r="I205" s="470">
        <v>1025</v>
      </c>
      <c r="J205" s="470">
        <v>728.8</v>
      </c>
      <c r="K205" s="469">
        <v>1.08</v>
      </c>
    </row>
    <row r="206" spans="2:11" x14ac:dyDescent="0.35">
      <c r="B206" s="62">
        <v>26</v>
      </c>
      <c r="C206" s="471">
        <v>222</v>
      </c>
      <c r="D206" s="471">
        <v>222</v>
      </c>
      <c r="E206" s="469">
        <v>10.97</v>
      </c>
      <c r="F206" s="469">
        <v>5.4</v>
      </c>
      <c r="G206" s="469">
        <v>5.0999999999999996</v>
      </c>
      <c r="H206" s="470">
        <v>125</v>
      </c>
      <c r="I206" s="470">
        <v>1026</v>
      </c>
      <c r="J206" s="470">
        <v>724.3</v>
      </c>
      <c r="K206" s="469">
        <v>1.08</v>
      </c>
    </row>
    <row r="207" spans="2:11" x14ac:dyDescent="0.35">
      <c r="B207" s="62">
        <v>26</v>
      </c>
      <c r="C207" s="471">
        <v>223</v>
      </c>
      <c r="D207" s="471">
        <v>223</v>
      </c>
      <c r="E207" s="469">
        <v>14.02</v>
      </c>
      <c r="F207" s="469">
        <v>6.3</v>
      </c>
      <c r="G207" s="469">
        <v>5.9</v>
      </c>
      <c r="H207" s="470">
        <v>125</v>
      </c>
      <c r="I207" s="470">
        <v>1017</v>
      </c>
      <c r="J207" s="470">
        <v>714.2</v>
      </c>
      <c r="K207" s="469">
        <v>1.08</v>
      </c>
    </row>
    <row r="208" spans="2:11" x14ac:dyDescent="0.35">
      <c r="B208" s="62">
        <v>26</v>
      </c>
      <c r="C208" s="471">
        <v>224</v>
      </c>
      <c r="D208" s="471">
        <v>224</v>
      </c>
      <c r="E208" s="469">
        <v>17.21</v>
      </c>
      <c r="F208" s="469">
        <v>6.6</v>
      </c>
      <c r="G208" s="469">
        <v>6.5</v>
      </c>
      <c r="H208" s="470">
        <v>125</v>
      </c>
      <c r="I208" s="470">
        <v>1028</v>
      </c>
      <c r="J208" s="470">
        <v>732.1</v>
      </c>
      <c r="K208" s="469">
        <v>1.08</v>
      </c>
    </row>
    <row r="209" spans="2:11" x14ac:dyDescent="0.35">
      <c r="B209" s="62">
        <v>26</v>
      </c>
      <c r="C209" s="471">
        <v>225</v>
      </c>
      <c r="D209" s="471">
        <v>225</v>
      </c>
      <c r="E209" s="469">
        <v>11.59</v>
      </c>
      <c r="F209" s="469">
        <v>6.2</v>
      </c>
      <c r="G209" s="469">
        <v>5.5</v>
      </c>
      <c r="H209" s="470">
        <v>124</v>
      </c>
      <c r="I209" s="470">
        <v>1039</v>
      </c>
      <c r="J209" s="470">
        <v>743.4</v>
      </c>
      <c r="K209" s="469">
        <v>1.08</v>
      </c>
    </row>
    <row r="210" spans="2:11" x14ac:dyDescent="0.35">
      <c r="B210" s="62">
        <v>26</v>
      </c>
      <c r="C210" s="471">
        <v>226</v>
      </c>
      <c r="D210" s="471">
        <v>226</v>
      </c>
      <c r="E210" s="469">
        <v>5.97</v>
      </c>
      <c r="F210" s="469">
        <v>5.4</v>
      </c>
      <c r="G210" s="469">
        <v>3.9</v>
      </c>
      <c r="H210" s="470">
        <v>124</v>
      </c>
      <c r="I210" s="470">
        <v>1038</v>
      </c>
      <c r="J210" s="470">
        <v>740.4</v>
      </c>
      <c r="K210" s="469">
        <v>1.08</v>
      </c>
    </row>
    <row r="211" spans="2:11" x14ac:dyDescent="0.35">
      <c r="B211" s="62">
        <v>26</v>
      </c>
      <c r="C211" s="471">
        <v>227</v>
      </c>
      <c r="D211" s="471">
        <v>227</v>
      </c>
      <c r="E211" s="469">
        <v>8.81</v>
      </c>
      <c r="F211" s="469">
        <v>4.2</v>
      </c>
      <c r="G211" s="469">
        <v>2.8</v>
      </c>
      <c r="H211" s="470">
        <v>125</v>
      </c>
      <c r="I211" s="470">
        <v>1035</v>
      </c>
      <c r="J211" s="470">
        <v>741.1</v>
      </c>
      <c r="K211" s="469">
        <v>1.08</v>
      </c>
    </row>
    <row r="212" spans="2:11" x14ac:dyDescent="0.35">
      <c r="B212" s="62">
        <v>26</v>
      </c>
      <c r="C212" s="471">
        <v>228</v>
      </c>
      <c r="D212" s="471">
        <v>228</v>
      </c>
      <c r="E212" s="469">
        <v>9.51</v>
      </c>
      <c r="F212" s="469">
        <v>4.0999999999999996</v>
      </c>
      <c r="G212" s="469">
        <v>3.6</v>
      </c>
      <c r="H212" s="470">
        <v>125</v>
      </c>
      <c r="I212" s="470">
        <v>1036</v>
      </c>
      <c r="J212" s="470">
        <v>742.6</v>
      </c>
      <c r="K212" s="469">
        <v>1.08</v>
      </c>
    </row>
    <row r="213" spans="2:11" x14ac:dyDescent="0.35">
      <c r="B213" s="62">
        <v>26</v>
      </c>
      <c r="C213" s="471">
        <v>229</v>
      </c>
      <c r="D213" s="471">
        <v>229</v>
      </c>
      <c r="E213" s="469">
        <v>6.76</v>
      </c>
      <c r="F213" s="469">
        <v>4.5</v>
      </c>
      <c r="G213" s="469">
        <v>3.3</v>
      </c>
      <c r="H213" s="470">
        <v>125</v>
      </c>
      <c r="I213" s="470">
        <v>1038</v>
      </c>
      <c r="J213" s="470">
        <v>738.8</v>
      </c>
      <c r="K213" s="469">
        <v>1.08</v>
      </c>
    </row>
    <row r="214" spans="2:11" x14ac:dyDescent="0.35">
      <c r="B214" s="62">
        <v>26</v>
      </c>
      <c r="C214" s="471">
        <v>230</v>
      </c>
      <c r="D214" s="471">
        <v>230</v>
      </c>
      <c r="E214" s="469">
        <v>11.47</v>
      </c>
      <c r="F214" s="469">
        <v>4</v>
      </c>
      <c r="G214" s="469">
        <v>3.2</v>
      </c>
      <c r="H214" s="470">
        <v>125</v>
      </c>
      <c r="I214" s="470">
        <v>1037</v>
      </c>
      <c r="J214" s="470">
        <v>740.3</v>
      </c>
      <c r="K214" s="469">
        <v>1.08</v>
      </c>
    </row>
    <row r="215" spans="2:11" x14ac:dyDescent="0.35">
      <c r="B215" s="62">
        <v>26</v>
      </c>
      <c r="C215" s="471">
        <v>231</v>
      </c>
      <c r="D215" s="471">
        <v>231</v>
      </c>
      <c r="E215" s="469">
        <v>8.73</v>
      </c>
      <c r="F215" s="469">
        <v>4.7</v>
      </c>
      <c r="G215" s="469">
        <v>4</v>
      </c>
      <c r="H215" s="470">
        <v>125</v>
      </c>
      <c r="I215" s="470">
        <v>1038</v>
      </c>
      <c r="J215" s="470">
        <v>736.9</v>
      </c>
      <c r="K215" s="469">
        <v>1.08</v>
      </c>
    </row>
    <row r="216" spans="2:11" x14ac:dyDescent="0.35">
      <c r="B216" s="62">
        <v>26</v>
      </c>
      <c r="C216" s="471">
        <v>232</v>
      </c>
      <c r="D216" s="471">
        <v>232</v>
      </c>
      <c r="E216" s="469">
        <v>6.85</v>
      </c>
      <c r="F216" s="469">
        <v>4.9000000000000004</v>
      </c>
      <c r="G216" s="469">
        <v>3.9</v>
      </c>
      <c r="H216" s="470">
        <v>124</v>
      </c>
      <c r="I216" s="470">
        <v>1034</v>
      </c>
      <c r="J216" s="470">
        <v>738.7</v>
      </c>
      <c r="K216" s="469">
        <v>1.08</v>
      </c>
    </row>
    <row r="217" spans="2:11" x14ac:dyDescent="0.35">
      <c r="B217" s="62">
        <v>26</v>
      </c>
      <c r="C217" s="471">
        <v>233</v>
      </c>
      <c r="D217" s="471">
        <v>233</v>
      </c>
      <c r="E217" s="469">
        <v>13.43</v>
      </c>
      <c r="F217" s="469">
        <v>3.9</v>
      </c>
      <c r="G217" s="469">
        <v>3.7</v>
      </c>
      <c r="H217" s="470">
        <v>125</v>
      </c>
      <c r="I217" s="470">
        <v>1039</v>
      </c>
      <c r="J217" s="470">
        <v>739.5</v>
      </c>
      <c r="K217" s="469">
        <v>1.08</v>
      </c>
    </row>
    <row r="218" spans="2:11" x14ac:dyDescent="0.35">
      <c r="B218" s="62">
        <v>26</v>
      </c>
      <c r="C218" s="471">
        <v>234</v>
      </c>
      <c r="D218" s="471">
        <v>234</v>
      </c>
      <c r="E218" s="469">
        <v>11.54</v>
      </c>
      <c r="F218" s="469">
        <v>4</v>
      </c>
      <c r="G218" s="469">
        <v>3.5</v>
      </c>
      <c r="H218" s="470">
        <v>124</v>
      </c>
      <c r="I218" s="470">
        <v>1037</v>
      </c>
      <c r="J218" s="470">
        <v>738.7</v>
      </c>
      <c r="K218" s="469">
        <v>1.08</v>
      </c>
    </row>
    <row r="219" spans="2:11" x14ac:dyDescent="0.35">
      <c r="B219" s="62">
        <v>26</v>
      </c>
      <c r="C219" s="471">
        <v>235</v>
      </c>
      <c r="D219" s="471">
        <v>235</v>
      </c>
      <c r="E219" s="469">
        <v>10.02</v>
      </c>
      <c r="F219" s="469">
        <v>4.7</v>
      </c>
      <c r="G219" s="469">
        <v>3.7</v>
      </c>
      <c r="H219" s="470">
        <v>125</v>
      </c>
      <c r="I219" s="470">
        <v>1033</v>
      </c>
      <c r="J219" s="470">
        <v>739.1</v>
      </c>
      <c r="K219" s="469">
        <v>1.08</v>
      </c>
    </row>
    <row r="220" spans="2:11" x14ac:dyDescent="0.35">
      <c r="B220" s="62">
        <v>26</v>
      </c>
      <c r="C220" s="471">
        <v>236</v>
      </c>
      <c r="D220" s="471">
        <v>236</v>
      </c>
      <c r="E220" s="469">
        <v>8.31</v>
      </c>
      <c r="F220" s="469">
        <v>5.7</v>
      </c>
      <c r="G220" s="469">
        <v>5</v>
      </c>
      <c r="H220" s="470">
        <v>125</v>
      </c>
      <c r="I220" s="470">
        <v>1036</v>
      </c>
      <c r="J220" s="470">
        <v>738</v>
      </c>
      <c r="K220" s="469">
        <v>1.08</v>
      </c>
    </row>
    <row r="221" spans="2:11" x14ac:dyDescent="0.35">
      <c r="B221" s="62">
        <v>26</v>
      </c>
      <c r="C221" s="471">
        <v>237</v>
      </c>
      <c r="D221" s="471">
        <v>237</v>
      </c>
      <c r="E221" s="469">
        <v>10.24</v>
      </c>
      <c r="F221" s="469">
        <v>5.3</v>
      </c>
      <c r="G221" s="469">
        <v>4.8</v>
      </c>
      <c r="H221" s="470">
        <v>124</v>
      </c>
      <c r="I221" s="470">
        <v>1035</v>
      </c>
      <c r="J221" s="470">
        <v>737.2</v>
      </c>
      <c r="K221" s="469">
        <v>1.08</v>
      </c>
    </row>
    <row r="222" spans="2:11" x14ac:dyDescent="0.35">
      <c r="B222" s="62">
        <v>26</v>
      </c>
      <c r="C222" s="471">
        <v>238</v>
      </c>
      <c r="D222" s="471">
        <v>238</v>
      </c>
      <c r="E222" s="469">
        <v>13.76</v>
      </c>
      <c r="F222" s="469">
        <v>4.8</v>
      </c>
      <c r="G222" s="469">
        <v>6.1</v>
      </c>
      <c r="H222" s="470">
        <v>125</v>
      </c>
      <c r="I222" s="470">
        <v>1037</v>
      </c>
      <c r="J222" s="470">
        <v>737.7</v>
      </c>
      <c r="K222" s="469">
        <v>1.08</v>
      </c>
    </row>
    <row r="223" spans="2:11" x14ac:dyDescent="0.35">
      <c r="B223" s="62">
        <v>26</v>
      </c>
      <c r="C223" s="471">
        <v>239</v>
      </c>
      <c r="D223" s="471">
        <v>239</v>
      </c>
      <c r="E223" s="469">
        <v>11.47</v>
      </c>
      <c r="F223" s="469">
        <v>5.3</v>
      </c>
      <c r="G223" s="469">
        <v>5.0999999999999996</v>
      </c>
      <c r="H223" s="470">
        <v>125</v>
      </c>
      <c r="I223" s="470">
        <v>1036</v>
      </c>
      <c r="J223" s="470">
        <v>736.4</v>
      </c>
      <c r="K223" s="469">
        <v>1.07</v>
      </c>
    </row>
    <row r="224" spans="2:11" x14ac:dyDescent="0.35">
      <c r="B224" s="62">
        <v>26</v>
      </c>
      <c r="C224" s="471">
        <v>240</v>
      </c>
      <c r="D224" s="471">
        <v>240</v>
      </c>
      <c r="E224" s="469">
        <v>4.26</v>
      </c>
      <c r="F224" s="469">
        <v>4.2</v>
      </c>
      <c r="G224" s="469">
        <v>4.3</v>
      </c>
      <c r="H224" s="470">
        <v>120</v>
      </c>
      <c r="I224" s="470">
        <v>1037</v>
      </c>
      <c r="J224" s="470">
        <v>725.5</v>
      </c>
      <c r="K224" s="469">
        <v>1.08</v>
      </c>
    </row>
    <row r="225" spans="2:11" x14ac:dyDescent="0.35">
      <c r="B225" s="62">
        <v>26</v>
      </c>
      <c r="C225" s="471">
        <v>241</v>
      </c>
      <c r="D225" s="471">
        <v>241</v>
      </c>
      <c r="E225" s="469">
        <v>12.26</v>
      </c>
      <c r="F225" s="469">
        <v>4.0999999999999996</v>
      </c>
      <c r="G225" s="469">
        <v>4.8</v>
      </c>
      <c r="H225" s="470">
        <v>114</v>
      </c>
      <c r="I225" s="470">
        <v>1038</v>
      </c>
      <c r="J225" s="470">
        <v>723</v>
      </c>
      <c r="K225" s="469">
        <v>1.08</v>
      </c>
    </row>
    <row r="226" spans="2:11" x14ac:dyDescent="0.35">
      <c r="B226" s="62">
        <v>26</v>
      </c>
      <c r="C226" s="471">
        <v>242</v>
      </c>
      <c r="D226" s="471">
        <v>242</v>
      </c>
      <c r="E226" s="469">
        <v>12.99</v>
      </c>
      <c r="F226" s="469">
        <v>5</v>
      </c>
      <c r="G226" s="469">
        <v>6.7</v>
      </c>
      <c r="H226" s="470">
        <v>121</v>
      </c>
      <c r="I226" s="470">
        <v>1034</v>
      </c>
      <c r="J226" s="470">
        <v>722.9</v>
      </c>
      <c r="K226" s="469">
        <v>1.08</v>
      </c>
    </row>
    <row r="227" spans="2:11" x14ac:dyDescent="0.35">
      <c r="B227" s="62">
        <v>26</v>
      </c>
      <c r="C227" s="471">
        <v>243</v>
      </c>
      <c r="D227" s="471">
        <v>243</v>
      </c>
      <c r="E227" s="469">
        <v>9.85</v>
      </c>
      <c r="F227" s="469">
        <v>4.7</v>
      </c>
      <c r="G227" s="469">
        <v>4.3</v>
      </c>
      <c r="H227" s="470">
        <v>122</v>
      </c>
      <c r="I227" s="470">
        <v>1036</v>
      </c>
      <c r="J227" s="470">
        <v>721.3</v>
      </c>
      <c r="K227" s="469">
        <v>1.08</v>
      </c>
    </row>
    <row r="228" spans="2:11" x14ac:dyDescent="0.35">
      <c r="B228" s="62">
        <v>26</v>
      </c>
      <c r="C228" s="471">
        <v>244</v>
      </c>
      <c r="D228" s="471">
        <v>244</v>
      </c>
      <c r="E228" s="469">
        <v>10.72</v>
      </c>
      <c r="F228" s="469">
        <v>5</v>
      </c>
      <c r="G228" s="469">
        <v>4.8</v>
      </c>
      <c r="H228" s="470">
        <v>122</v>
      </c>
      <c r="I228" s="470">
        <v>1036</v>
      </c>
      <c r="J228" s="470">
        <v>723.6</v>
      </c>
      <c r="K228" s="469">
        <v>1.08</v>
      </c>
    </row>
    <row r="229" spans="2:11" x14ac:dyDescent="0.35">
      <c r="B229" s="62">
        <v>26</v>
      </c>
      <c r="C229" s="471">
        <v>245</v>
      </c>
      <c r="D229" s="471">
        <v>245</v>
      </c>
      <c r="E229" s="469">
        <v>15.33</v>
      </c>
      <c r="F229" s="469">
        <v>5.4</v>
      </c>
      <c r="G229" s="469">
        <v>5.7</v>
      </c>
      <c r="H229" s="470">
        <v>121</v>
      </c>
      <c r="I229" s="470">
        <v>1033</v>
      </c>
      <c r="J229" s="470">
        <v>722.3</v>
      </c>
      <c r="K229" s="469">
        <v>1.08</v>
      </c>
    </row>
    <row r="230" spans="2:11" x14ac:dyDescent="0.35">
      <c r="B230" s="62">
        <v>26</v>
      </c>
      <c r="C230" s="471">
        <v>246</v>
      </c>
      <c r="D230" s="471">
        <v>246</v>
      </c>
      <c r="E230" s="469">
        <v>13.63</v>
      </c>
      <c r="F230" s="469">
        <v>4.0999999999999996</v>
      </c>
      <c r="G230" s="469">
        <v>4.0999999999999996</v>
      </c>
      <c r="H230" s="470">
        <v>122</v>
      </c>
      <c r="I230" s="470">
        <v>1036</v>
      </c>
      <c r="J230" s="470">
        <v>722.6</v>
      </c>
      <c r="K230" s="469">
        <v>1.08</v>
      </c>
    </row>
    <row r="231" spans="2:11" x14ac:dyDescent="0.35">
      <c r="B231" s="62">
        <v>26</v>
      </c>
      <c r="C231" s="471">
        <v>247</v>
      </c>
      <c r="D231" s="471">
        <v>247</v>
      </c>
      <c r="E231" s="469">
        <v>13.41</v>
      </c>
      <c r="F231" s="469">
        <v>4.7</v>
      </c>
      <c r="G231" s="469">
        <v>4.7</v>
      </c>
      <c r="H231" s="470">
        <v>122</v>
      </c>
      <c r="I231" s="470">
        <v>1038</v>
      </c>
      <c r="J231" s="470">
        <v>723.3</v>
      </c>
      <c r="K231" s="469">
        <v>1.08</v>
      </c>
    </row>
    <row r="232" spans="2:11" x14ac:dyDescent="0.35">
      <c r="B232" s="62">
        <v>26</v>
      </c>
      <c r="C232" s="471">
        <v>248</v>
      </c>
      <c r="D232" s="471">
        <v>248</v>
      </c>
      <c r="E232" s="469">
        <v>6.35</v>
      </c>
      <c r="F232" s="469">
        <v>3.8</v>
      </c>
      <c r="G232" s="469">
        <v>4.8</v>
      </c>
      <c r="H232" s="470">
        <v>122</v>
      </c>
      <c r="I232" s="470">
        <v>985</v>
      </c>
      <c r="J232" s="470">
        <v>666.4</v>
      </c>
      <c r="K232" s="469">
        <v>1.08</v>
      </c>
    </row>
    <row r="233" spans="2:11" x14ac:dyDescent="0.35">
      <c r="B233" s="62">
        <v>26</v>
      </c>
      <c r="C233" s="471">
        <v>249</v>
      </c>
      <c r="D233" s="471">
        <v>249</v>
      </c>
      <c r="E233" s="469">
        <v>13.87</v>
      </c>
      <c r="F233" s="469">
        <v>3.8</v>
      </c>
      <c r="G233" s="469">
        <v>4.9000000000000004</v>
      </c>
      <c r="H233" s="470">
        <v>122</v>
      </c>
      <c r="I233" s="470">
        <v>895</v>
      </c>
      <c r="J233" s="470">
        <v>556.20000000000005</v>
      </c>
      <c r="K233" s="469">
        <v>1.08</v>
      </c>
    </row>
    <row r="234" spans="2:11" x14ac:dyDescent="0.35">
      <c r="B234" s="62">
        <v>26</v>
      </c>
      <c r="C234" s="471">
        <v>250</v>
      </c>
      <c r="D234" s="471">
        <v>250</v>
      </c>
      <c r="E234" s="469">
        <v>8.2100000000000009</v>
      </c>
      <c r="F234" s="469">
        <v>4.3</v>
      </c>
      <c r="G234" s="469">
        <v>4.2</v>
      </c>
      <c r="H234" s="470">
        <v>122</v>
      </c>
      <c r="I234" s="470">
        <v>892</v>
      </c>
      <c r="J234" s="470">
        <v>559.5</v>
      </c>
      <c r="K234" s="469">
        <v>1.08</v>
      </c>
    </row>
    <row r="235" spans="2:11" x14ac:dyDescent="0.35">
      <c r="B235" s="62">
        <v>26</v>
      </c>
      <c r="C235" s="471">
        <v>251</v>
      </c>
      <c r="D235" s="471">
        <v>251</v>
      </c>
      <c r="E235" s="469">
        <v>4.6399999999999997</v>
      </c>
      <c r="F235" s="469">
        <v>4.4000000000000004</v>
      </c>
      <c r="G235" s="469">
        <v>4.3</v>
      </c>
      <c r="H235" s="470">
        <v>93</v>
      </c>
      <c r="I235" s="470">
        <v>1044</v>
      </c>
      <c r="J235" s="470">
        <v>734.2</v>
      </c>
      <c r="K235" s="469">
        <v>1.08</v>
      </c>
    </row>
    <row r="236" spans="2:11" x14ac:dyDescent="0.35">
      <c r="B236" s="62">
        <v>26</v>
      </c>
      <c r="C236" s="471">
        <v>252</v>
      </c>
      <c r="D236" s="471">
        <v>252</v>
      </c>
      <c r="E236" s="469">
        <v>7.65</v>
      </c>
      <c r="F236" s="469">
        <v>4.4000000000000004</v>
      </c>
      <c r="G236" s="469">
        <v>4.5999999999999996</v>
      </c>
      <c r="H236" s="470">
        <v>112</v>
      </c>
      <c r="I236" s="470">
        <v>1045</v>
      </c>
      <c r="J236" s="470">
        <v>732.7</v>
      </c>
      <c r="K236" s="469">
        <v>1.08</v>
      </c>
    </row>
    <row r="237" spans="2:11" x14ac:dyDescent="0.35">
      <c r="B237" s="62">
        <v>26</v>
      </c>
      <c r="C237" s="471">
        <v>253</v>
      </c>
      <c r="D237" s="471">
        <v>253</v>
      </c>
      <c r="E237" s="469">
        <v>12.97</v>
      </c>
      <c r="F237" s="469">
        <v>3.9</v>
      </c>
      <c r="G237" s="469">
        <v>4.5</v>
      </c>
      <c r="H237" s="470">
        <v>122</v>
      </c>
      <c r="I237" s="470">
        <v>1046</v>
      </c>
      <c r="J237" s="470">
        <v>731.9</v>
      </c>
      <c r="K237" s="469">
        <v>1.08</v>
      </c>
    </row>
    <row r="238" spans="2:11" x14ac:dyDescent="0.35">
      <c r="B238" s="62">
        <v>26</v>
      </c>
      <c r="C238" s="471">
        <v>254</v>
      </c>
      <c r="D238" s="471">
        <v>254</v>
      </c>
      <c r="E238" s="469">
        <v>11.3</v>
      </c>
      <c r="F238" s="469">
        <v>3.5</v>
      </c>
      <c r="G238" s="469">
        <v>4.5</v>
      </c>
      <c r="H238" s="470">
        <v>122</v>
      </c>
      <c r="I238" s="470">
        <v>1045</v>
      </c>
      <c r="J238" s="470">
        <v>735</v>
      </c>
      <c r="K238" s="469">
        <v>1.08</v>
      </c>
    </row>
    <row r="239" spans="2:11" x14ac:dyDescent="0.35">
      <c r="B239" s="62">
        <v>26</v>
      </c>
      <c r="C239" s="471">
        <v>255</v>
      </c>
      <c r="D239" s="471">
        <v>255</v>
      </c>
      <c r="E239" s="469">
        <v>6.72</v>
      </c>
      <c r="F239" s="469">
        <v>3.3</v>
      </c>
      <c r="G239" s="469">
        <v>3.3</v>
      </c>
      <c r="H239" s="470">
        <v>122</v>
      </c>
      <c r="I239" s="470">
        <v>1044</v>
      </c>
      <c r="J239" s="470">
        <v>738.2</v>
      </c>
      <c r="K239" s="469">
        <v>1.08</v>
      </c>
    </row>
    <row r="240" spans="2:11" x14ac:dyDescent="0.35">
      <c r="B240" s="62">
        <v>26</v>
      </c>
      <c r="C240" s="471">
        <v>256</v>
      </c>
      <c r="D240" s="471">
        <v>256</v>
      </c>
      <c r="E240" s="469">
        <v>6.43</v>
      </c>
      <c r="F240" s="469">
        <v>3.7</v>
      </c>
      <c r="G240" s="469">
        <v>3.3</v>
      </c>
      <c r="H240" s="470">
        <v>122</v>
      </c>
      <c r="I240" s="470">
        <v>1045</v>
      </c>
      <c r="J240" s="470">
        <v>741.4</v>
      </c>
      <c r="K240" s="469">
        <v>1.08</v>
      </c>
    </row>
    <row r="241" spans="2:11" x14ac:dyDescent="0.35">
      <c r="B241" s="62">
        <v>26</v>
      </c>
      <c r="C241" s="471">
        <v>257</v>
      </c>
      <c r="D241" s="471">
        <v>257</v>
      </c>
      <c r="E241" s="469">
        <v>6.42</v>
      </c>
      <c r="F241" s="469">
        <v>4.8</v>
      </c>
      <c r="G241" s="469">
        <v>4.5999999999999996</v>
      </c>
      <c r="H241" s="470">
        <v>120</v>
      </c>
      <c r="I241" s="470">
        <v>1044</v>
      </c>
      <c r="J241" s="470">
        <v>742.3</v>
      </c>
      <c r="K241" s="469">
        <v>1.08</v>
      </c>
    </row>
    <row r="242" spans="2:11" x14ac:dyDescent="0.35">
      <c r="B242" s="62">
        <v>26</v>
      </c>
      <c r="C242" s="471">
        <v>258</v>
      </c>
      <c r="D242" s="471">
        <v>258</v>
      </c>
      <c r="E242" s="469">
        <v>7</v>
      </c>
      <c r="F242" s="469">
        <v>4.9000000000000004</v>
      </c>
      <c r="G242" s="469">
        <v>5.2</v>
      </c>
      <c r="H242" s="470">
        <v>121</v>
      </c>
      <c r="I242" s="470">
        <v>1046</v>
      </c>
      <c r="J242" s="470">
        <v>742.8</v>
      </c>
      <c r="K242" s="469">
        <v>1.1000000000000001</v>
      </c>
    </row>
    <row r="243" spans="2:11" x14ac:dyDescent="0.35">
      <c r="B243" s="62">
        <v>17.5</v>
      </c>
      <c r="C243" s="471">
        <v>259</v>
      </c>
      <c r="D243" s="471">
        <v>259</v>
      </c>
      <c r="E243" s="469">
        <v>2.72</v>
      </c>
      <c r="F243" s="469">
        <v>7.6</v>
      </c>
      <c r="G243" s="469">
        <v>2.2000000000000002</v>
      </c>
      <c r="H243" s="470">
        <v>47</v>
      </c>
      <c r="I243" s="470">
        <v>1026</v>
      </c>
      <c r="J243" s="470">
        <v>1460.7</v>
      </c>
      <c r="K243" s="469">
        <v>1.1000000000000001</v>
      </c>
    </row>
    <row r="244" spans="2:11" x14ac:dyDescent="0.35">
      <c r="B244" s="62">
        <v>17.5</v>
      </c>
      <c r="C244" s="471">
        <v>260</v>
      </c>
      <c r="D244" s="471">
        <v>260</v>
      </c>
      <c r="E244" s="469">
        <v>6.38</v>
      </c>
      <c r="F244" s="469">
        <v>9.6999999999999993</v>
      </c>
      <c r="G244" s="469">
        <v>2.4</v>
      </c>
      <c r="H244" s="470">
        <v>40</v>
      </c>
      <c r="I244" s="470">
        <v>1027</v>
      </c>
      <c r="J244" s="470">
        <v>1475.2</v>
      </c>
      <c r="K244" s="469">
        <v>1.1499999999999999</v>
      </c>
    </row>
    <row r="245" spans="2:11" x14ac:dyDescent="0.35">
      <c r="B245" s="62">
        <v>17.5</v>
      </c>
      <c r="C245" s="471">
        <v>261</v>
      </c>
      <c r="D245" s="471">
        <v>261</v>
      </c>
      <c r="E245" s="469">
        <v>10.23</v>
      </c>
      <c r="F245" s="469">
        <v>8.5</v>
      </c>
      <c r="G245" s="469">
        <v>2.2999999999999998</v>
      </c>
      <c r="H245" s="470">
        <v>73</v>
      </c>
      <c r="I245" s="470">
        <v>1008</v>
      </c>
      <c r="J245" s="470">
        <v>1033.9000000000001</v>
      </c>
      <c r="K245" s="469">
        <v>1.1499999999999999</v>
      </c>
    </row>
    <row r="246" spans="2:11" x14ac:dyDescent="0.35">
      <c r="B246" s="62">
        <v>17.5</v>
      </c>
      <c r="C246" s="471">
        <v>262</v>
      </c>
      <c r="D246" s="471">
        <v>262</v>
      </c>
      <c r="E246" s="469">
        <v>10.66</v>
      </c>
      <c r="F246" s="469">
        <v>8.6</v>
      </c>
      <c r="G246" s="469">
        <v>2.1</v>
      </c>
      <c r="H246" s="470">
        <v>84</v>
      </c>
      <c r="I246" s="470">
        <v>1008</v>
      </c>
      <c r="J246" s="470">
        <v>1017.6</v>
      </c>
      <c r="K246" s="469">
        <v>1.1499999999999999</v>
      </c>
    </row>
    <row r="247" spans="2:11" x14ac:dyDescent="0.35">
      <c r="B247" s="62">
        <v>17.5</v>
      </c>
      <c r="C247" s="471">
        <v>263</v>
      </c>
      <c r="D247" s="471">
        <v>263</v>
      </c>
      <c r="E247" s="469">
        <v>13.58</v>
      </c>
      <c r="F247" s="469">
        <v>9.4</v>
      </c>
      <c r="G247" s="469">
        <v>2.5</v>
      </c>
      <c r="H247" s="470">
        <v>84</v>
      </c>
      <c r="I247" s="470">
        <v>1009</v>
      </c>
      <c r="J247" s="470">
        <v>1004.6</v>
      </c>
      <c r="K247" s="469">
        <v>1.1499999999999999</v>
      </c>
    </row>
    <row r="248" spans="2:11" x14ac:dyDescent="0.35">
      <c r="B248" s="62">
        <v>17.5</v>
      </c>
      <c r="C248" s="471">
        <v>264</v>
      </c>
      <c r="D248" s="471">
        <v>264</v>
      </c>
      <c r="E248" s="469">
        <v>9.27</v>
      </c>
      <c r="F248" s="469">
        <v>8.3000000000000007</v>
      </c>
      <c r="G248" s="469">
        <v>2.1</v>
      </c>
      <c r="H248" s="470">
        <v>84</v>
      </c>
      <c r="I248" s="470">
        <v>1010</v>
      </c>
      <c r="J248" s="470">
        <v>1007.8</v>
      </c>
      <c r="K248" s="469">
        <v>1.1499999999999999</v>
      </c>
    </row>
    <row r="249" spans="2:11" x14ac:dyDescent="0.35">
      <c r="B249" s="62">
        <v>17.5</v>
      </c>
      <c r="C249" s="471">
        <v>265</v>
      </c>
      <c r="D249" s="471">
        <v>265</v>
      </c>
      <c r="E249" s="469">
        <v>8.0500000000000007</v>
      </c>
      <c r="F249" s="469">
        <v>10.3</v>
      </c>
      <c r="G249" s="469">
        <v>2.2000000000000002</v>
      </c>
      <c r="H249" s="470">
        <v>82</v>
      </c>
      <c r="I249" s="470">
        <v>1011</v>
      </c>
      <c r="J249" s="470">
        <v>1009.1</v>
      </c>
      <c r="K249" s="469">
        <v>1.1499999999999999</v>
      </c>
    </row>
    <row r="250" spans="2:11" x14ac:dyDescent="0.35">
      <c r="B250" s="62">
        <v>17.5</v>
      </c>
      <c r="C250" s="471">
        <v>266</v>
      </c>
      <c r="D250" s="471">
        <v>266</v>
      </c>
      <c r="E250" s="469">
        <v>13.66</v>
      </c>
      <c r="F250" s="469">
        <v>9.6999999999999993</v>
      </c>
      <c r="G250" s="469">
        <v>2.1</v>
      </c>
      <c r="H250" s="470">
        <v>81</v>
      </c>
      <c r="I250" s="470">
        <v>1016</v>
      </c>
      <c r="J250" s="470">
        <v>987</v>
      </c>
      <c r="K250" s="469">
        <v>1.1499999999999999</v>
      </c>
    </row>
    <row r="251" spans="2:11" x14ac:dyDescent="0.35">
      <c r="B251" s="62">
        <v>17.5</v>
      </c>
      <c r="C251" s="471">
        <v>267</v>
      </c>
      <c r="D251" s="471">
        <v>267</v>
      </c>
      <c r="E251" s="469">
        <v>6.24</v>
      </c>
      <c r="F251" s="469">
        <v>8.5</v>
      </c>
      <c r="G251" s="469">
        <v>2.1</v>
      </c>
      <c r="H251" s="470">
        <v>81</v>
      </c>
      <c r="I251" s="470">
        <v>1020</v>
      </c>
      <c r="J251" s="470">
        <v>975.5</v>
      </c>
      <c r="K251" s="469">
        <v>1.1499999999999999</v>
      </c>
    </row>
    <row r="252" spans="2:11" x14ac:dyDescent="0.35">
      <c r="B252" s="62">
        <v>17.5</v>
      </c>
      <c r="C252" s="471">
        <v>268</v>
      </c>
      <c r="D252" s="471">
        <v>268</v>
      </c>
      <c r="E252" s="469">
        <v>4.45</v>
      </c>
      <c r="F252" s="469">
        <v>7.8</v>
      </c>
      <c r="G252" s="469">
        <v>2</v>
      </c>
      <c r="H252" s="470">
        <v>73</v>
      </c>
      <c r="I252" s="470">
        <v>1008</v>
      </c>
      <c r="J252" s="470">
        <v>1006.9</v>
      </c>
      <c r="K252" s="469">
        <v>1.1499999999999999</v>
      </c>
    </row>
    <row r="253" spans="2:11" x14ac:dyDescent="0.35">
      <c r="B253" s="62">
        <v>17.5</v>
      </c>
      <c r="C253" s="471">
        <v>269</v>
      </c>
      <c r="D253" s="471">
        <v>269</v>
      </c>
      <c r="E253" s="469">
        <v>4.8099999999999996</v>
      </c>
      <c r="F253" s="469">
        <v>14</v>
      </c>
      <c r="G253" s="469">
        <v>2.2999999999999998</v>
      </c>
      <c r="H253" s="470">
        <v>49</v>
      </c>
      <c r="I253" s="470">
        <v>1020</v>
      </c>
      <c r="J253" s="470">
        <v>1055.2</v>
      </c>
      <c r="K253" s="469">
        <v>1.1499999999999999</v>
      </c>
    </row>
    <row r="254" spans="2:11" x14ac:dyDescent="0.35">
      <c r="B254" s="62">
        <v>17.5</v>
      </c>
      <c r="C254" s="471">
        <v>270</v>
      </c>
      <c r="D254" s="471">
        <v>270</v>
      </c>
      <c r="E254" s="469">
        <v>8.1</v>
      </c>
      <c r="F254" s="469">
        <v>11.5</v>
      </c>
      <c r="G254" s="469">
        <v>2.4</v>
      </c>
      <c r="H254" s="470">
        <v>81</v>
      </c>
      <c r="I254" s="470">
        <v>1019</v>
      </c>
      <c r="J254" s="470">
        <v>1080.7</v>
      </c>
      <c r="K254" s="469">
        <v>1.1499999999999999</v>
      </c>
    </row>
    <row r="255" spans="2:11" x14ac:dyDescent="0.35">
      <c r="B255" s="62">
        <v>17.5</v>
      </c>
      <c r="C255" s="471">
        <v>271</v>
      </c>
      <c r="D255" s="471">
        <v>271</v>
      </c>
      <c r="E255" s="469">
        <v>13.61</v>
      </c>
      <c r="F255" s="469">
        <v>12.7</v>
      </c>
      <c r="G255" s="469">
        <v>2.5</v>
      </c>
      <c r="H255" s="470">
        <v>101</v>
      </c>
      <c r="I255" s="470">
        <v>1020</v>
      </c>
      <c r="J255" s="470">
        <v>1104.5999999999999</v>
      </c>
      <c r="K255" s="469">
        <v>1.1499999999999999</v>
      </c>
    </row>
    <row r="256" spans="2:11" x14ac:dyDescent="0.35">
      <c r="B256" s="62">
        <v>17.5</v>
      </c>
      <c r="C256" s="471">
        <v>272</v>
      </c>
      <c r="D256" s="471">
        <v>272</v>
      </c>
      <c r="E256" s="469">
        <v>11.26</v>
      </c>
      <c r="F256" s="469">
        <v>12.7</v>
      </c>
      <c r="G256" s="469">
        <v>2.4</v>
      </c>
      <c r="H256" s="470">
        <v>101</v>
      </c>
      <c r="I256" s="470">
        <v>1020</v>
      </c>
      <c r="J256" s="470">
        <v>1121.3</v>
      </c>
      <c r="K256" s="469">
        <v>1.1499999999999999</v>
      </c>
    </row>
    <row r="257" spans="2:11" x14ac:dyDescent="0.35">
      <c r="B257" s="62">
        <v>17.5</v>
      </c>
      <c r="C257" s="471">
        <v>273</v>
      </c>
      <c r="D257" s="471">
        <v>273</v>
      </c>
      <c r="E257" s="469">
        <v>17.62</v>
      </c>
      <c r="F257" s="469">
        <v>12.2</v>
      </c>
      <c r="G257" s="469">
        <v>2.6</v>
      </c>
      <c r="H257" s="470">
        <v>101</v>
      </c>
      <c r="I257" s="470">
        <v>1019</v>
      </c>
      <c r="J257" s="470">
        <v>1128.8</v>
      </c>
      <c r="K257" s="469">
        <v>1.1499999999999999</v>
      </c>
    </row>
    <row r="258" spans="2:11" x14ac:dyDescent="0.35">
      <c r="B258" s="62">
        <v>17.5</v>
      </c>
      <c r="C258" s="471">
        <v>274</v>
      </c>
      <c r="D258" s="471">
        <v>274</v>
      </c>
      <c r="E258" s="469">
        <v>13.72</v>
      </c>
      <c r="F258" s="469">
        <v>12.3</v>
      </c>
      <c r="G258" s="469">
        <v>2.5</v>
      </c>
      <c r="H258" s="470">
        <v>102</v>
      </c>
      <c r="I258" s="470">
        <v>1020</v>
      </c>
      <c r="J258" s="470">
        <v>1125.7</v>
      </c>
      <c r="K258" s="469">
        <v>1.1499999999999999</v>
      </c>
    </row>
    <row r="259" spans="2:11" x14ac:dyDescent="0.35">
      <c r="B259" s="62">
        <v>17.5</v>
      </c>
      <c r="C259" s="471">
        <v>275</v>
      </c>
      <c r="D259" s="471">
        <v>275</v>
      </c>
      <c r="E259" s="469">
        <v>13.31</v>
      </c>
      <c r="F259" s="469">
        <v>11.9</v>
      </c>
      <c r="G259" s="469">
        <v>2.6</v>
      </c>
      <c r="H259" s="470">
        <v>101</v>
      </c>
      <c r="I259" s="470">
        <v>1018</v>
      </c>
      <c r="J259" s="470">
        <v>1126.5999999999999</v>
      </c>
      <c r="K259" s="469">
        <v>1.1499999999999999</v>
      </c>
    </row>
    <row r="260" spans="2:11" x14ac:dyDescent="0.35">
      <c r="B260" s="62">
        <v>17.5</v>
      </c>
      <c r="C260" s="471">
        <v>276</v>
      </c>
      <c r="D260" s="471">
        <v>276</v>
      </c>
      <c r="E260" s="469">
        <v>18.010000000000002</v>
      </c>
      <c r="F260" s="469">
        <v>12.1</v>
      </c>
      <c r="G260" s="469">
        <v>2.8</v>
      </c>
      <c r="H260" s="470">
        <v>101</v>
      </c>
      <c r="I260" s="470">
        <v>1017</v>
      </c>
      <c r="J260" s="470">
        <v>1136.7</v>
      </c>
      <c r="K260" s="469">
        <v>1.1499999999999999</v>
      </c>
    </row>
    <row r="261" spans="2:11" x14ac:dyDescent="0.35">
      <c r="B261" s="62">
        <v>17.5</v>
      </c>
      <c r="C261" s="471">
        <v>277</v>
      </c>
      <c r="D261" s="471">
        <v>277</v>
      </c>
      <c r="E261" s="469">
        <v>18.98</v>
      </c>
      <c r="F261" s="469">
        <v>12</v>
      </c>
      <c r="G261" s="469">
        <v>2.2999999999999998</v>
      </c>
      <c r="H261" s="470">
        <v>102</v>
      </c>
      <c r="I261" s="470">
        <v>1014</v>
      </c>
      <c r="J261" s="470">
        <v>1140.0999999999999</v>
      </c>
      <c r="K261" s="469">
        <v>1.1499999999999999</v>
      </c>
    </row>
    <row r="262" spans="2:11" x14ac:dyDescent="0.35">
      <c r="B262" s="62">
        <v>17.5</v>
      </c>
      <c r="C262" s="471">
        <v>278</v>
      </c>
      <c r="D262" s="471">
        <v>278</v>
      </c>
      <c r="E262" s="469">
        <v>16.16</v>
      </c>
      <c r="F262" s="469">
        <v>10.4</v>
      </c>
      <c r="G262" s="469">
        <v>2.4</v>
      </c>
      <c r="H262" s="470">
        <v>102</v>
      </c>
      <c r="I262" s="470">
        <v>1016</v>
      </c>
      <c r="J262" s="470">
        <v>1131.3</v>
      </c>
      <c r="K262" s="469">
        <v>1.1499999999999999</v>
      </c>
    </row>
    <row r="263" spans="2:11" x14ac:dyDescent="0.35">
      <c r="B263" s="62">
        <v>17.5</v>
      </c>
      <c r="C263" s="471">
        <v>279</v>
      </c>
      <c r="D263" s="471">
        <v>279</v>
      </c>
      <c r="E263" s="469">
        <v>11.58</v>
      </c>
      <c r="F263" s="469">
        <v>11.3</v>
      </c>
      <c r="G263" s="469">
        <v>2.2999999999999998</v>
      </c>
      <c r="H263" s="470">
        <v>101</v>
      </c>
      <c r="I263" s="470">
        <v>1017</v>
      </c>
      <c r="J263" s="470">
        <v>1130.2</v>
      </c>
      <c r="K263" s="469">
        <v>1.1499999999999999</v>
      </c>
    </row>
    <row r="264" spans="2:11" x14ac:dyDescent="0.35">
      <c r="B264" s="62">
        <v>17.5</v>
      </c>
      <c r="C264" s="471">
        <v>280</v>
      </c>
      <c r="D264" s="471">
        <v>280</v>
      </c>
      <c r="E264" s="469">
        <v>7.34</v>
      </c>
      <c r="F264" s="469">
        <v>5.2</v>
      </c>
      <c r="G264" s="469">
        <v>2.7</v>
      </c>
      <c r="H264" s="470">
        <v>141</v>
      </c>
      <c r="I264" s="470">
        <v>944</v>
      </c>
      <c r="J264" s="470">
        <v>1041.8</v>
      </c>
      <c r="K264" s="469">
        <v>1.1499999999999999</v>
      </c>
    </row>
    <row r="265" spans="2:11" x14ac:dyDescent="0.35">
      <c r="B265" s="62">
        <v>17.5</v>
      </c>
      <c r="C265" s="471">
        <v>281</v>
      </c>
      <c r="D265" s="471">
        <v>281</v>
      </c>
      <c r="E265" s="469">
        <v>33.11</v>
      </c>
      <c r="F265" s="469">
        <v>3.1</v>
      </c>
      <c r="G265" s="469">
        <v>3.8</v>
      </c>
      <c r="H265" s="470">
        <v>184</v>
      </c>
      <c r="I265" s="470">
        <v>887</v>
      </c>
      <c r="J265" s="470">
        <v>1139.5</v>
      </c>
      <c r="K265" s="469">
        <v>1.1499999999999999</v>
      </c>
    </row>
    <row r="266" spans="2:11" x14ac:dyDescent="0.35">
      <c r="B266" s="62">
        <v>17.5</v>
      </c>
      <c r="C266" s="471">
        <v>282</v>
      </c>
      <c r="D266" s="471">
        <v>282</v>
      </c>
      <c r="E266" s="469">
        <v>30.46</v>
      </c>
      <c r="F266" s="469">
        <v>2.9</v>
      </c>
      <c r="G266" s="469">
        <v>3.3</v>
      </c>
      <c r="H266" s="470">
        <v>191</v>
      </c>
      <c r="I266" s="470">
        <v>946</v>
      </c>
      <c r="J266" s="470">
        <v>1309.9000000000001</v>
      </c>
      <c r="K266" s="469">
        <v>1.1499999999999999</v>
      </c>
    </row>
    <row r="267" spans="2:11" x14ac:dyDescent="0.35">
      <c r="B267" s="62">
        <v>17.5</v>
      </c>
      <c r="C267" s="471">
        <v>283</v>
      </c>
      <c r="D267" s="471">
        <v>283</v>
      </c>
      <c r="E267" s="469">
        <v>30.52</v>
      </c>
      <c r="F267" s="469">
        <v>3.1</v>
      </c>
      <c r="G267" s="469">
        <v>3.4</v>
      </c>
      <c r="H267" s="470">
        <v>190</v>
      </c>
      <c r="I267" s="470">
        <v>942</v>
      </c>
      <c r="J267" s="470">
        <v>1301.3</v>
      </c>
      <c r="K267" s="469">
        <v>1.1499999999999999</v>
      </c>
    </row>
    <row r="268" spans="2:11" x14ac:dyDescent="0.35">
      <c r="B268" s="62">
        <v>17.5</v>
      </c>
      <c r="C268" s="471">
        <v>284</v>
      </c>
      <c r="D268" s="471">
        <v>284</v>
      </c>
      <c r="E268" s="469">
        <v>48.51</v>
      </c>
      <c r="F268" s="469">
        <v>3.6</v>
      </c>
      <c r="G268" s="469">
        <v>3.9</v>
      </c>
      <c r="H268" s="470">
        <v>190</v>
      </c>
      <c r="I268" s="470">
        <v>941</v>
      </c>
      <c r="J268" s="470">
        <v>1374.6</v>
      </c>
      <c r="K268" s="469">
        <v>1.1499999999999999</v>
      </c>
    </row>
    <row r="269" spans="2:11" x14ac:dyDescent="0.35">
      <c r="B269" s="62">
        <v>17.5</v>
      </c>
      <c r="C269" s="471">
        <v>285</v>
      </c>
      <c r="D269" s="471">
        <v>285</v>
      </c>
      <c r="E269" s="469">
        <v>52.83</v>
      </c>
      <c r="F269" s="469">
        <v>3.8</v>
      </c>
      <c r="G269" s="469">
        <v>4.4000000000000004</v>
      </c>
      <c r="H269" s="470">
        <v>190</v>
      </c>
      <c r="I269" s="470">
        <v>941</v>
      </c>
      <c r="J269" s="470">
        <v>1418.3</v>
      </c>
      <c r="K269" s="469">
        <v>1.1499999999999999</v>
      </c>
    </row>
    <row r="270" spans="2:11" x14ac:dyDescent="0.35">
      <c r="B270" s="62">
        <v>17.5</v>
      </c>
      <c r="C270" s="471">
        <v>286</v>
      </c>
      <c r="D270" s="471">
        <v>286</v>
      </c>
      <c r="E270" s="469">
        <v>38.15</v>
      </c>
      <c r="F270" s="469">
        <v>3.7</v>
      </c>
      <c r="G270" s="469">
        <v>4.3</v>
      </c>
      <c r="H270" s="470">
        <v>190</v>
      </c>
      <c r="I270" s="470">
        <v>942</v>
      </c>
      <c r="J270" s="470">
        <v>1414.5</v>
      </c>
      <c r="K270" s="469">
        <v>1.1499999999999999</v>
      </c>
    </row>
    <row r="271" spans="2:11" x14ac:dyDescent="0.35">
      <c r="B271" s="62">
        <v>17.5</v>
      </c>
      <c r="C271" s="471">
        <v>287</v>
      </c>
      <c r="D271" s="471">
        <v>287</v>
      </c>
      <c r="E271" s="469">
        <v>34.909999999999997</v>
      </c>
      <c r="F271" s="469">
        <v>2.7</v>
      </c>
      <c r="G271" s="469">
        <v>2.8</v>
      </c>
      <c r="H271" s="470">
        <v>191</v>
      </c>
      <c r="I271" s="470">
        <v>944</v>
      </c>
      <c r="J271" s="470">
        <v>1300</v>
      </c>
      <c r="K271" s="469">
        <v>1.1499999999999999</v>
      </c>
    </row>
    <row r="272" spans="2:11" x14ac:dyDescent="0.35">
      <c r="B272" s="62">
        <v>17.5</v>
      </c>
      <c r="C272" s="471">
        <v>288</v>
      </c>
      <c r="D272" s="471">
        <v>288</v>
      </c>
      <c r="E272" s="469">
        <v>42.29</v>
      </c>
      <c r="F272" s="469">
        <v>3</v>
      </c>
      <c r="G272" s="469">
        <v>3.1</v>
      </c>
      <c r="H272" s="470">
        <v>190</v>
      </c>
      <c r="I272" s="470">
        <v>944</v>
      </c>
      <c r="J272" s="470">
        <v>1317.6</v>
      </c>
      <c r="K272" s="469">
        <v>1.1499999999999999</v>
      </c>
    </row>
    <row r="273" spans="2:11" x14ac:dyDescent="0.35">
      <c r="B273" s="62">
        <v>17.5</v>
      </c>
      <c r="C273" s="471">
        <v>289</v>
      </c>
      <c r="D273" s="471">
        <v>289</v>
      </c>
      <c r="E273" s="469">
        <v>49.2</v>
      </c>
      <c r="F273" s="469">
        <v>3</v>
      </c>
      <c r="G273" s="469">
        <v>3.4</v>
      </c>
      <c r="H273" s="470">
        <v>190</v>
      </c>
      <c r="I273" s="470">
        <v>942</v>
      </c>
      <c r="J273" s="470">
        <v>1338</v>
      </c>
      <c r="K273" s="469">
        <v>1.1499999999999999</v>
      </c>
    </row>
    <row r="274" spans="2:11" x14ac:dyDescent="0.35">
      <c r="B274" s="62">
        <v>17.5</v>
      </c>
      <c r="C274" s="471">
        <v>290</v>
      </c>
      <c r="D274" s="471">
        <v>290</v>
      </c>
      <c r="E274" s="469">
        <v>50.01</v>
      </c>
      <c r="F274" s="469">
        <v>3.4</v>
      </c>
      <c r="G274" s="469">
        <v>3.7</v>
      </c>
      <c r="H274" s="470">
        <v>190</v>
      </c>
      <c r="I274" s="470">
        <v>940</v>
      </c>
      <c r="J274" s="470">
        <v>1363.4</v>
      </c>
      <c r="K274" s="469">
        <v>1.1499999999999999</v>
      </c>
    </row>
    <row r="275" spans="2:11" x14ac:dyDescent="0.35">
      <c r="B275" s="62">
        <v>17.5</v>
      </c>
      <c r="C275" s="471">
        <v>291</v>
      </c>
      <c r="D275" s="471">
        <v>291</v>
      </c>
      <c r="E275" s="469">
        <v>39</v>
      </c>
      <c r="F275" s="469">
        <v>3.5</v>
      </c>
      <c r="G275" s="469">
        <v>4.8</v>
      </c>
      <c r="H275" s="470">
        <v>191</v>
      </c>
      <c r="I275" s="470">
        <v>945</v>
      </c>
      <c r="J275" s="470">
        <v>1371</v>
      </c>
      <c r="K275" s="469">
        <v>1.1499999999999999</v>
      </c>
    </row>
    <row r="276" spans="2:11" x14ac:dyDescent="0.35">
      <c r="B276" s="62">
        <v>17.5</v>
      </c>
      <c r="C276" s="471">
        <v>292</v>
      </c>
      <c r="D276" s="471">
        <v>292</v>
      </c>
      <c r="E276" s="469">
        <v>38.97</v>
      </c>
      <c r="F276" s="469">
        <v>3.2</v>
      </c>
      <c r="G276" s="469">
        <v>3.7</v>
      </c>
      <c r="H276" s="470">
        <v>190</v>
      </c>
      <c r="I276" s="470">
        <v>943</v>
      </c>
      <c r="J276" s="470">
        <v>1361.6</v>
      </c>
      <c r="K276" s="469">
        <v>1.1499999999999999</v>
      </c>
    </row>
    <row r="277" spans="2:11" x14ac:dyDescent="0.35">
      <c r="B277" s="62">
        <v>17.5</v>
      </c>
      <c r="C277" s="471">
        <v>293</v>
      </c>
      <c r="D277" s="471">
        <v>293</v>
      </c>
      <c r="E277" s="469">
        <v>16.63</v>
      </c>
      <c r="F277" s="469">
        <v>2.9</v>
      </c>
      <c r="G277" s="469">
        <v>4.3</v>
      </c>
      <c r="H277" s="470">
        <v>184</v>
      </c>
      <c r="I277" s="470">
        <v>944</v>
      </c>
      <c r="J277" s="470">
        <v>1342.3</v>
      </c>
      <c r="K277" s="469">
        <v>1.1499999999999999</v>
      </c>
    </row>
    <row r="278" spans="2:11" x14ac:dyDescent="0.35">
      <c r="B278" s="62">
        <v>17.5</v>
      </c>
      <c r="C278" s="471">
        <v>294</v>
      </c>
      <c r="D278" s="471">
        <v>294</v>
      </c>
      <c r="E278" s="469">
        <v>30.94</v>
      </c>
      <c r="F278" s="469">
        <v>2.7</v>
      </c>
      <c r="G278" s="469">
        <v>3.9</v>
      </c>
      <c r="H278" s="470">
        <v>192</v>
      </c>
      <c r="I278" s="470">
        <v>940</v>
      </c>
      <c r="J278" s="470">
        <v>1365.5</v>
      </c>
      <c r="K278" s="469">
        <v>1.1499999999999999</v>
      </c>
    </row>
    <row r="279" spans="2:11" x14ac:dyDescent="0.35">
      <c r="B279" s="62">
        <v>17.5</v>
      </c>
      <c r="C279" s="471">
        <v>295</v>
      </c>
      <c r="D279" s="471">
        <v>295</v>
      </c>
      <c r="E279" s="469">
        <v>43.95</v>
      </c>
      <c r="F279" s="469">
        <v>3</v>
      </c>
      <c r="G279" s="469">
        <v>4</v>
      </c>
      <c r="H279" s="470">
        <v>192</v>
      </c>
      <c r="I279" s="470">
        <v>943</v>
      </c>
      <c r="J279" s="470">
        <v>1395.2</v>
      </c>
      <c r="K279" s="469">
        <v>1.1499999999999999</v>
      </c>
    </row>
    <row r="280" spans="2:11" x14ac:dyDescent="0.35">
      <c r="B280" s="62">
        <v>17.5</v>
      </c>
      <c r="C280" s="471">
        <v>296</v>
      </c>
      <c r="D280" s="471">
        <v>296</v>
      </c>
      <c r="E280" s="469">
        <v>36.99</v>
      </c>
      <c r="F280" s="469">
        <v>2.2000000000000002</v>
      </c>
      <c r="G280" s="469">
        <v>3.9</v>
      </c>
      <c r="H280" s="470">
        <v>192</v>
      </c>
      <c r="I280" s="470">
        <v>944</v>
      </c>
      <c r="J280" s="470">
        <v>1314.6</v>
      </c>
      <c r="K280" s="469">
        <v>1.1499999999999999</v>
      </c>
    </row>
    <row r="281" spans="2:11" x14ac:dyDescent="0.35">
      <c r="B281" s="62">
        <v>17.5</v>
      </c>
      <c r="C281" s="471">
        <v>297</v>
      </c>
      <c r="D281" s="471">
        <v>297</v>
      </c>
      <c r="E281" s="469">
        <v>95.38</v>
      </c>
      <c r="F281" s="469">
        <v>4</v>
      </c>
      <c r="G281" s="469">
        <v>6.9</v>
      </c>
      <c r="H281" s="470">
        <v>189</v>
      </c>
      <c r="I281" s="470">
        <v>934</v>
      </c>
      <c r="J281" s="470">
        <v>1584.3</v>
      </c>
      <c r="K281" s="469">
        <v>1.1499999999999999</v>
      </c>
    </row>
    <row r="282" spans="2:11" x14ac:dyDescent="0.35">
      <c r="B282" s="62">
        <v>17.5</v>
      </c>
      <c r="C282" s="471">
        <v>298</v>
      </c>
      <c r="D282" s="471">
        <v>298</v>
      </c>
      <c r="E282" s="469">
        <v>17.29</v>
      </c>
      <c r="F282" s="469">
        <v>1.9</v>
      </c>
      <c r="G282" s="469">
        <v>3.6</v>
      </c>
      <c r="H282" s="470">
        <v>185</v>
      </c>
      <c r="I282" s="470">
        <v>941</v>
      </c>
      <c r="J282" s="470">
        <v>1308.7</v>
      </c>
      <c r="K282" s="469">
        <v>1.1499999999999999</v>
      </c>
    </row>
    <row r="283" spans="2:11" x14ac:dyDescent="0.35">
      <c r="B283" s="62">
        <v>17.5</v>
      </c>
      <c r="C283" s="471">
        <v>299</v>
      </c>
      <c r="D283" s="471">
        <v>299</v>
      </c>
      <c r="E283" s="469">
        <v>32.46</v>
      </c>
      <c r="F283" s="469">
        <v>2.2999999999999998</v>
      </c>
      <c r="G283" s="469">
        <v>3</v>
      </c>
      <c r="H283" s="470">
        <v>192</v>
      </c>
      <c r="I283" s="470">
        <v>939</v>
      </c>
      <c r="J283" s="470">
        <v>1331.4</v>
      </c>
      <c r="K283" s="469">
        <v>1.1499999999999999</v>
      </c>
    </row>
    <row r="284" spans="2:11" x14ac:dyDescent="0.35">
      <c r="B284" s="62">
        <v>17.5</v>
      </c>
      <c r="C284" s="471">
        <v>300</v>
      </c>
      <c r="D284" s="471">
        <v>300</v>
      </c>
      <c r="E284" s="469">
        <v>48.11</v>
      </c>
      <c r="F284" s="469">
        <v>3.3</v>
      </c>
      <c r="G284" s="469">
        <v>4.9000000000000004</v>
      </c>
      <c r="H284" s="470">
        <v>192</v>
      </c>
      <c r="I284" s="470">
        <v>935</v>
      </c>
      <c r="J284" s="470">
        <v>1447</v>
      </c>
      <c r="K284" s="469">
        <v>1.1499999999999999</v>
      </c>
    </row>
    <row r="285" spans="2:11" x14ac:dyDescent="0.35">
      <c r="B285" s="62">
        <v>17.5</v>
      </c>
      <c r="C285" s="471">
        <v>301</v>
      </c>
      <c r="D285" s="471">
        <v>301</v>
      </c>
      <c r="E285" s="469">
        <v>53.74</v>
      </c>
      <c r="F285" s="469">
        <v>3.2</v>
      </c>
      <c r="G285" s="469">
        <v>4</v>
      </c>
      <c r="H285" s="470">
        <v>192</v>
      </c>
      <c r="I285" s="470">
        <v>939</v>
      </c>
      <c r="J285" s="470">
        <v>1412.1</v>
      </c>
      <c r="K285" s="469">
        <v>1.1499999999999999</v>
      </c>
    </row>
    <row r="286" spans="2:11" x14ac:dyDescent="0.35">
      <c r="B286" s="62">
        <v>17.5</v>
      </c>
      <c r="C286" s="471">
        <v>302</v>
      </c>
      <c r="D286" s="471">
        <v>302</v>
      </c>
      <c r="E286" s="469">
        <v>56.07</v>
      </c>
      <c r="F286" s="469">
        <v>3.3</v>
      </c>
      <c r="G286" s="469">
        <v>4.5999999999999996</v>
      </c>
      <c r="H286" s="470">
        <v>192</v>
      </c>
      <c r="I286" s="470">
        <v>936</v>
      </c>
      <c r="J286" s="470">
        <v>1438</v>
      </c>
      <c r="K286" s="469">
        <v>1.1499999999999999</v>
      </c>
    </row>
    <row r="287" spans="2:11" x14ac:dyDescent="0.35">
      <c r="B287" s="62">
        <v>17.5</v>
      </c>
      <c r="C287" s="471">
        <v>303</v>
      </c>
      <c r="D287" s="471">
        <v>303</v>
      </c>
      <c r="E287" s="469">
        <v>53.18</v>
      </c>
      <c r="F287" s="469">
        <v>2.8</v>
      </c>
      <c r="G287" s="469">
        <v>3.7</v>
      </c>
      <c r="H287" s="470">
        <v>192</v>
      </c>
      <c r="I287" s="470">
        <v>936</v>
      </c>
      <c r="J287" s="470">
        <v>1385.3</v>
      </c>
      <c r="K287" s="469">
        <v>1.1499999999999999</v>
      </c>
    </row>
    <row r="288" spans="2:11" x14ac:dyDescent="0.35">
      <c r="B288" s="62">
        <v>17.5</v>
      </c>
      <c r="C288" s="471">
        <v>304</v>
      </c>
      <c r="D288" s="471">
        <v>304</v>
      </c>
      <c r="E288" s="469">
        <v>53.2</v>
      </c>
      <c r="F288" s="469">
        <v>3.3</v>
      </c>
      <c r="G288" s="469">
        <v>4.3</v>
      </c>
      <c r="H288" s="470">
        <v>192</v>
      </c>
      <c r="I288" s="470">
        <v>934</v>
      </c>
      <c r="J288" s="470">
        <v>1440.4</v>
      </c>
      <c r="K288" s="469">
        <v>1.1499999999999999</v>
      </c>
    </row>
    <row r="289" spans="2:11" x14ac:dyDescent="0.35">
      <c r="B289" s="62">
        <v>17.5</v>
      </c>
      <c r="C289" s="471">
        <v>305</v>
      </c>
      <c r="D289" s="471">
        <v>305</v>
      </c>
      <c r="E289" s="469">
        <v>53.86</v>
      </c>
      <c r="F289" s="469">
        <v>3.1</v>
      </c>
      <c r="G289" s="469">
        <v>4</v>
      </c>
      <c r="H289" s="470">
        <v>187</v>
      </c>
      <c r="I289" s="470">
        <v>935</v>
      </c>
      <c r="J289" s="470">
        <v>1460.9</v>
      </c>
      <c r="K289" s="469">
        <v>1.1499999999999999</v>
      </c>
    </row>
    <row r="290" spans="2:11" x14ac:dyDescent="0.35">
      <c r="B290" s="62">
        <v>17.5</v>
      </c>
      <c r="C290" s="471">
        <v>306</v>
      </c>
      <c r="D290" s="471">
        <v>306</v>
      </c>
      <c r="E290" s="469">
        <v>55.81</v>
      </c>
      <c r="F290" s="469">
        <v>3.1</v>
      </c>
      <c r="G290" s="469">
        <v>4.4000000000000004</v>
      </c>
      <c r="H290" s="470">
        <v>192</v>
      </c>
      <c r="I290" s="470">
        <v>936</v>
      </c>
      <c r="J290" s="470">
        <v>1440.3</v>
      </c>
      <c r="K290" s="469">
        <v>1.1499999999999999</v>
      </c>
    </row>
    <row r="291" spans="2:11" x14ac:dyDescent="0.35">
      <c r="B291" s="62">
        <v>17.5</v>
      </c>
      <c r="C291" s="471">
        <v>307</v>
      </c>
      <c r="D291" s="471">
        <v>307</v>
      </c>
      <c r="E291" s="469">
        <v>46.85</v>
      </c>
      <c r="F291" s="469">
        <v>3.8</v>
      </c>
      <c r="G291" s="469">
        <v>3.7</v>
      </c>
      <c r="H291" s="470">
        <v>192</v>
      </c>
      <c r="I291" s="470">
        <v>938</v>
      </c>
      <c r="J291" s="470">
        <v>1419.2</v>
      </c>
      <c r="K291" s="469">
        <v>1.1499999999999999</v>
      </c>
    </row>
    <row r="292" spans="2:11" x14ac:dyDescent="0.35">
      <c r="B292" s="62">
        <v>17.5</v>
      </c>
      <c r="C292" s="471">
        <v>308</v>
      </c>
      <c r="D292" s="471">
        <v>308</v>
      </c>
      <c r="E292" s="469">
        <v>48.84</v>
      </c>
      <c r="F292" s="469">
        <v>3.2</v>
      </c>
      <c r="G292" s="469">
        <v>3.7</v>
      </c>
      <c r="H292" s="470">
        <v>192</v>
      </c>
      <c r="I292" s="470">
        <v>936</v>
      </c>
      <c r="J292" s="470">
        <v>1366.8</v>
      </c>
      <c r="K292" s="469">
        <v>1.1499999999999999</v>
      </c>
    </row>
    <row r="293" spans="2:11" x14ac:dyDescent="0.35">
      <c r="B293" s="62">
        <v>17.5</v>
      </c>
      <c r="C293" s="471">
        <v>309</v>
      </c>
      <c r="D293" s="471">
        <v>309</v>
      </c>
      <c r="E293" s="469">
        <v>53.65</v>
      </c>
      <c r="F293" s="469">
        <v>3.9</v>
      </c>
      <c r="G293" s="469">
        <v>4.4000000000000004</v>
      </c>
      <c r="H293" s="470">
        <v>192</v>
      </c>
      <c r="I293" s="470">
        <v>937</v>
      </c>
      <c r="J293" s="470">
        <v>1400.1</v>
      </c>
      <c r="K293" s="469">
        <v>1.1499999999999999</v>
      </c>
    </row>
    <row r="294" spans="2:11" x14ac:dyDescent="0.35">
      <c r="B294" s="62">
        <v>17.5</v>
      </c>
      <c r="C294" s="471">
        <v>310</v>
      </c>
      <c r="D294" s="471">
        <v>310</v>
      </c>
      <c r="E294" s="469">
        <v>41.19</v>
      </c>
      <c r="F294" s="469">
        <v>3.7</v>
      </c>
      <c r="G294" s="469">
        <v>4.2</v>
      </c>
      <c r="H294" s="470">
        <v>192</v>
      </c>
      <c r="I294" s="470">
        <v>938</v>
      </c>
      <c r="J294" s="470">
        <v>1372.2</v>
      </c>
      <c r="K294" s="469">
        <v>1.1499999999999999</v>
      </c>
    </row>
    <row r="295" spans="2:11" x14ac:dyDescent="0.35">
      <c r="B295" s="62">
        <v>17.5</v>
      </c>
      <c r="C295" s="471">
        <v>311</v>
      </c>
      <c r="D295" s="471">
        <v>310</v>
      </c>
      <c r="E295" s="469">
        <v>41.19</v>
      </c>
      <c r="F295" s="469">
        <v>3.7</v>
      </c>
      <c r="G295" s="469">
        <v>4.2</v>
      </c>
      <c r="H295" s="470">
        <v>192</v>
      </c>
      <c r="I295" s="470">
        <v>938</v>
      </c>
      <c r="J295" s="470">
        <v>1372.2</v>
      </c>
      <c r="K295" s="469">
        <v>1.1499999999999999</v>
      </c>
    </row>
    <row r="296" spans="2:11" x14ac:dyDescent="0.35">
      <c r="B296" s="62">
        <v>17.5</v>
      </c>
      <c r="C296" s="471">
        <v>312</v>
      </c>
      <c r="D296" s="471">
        <v>311</v>
      </c>
      <c r="E296" s="469">
        <v>49.7</v>
      </c>
      <c r="F296" s="469">
        <v>3.5</v>
      </c>
      <c r="G296" s="469">
        <v>4.5999999999999996</v>
      </c>
      <c r="H296" s="470">
        <v>192</v>
      </c>
      <c r="I296" s="470">
        <v>936</v>
      </c>
      <c r="J296" s="470">
        <v>1377.7</v>
      </c>
      <c r="K296" s="469">
        <v>1.1499999999999999</v>
      </c>
    </row>
    <row r="297" spans="2:11" x14ac:dyDescent="0.35">
      <c r="B297" s="62">
        <v>17.5</v>
      </c>
      <c r="C297" s="471">
        <v>313</v>
      </c>
      <c r="D297" s="471">
        <v>312</v>
      </c>
      <c r="E297" s="469">
        <v>41.47</v>
      </c>
      <c r="F297" s="469">
        <v>3.3</v>
      </c>
      <c r="G297" s="469">
        <v>3.9</v>
      </c>
      <c r="H297" s="470">
        <v>192</v>
      </c>
      <c r="I297" s="470">
        <v>938</v>
      </c>
      <c r="J297" s="470">
        <v>1335.4</v>
      </c>
      <c r="K297" s="469">
        <v>1.1499999999999999</v>
      </c>
    </row>
    <row r="298" spans="2:11" x14ac:dyDescent="0.35">
      <c r="B298" s="62">
        <v>17.5</v>
      </c>
      <c r="C298" s="471">
        <v>314</v>
      </c>
      <c r="D298" s="471">
        <v>313</v>
      </c>
      <c r="E298" s="469">
        <v>45.31</v>
      </c>
      <c r="F298" s="469">
        <v>3.4</v>
      </c>
      <c r="G298" s="469">
        <v>4</v>
      </c>
      <c r="H298" s="470">
        <v>192</v>
      </c>
      <c r="I298" s="470">
        <v>938</v>
      </c>
      <c r="J298" s="470">
        <v>1361.3</v>
      </c>
      <c r="K298" s="469">
        <v>1.1499999999999999</v>
      </c>
    </row>
    <row r="299" spans="2:11" x14ac:dyDescent="0.35">
      <c r="B299" s="62">
        <v>17.5</v>
      </c>
      <c r="C299" s="471">
        <v>315</v>
      </c>
      <c r="D299" s="471">
        <v>314</v>
      </c>
      <c r="E299" s="469">
        <v>44.89</v>
      </c>
      <c r="F299" s="469">
        <v>3.2</v>
      </c>
      <c r="G299" s="469">
        <v>4.8</v>
      </c>
      <c r="H299" s="470">
        <v>187</v>
      </c>
      <c r="I299" s="470">
        <v>896</v>
      </c>
      <c r="J299" s="470">
        <v>1254</v>
      </c>
      <c r="K299" s="469">
        <v>1.1499999999999999</v>
      </c>
    </row>
    <row r="300" spans="2:11" x14ac:dyDescent="0.35">
      <c r="B300" s="62">
        <v>17.5</v>
      </c>
      <c r="C300" s="471">
        <v>316</v>
      </c>
      <c r="D300" s="471">
        <v>315</v>
      </c>
      <c r="E300" s="469">
        <v>43.74</v>
      </c>
      <c r="F300" s="469">
        <v>3.1</v>
      </c>
      <c r="G300" s="469">
        <v>4</v>
      </c>
      <c r="H300" s="470">
        <v>188</v>
      </c>
      <c r="I300" s="470">
        <v>902</v>
      </c>
      <c r="J300" s="470">
        <v>1243</v>
      </c>
      <c r="K300" s="469">
        <v>1.1499999999999999</v>
      </c>
    </row>
    <row r="301" spans="2:11" x14ac:dyDescent="0.35">
      <c r="B301" s="62">
        <v>17.5</v>
      </c>
      <c r="C301" s="471">
        <v>317</v>
      </c>
      <c r="D301" s="471">
        <v>316</v>
      </c>
      <c r="E301" s="469">
        <v>43.82</v>
      </c>
      <c r="F301" s="469">
        <v>3.3</v>
      </c>
      <c r="G301" s="469">
        <v>4.5</v>
      </c>
      <c r="H301" s="470">
        <v>188</v>
      </c>
      <c r="I301" s="470">
        <v>901</v>
      </c>
      <c r="J301" s="470">
        <v>1287.5999999999999</v>
      </c>
      <c r="K301" s="469">
        <v>1.1499999999999999</v>
      </c>
    </row>
    <row r="302" spans="2:11" x14ac:dyDescent="0.35">
      <c r="B302" s="62">
        <v>17.5</v>
      </c>
      <c r="C302" s="471">
        <v>318</v>
      </c>
      <c r="D302" s="471">
        <v>317</v>
      </c>
      <c r="E302" s="469">
        <v>51.23</v>
      </c>
      <c r="F302" s="469">
        <v>3.3</v>
      </c>
      <c r="G302" s="469">
        <v>4.4000000000000004</v>
      </c>
      <c r="H302" s="470">
        <v>188</v>
      </c>
      <c r="I302" s="470">
        <v>903</v>
      </c>
      <c r="J302" s="470">
        <v>1299</v>
      </c>
      <c r="K302" s="469">
        <v>1.1499999999999999</v>
      </c>
    </row>
    <row r="303" spans="2:11" x14ac:dyDescent="0.35">
      <c r="B303" s="62">
        <v>17.5</v>
      </c>
      <c r="C303" s="471">
        <v>319</v>
      </c>
      <c r="D303" s="471">
        <v>318</v>
      </c>
      <c r="E303" s="469">
        <v>61.83</v>
      </c>
      <c r="F303" s="469">
        <v>3</v>
      </c>
      <c r="G303" s="469">
        <v>4.5999999999999996</v>
      </c>
      <c r="H303" s="470">
        <v>187</v>
      </c>
      <c r="I303" s="470">
        <v>896</v>
      </c>
      <c r="J303" s="470">
        <v>1316.6</v>
      </c>
      <c r="K303" s="469">
        <v>1.1499999999999999</v>
      </c>
    </row>
    <row r="304" spans="2:11" x14ac:dyDescent="0.35">
      <c r="B304" s="62">
        <v>17.5</v>
      </c>
      <c r="C304" s="471">
        <v>320</v>
      </c>
      <c r="D304" s="471">
        <v>319</v>
      </c>
      <c r="E304" s="469">
        <v>49.48</v>
      </c>
      <c r="F304" s="469">
        <v>3.3</v>
      </c>
      <c r="G304" s="469">
        <v>4</v>
      </c>
      <c r="H304" s="470">
        <v>188</v>
      </c>
      <c r="I304" s="470">
        <v>899</v>
      </c>
      <c r="J304" s="470">
        <v>1319.6</v>
      </c>
      <c r="K304" s="469">
        <v>1.1499999999999999</v>
      </c>
    </row>
    <row r="305" spans="2:11" x14ac:dyDescent="0.35">
      <c r="B305" s="62">
        <v>17.5</v>
      </c>
      <c r="C305" s="471">
        <v>321</v>
      </c>
      <c r="D305" s="471">
        <v>320</v>
      </c>
      <c r="E305" s="469">
        <v>58.2</v>
      </c>
      <c r="F305" s="469">
        <v>2.9</v>
      </c>
      <c r="G305" s="469">
        <v>4.4000000000000004</v>
      </c>
      <c r="H305" s="470">
        <v>188</v>
      </c>
      <c r="I305" s="470">
        <v>897</v>
      </c>
      <c r="J305" s="470">
        <v>1327.3</v>
      </c>
      <c r="K305" s="469">
        <v>1.1499999999999999</v>
      </c>
    </row>
    <row r="306" spans="2:11" x14ac:dyDescent="0.35">
      <c r="B306" s="62">
        <v>17.5</v>
      </c>
      <c r="C306" s="471">
        <v>322</v>
      </c>
      <c r="D306" s="471">
        <v>321</v>
      </c>
      <c r="E306" s="469">
        <v>34.520000000000003</v>
      </c>
      <c r="F306" s="469">
        <v>3</v>
      </c>
      <c r="G306" s="469">
        <v>4.4000000000000004</v>
      </c>
      <c r="H306" s="470">
        <v>188</v>
      </c>
      <c r="I306" s="470">
        <v>896</v>
      </c>
      <c r="J306" s="470">
        <v>1315.5</v>
      </c>
      <c r="K306" s="469">
        <v>1.1499999999999999</v>
      </c>
    </row>
    <row r="307" spans="2:11" x14ac:dyDescent="0.35">
      <c r="B307" s="62">
        <v>17.5</v>
      </c>
      <c r="C307" s="471">
        <v>323</v>
      </c>
      <c r="D307" s="471">
        <v>322</v>
      </c>
      <c r="E307" s="469">
        <v>21.13</v>
      </c>
      <c r="F307" s="469">
        <v>2.7</v>
      </c>
      <c r="G307" s="469">
        <v>3.6</v>
      </c>
      <c r="H307" s="470">
        <v>185</v>
      </c>
      <c r="I307" s="470">
        <v>896</v>
      </c>
      <c r="J307" s="470">
        <v>1279.9000000000001</v>
      </c>
      <c r="K307" s="469">
        <v>1.1499999999999999</v>
      </c>
    </row>
    <row r="308" spans="2:11" x14ac:dyDescent="0.35">
      <c r="B308" s="62">
        <v>17.5</v>
      </c>
      <c r="C308" s="471">
        <v>324</v>
      </c>
      <c r="D308" s="471">
        <v>323</v>
      </c>
      <c r="E308" s="469">
        <v>32.200000000000003</v>
      </c>
      <c r="F308" s="469">
        <v>1.7</v>
      </c>
      <c r="G308" s="469">
        <v>3.6</v>
      </c>
      <c r="H308" s="470">
        <v>182</v>
      </c>
      <c r="I308" s="470">
        <v>899</v>
      </c>
      <c r="J308" s="470">
        <v>1252.0999999999999</v>
      </c>
      <c r="K308" s="469">
        <v>1.1499999999999999</v>
      </c>
    </row>
    <row r="309" spans="2:11" x14ac:dyDescent="0.35">
      <c r="B309" s="62">
        <v>17.5</v>
      </c>
      <c r="C309" s="471">
        <v>325</v>
      </c>
      <c r="D309" s="471">
        <v>324</v>
      </c>
      <c r="E309" s="469">
        <v>29.21</v>
      </c>
      <c r="F309" s="469">
        <v>1.2</v>
      </c>
      <c r="G309" s="469">
        <v>3.1</v>
      </c>
      <c r="H309" s="470">
        <v>182</v>
      </c>
      <c r="I309" s="470">
        <v>899</v>
      </c>
      <c r="J309" s="470">
        <v>1222.7</v>
      </c>
      <c r="K309" s="469">
        <v>1.1499999999999999</v>
      </c>
    </row>
    <row r="310" spans="2:11" x14ac:dyDescent="0.35">
      <c r="B310" s="62">
        <v>17.5</v>
      </c>
      <c r="C310" s="471">
        <v>326</v>
      </c>
      <c r="D310" s="471">
        <v>325</v>
      </c>
      <c r="E310" s="469">
        <v>38.549999999999997</v>
      </c>
      <c r="F310" s="469">
        <v>1.2</v>
      </c>
      <c r="G310" s="469">
        <v>3.5</v>
      </c>
      <c r="H310" s="470">
        <v>182</v>
      </c>
      <c r="I310" s="470">
        <v>898</v>
      </c>
      <c r="J310" s="470">
        <v>1243.8</v>
      </c>
      <c r="K310" s="469">
        <v>1.1499999999999999</v>
      </c>
    </row>
    <row r="311" spans="2:11" x14ac:dyDescent="0.35">
      <c r="B311" s="62">
        <v>17.5</v>
      </c>
      <c r="C311" s="471">
        <v>327</v>
      </c>
      <c r="D311" s="471">
        <v>326</v>
      </c>
      <c r="E311" s="469">
        <v>31.13</v>
      </c>
      <c r="F311" s="469">
        <v>1.8</v>
      </c>
      <c r="G311" s="469">
        <v>3.5</v>
      </c>
      <c r="H311" s="470">
        <v>181</v>
      </c>
      <c r="I311" s="470">
        <v>886</v>
      </c>
      <c r="J311" s="470">
        <v>1236.7</v>
      </c>
      <c r="K311" s="469">
        <v>1.1499999999999999</v>
      </c>
    </row>
    <row r="312" spans="2:11" x14ac:dyDescent="0.35">
      <c r="B312" s="62">
        <v>17.5</v>
      </c>
      <c r="C312" s="471">
        <v>328</v>
      </c>
      <c r="D312" s="471">
        <v>327</v>
      </c>
      <c r="E312" s="469">
        <v>26.34</v>
      </c>
      <c r="F312" s="469">
        <v>1.8</v>
      </c>
      <c r="G312" s="469">
        <v>3.3</v>
      </c>
      <c r="H312" s="470">
        <v>180</v>
      </c>
      <c r="I312" s="470">
        <v>876</v>
      </c>
      <c r="J312" s="470">
        <v>1226.5</v>
      </c>
      <c r="K312" s="469">
        <v>1.1499999999999999</v>
      </c>
    </row>
    <row r="313" spans="2:11" x14ac:dyDescent="0.35">
      <c r="B313" s="62">
        <v>17.5</v>
      </c>
      <c r="C313" s="471">
        <v>329</v>
      </c>
      <c r="D313" s="471">
        <v>328</v>
      </c>
      <c r="E313" s="469">
        <v>35.770000000000003</v>
      </c>
      <c r="F313" s="469">
        <v>1.7</v>
      </c>
      <c r="G313" s="469">
        <v>3.6</v>
      </c>
      <c r="H313" s="470">
        <v>182</v>
      </c>
      <c r="I313" s="470">
        <v>895</v>
      </c>
      <c r="J313" s="470">
        <v>1275.5999999999999</v>
      </c>
      <c r="K313" s="469">
        <v>1.1499999999999999</v>
      </c>
    </row>
    <row r="314" spans="2:11" x14ac:dyDescent="0.35">
      <c r="B314" s="62">
        <v>17.5</v>
      </c>
      <c r="C314" s="471">
        <v>330</v>
      </c>
      <c r="D314" s="471">
        <v>329</v>
      </c>
      <c r="E314" s="469">
        <v>48.84</v>
      </c>
      <c r="F314" s="469">
        <v>1.3</v>
      </c>
      <c r="G314" s="469">
        <v>3.3</v>
      </c>
      <c r="H314" s="470">
        <v>182</v>
      </c>
      <c r="I314" s="470">
        <v>896</v>
      </c>
      <c r="J314" s="470">
        <v>1255.3</v>
      </c>
      <c r="K314" s="469">
        <v>1.1499999999999999</v>
      </c>
    </row>
    <row r="315" spans="2:11" x14ac:dyDescent="0.35">
      <c r="B315" s="62">
        <v>17.5</v>
      </c>
      <c r="C315" s="471">
        <v>331</v>
      </c>
      <c r="D315" s="471">
        <v>330</v>
      </c>
      <c r="E315" s="469">
        <v>46.33</v>
      </c>
      <c r="F315" s="469">
        <v>2.1</v>
      </c>
      <c r="G315" s="469">
        <v>4.7</v>
      </c>
      <c r="H315" s="470">
        <v>182</v>
      </c>
      <c r="I315" s="470">
        <v>894</v>
      </c>
      <c r="J315" s="470">
        <v>1334.4</v>
      </c>
      <c r="K315" s="469">
        <v>1.1499999999999999</v>
      </c>
    </row>
    <row r="316" spans="2:11" x14ac:dyDescent="0.35">
      <c r="B316" s="62">
        <v>17.5</v>
      </c>
      <c r="C316" s="471">
        <v>332</v>
      </c>
      <c r="D316" s="471">
        <v>331</v>
      </c>
      <c r="E316" s="469">
        <v>36.56</v>
      </c>
      <c r="F316" s="469">
        <v>2</v>
      </c>
      <c r="G316" s="469">
        <v>4.4000000000000004</v>
      </c>
      <c r="H316" s="470">
        <v>182</v>
      </c>
      <c r="I316" s="470">
        <v>896</v>
      </c>
      <c r="J316" s="470">
        <v>1293.2</v>
      </c>
      <c r="K316" s="469">
        <v>1.1499999999999999</v>
      </c>
    </row>
    <row r="317" spans="2:11" x14ac:dyDescent="0.35">
      <c r="B317" s="62">
        <v>17.5</v>
      </c>
      <c r="C317" s="471">
        <v>333</v>
      </c>
      <c r="D317" s="471">
        <v>332</v>
      </c>
      <c r="E317" s="469">
        <v>32.9</v>
      </c>
      <c r="F317" s="469">
        <v>1.4</v>
      </c>
      <c r="G317" s="469">
        <v>3</v>
      </c>
      <c r="H317" s="470">
        <v>182</v>
      </c>
      <c r="I317" s="470">
        <v>897</v>
      </c>
      <c r="J317" s="470">
        <v>1248.8</v>
      </c>
      <c r="K317" s="469">
        <v>1.1499999999999999</v>
      </c>
    </row>
    <row r="318" spans="2:11" x14ac:dyDescent="0.35">
      <c r="B318" s="62">
        <v>17.5</v>
      </c>
      <c r="C318" s="471">
        <v>334</v>
      </c>
      <c r="D318" s="471">
        <v>333</v>
      </c>
      <c r="E318" s="469">
        <v>43.74</v>
      </c>
      <c r="F318" s="469">
        <v>1.9</v>
      </c>
      <c r="G318" s="469">
        <v>4.0999999999999996</v>
      </c>
      <c r="H318" s="470">
        <v>182</v>
      </c>
      <c r="I318" s="470">
        <v>895</v>
      </c>
      <c r="J318" s="470">
        <v>1316.8</v>
      </c>
      <c r="K318" s="469">
        <v>1.1499999999999999</v>
      </c>
    </row>
    <row r="319" spans="2:11" x14ac:dyDescent="0.35">
      <c r="B319" s="62">
        <v>17.5</v>
      </c>
      <c r="C319" s="471">
        <v>335</v>
      </c>
      <c r="D319" s="471">
        <v>334</v>
      </c>
      <c r="E319" s="469">
        <v>40.61</v>
      </c>
      <c r="F319" s="469">
        <v>1.5</v>
      </c>
      <c r="G319" s="469">
        <v>3.6</v>
      </c>
      <c r="H319" s="470">
        <v>182</v>
      </c>
      <c r="I319" s="470">
        <v>896</v>
      </c>
      <c r="J319" s="470">
        <v>1282.9000000000001</v>
      </c>
      <c r="K319" s="469">
        <v>1.1499999999999999</v>
      </c>
    </row>
    <row r="320" spans="2:11" x14ac:dyDescent="0.35">
      <c r="B320" s="62">
        <v>17.5</v>
      </c>
      <c r="C320" s="471">
        <v>336</v>
      </c>
      <c r="D320" s="471">
        <v>335</v>
      </c>
      <c r="E320" s="469">
        <v>49.05</v>
      </c>
      <c r="F320" s="469">
        <v>2</v>
      </c>
      <c r="G320" s="469">
        <v>4.0999999999999996</v>
      </c>
      <c r="H320" s="470">
        <v>182</v>
      </c>
      <c r="I320" s="470">
        <v>896</v>
      </c>
      <c r="J320" s="470">
        <v>1344</v>
      </c>
      <c r="K320" s="469">
        <v>1.1499999999999999</v>
      </c>
    </row>
    <row r="321" spans="2:11" x14ac:dyDescent="0.35">
      <c r="B321" s="62">
        <v>17.5</v>
      </c>
      <c r="C321" s="471">
        <v>337</v>
      </c>
      <c r="D321" s="471">
        <v>336</v>
      </c>
      <c r="E321" s="469">
        <v>51.4</v>
      </c>
      <c r="F321" s="469">
        <v>2.8</v>
      </c>
      <c r="G321" s="469">
        <v>5</v>
      </c>
      <c r="H321" s="470">
        <v>182</v>
      </c>
      <c r="I321" s="470">
        <v>895</v>
      </c>
      <c r="J321" s="470">
        <v>1381.8</v>
      </c>
      <c r="K321" s="469">
        <v>1.1499999999999999</v>
      </c>
    </row>
    <row r="322" spans="2:11" x14ac:dyDescent="0.35">
      <c r="B322" s="62">
        <v>17.5</v>
      </c>
      <c r="C322" s="471">
        <v>338</v>
      </c>
      <c r="D322" s="471">
        <v>337</v>
      </c>
      <c r="E322" s="469">
        <v>42.12</v>
      </c>
      <c r="F322" s="469">
        <v>2.8</v>
      </c>
      <c r="G322" s="469">
        <v>5.5</v>
      </c>
      <c r="H322" s="470">
        <v>182</v>
      </c>
      <c r="I322" s="470">
        <v>892</v>
      </c>
      <c r="J322" s="470">
        <v>1406.6</v>
      </c>
      <c r="K322" s="469">
        <v>1.1499999999999999</v>
      </c>
    </row>
    <row r="323" spans="2:11" x14ac:dyDescent="0.35">
      <c r="B323" s="62">
        <v>17.5</v>
      </c>
      <c r="C323" s="471">
        <v>339</v>
      </c>
      <c r="D323" s="471">
        <v>338</v>
      </c>
      <c r="E323" s="469">
        <v>54.5</v>
      </c>
      <c r="F323" s="469">
        <v>1.9</v>
      </c>
      <c r="G323" s="469">
        <v>5</v>
      </c>
      <c r="H323" s="470">
        <v>182</v>
      </c>
      <c r="I323" s="470">
        <v>896</v>
      </c>
      <c r="J323" s="470">
        <v>1370.9</v>
      </c>
      <c r="K323" s="469">
        <v>1.1499999999999999</v>
      </c>
    </row>
    <row r="324" spans="2:11" x14ac:dyDescent="0.35">
      <c r="B324" s="62">
        <v>17.5</v>
      </c>
      <c r="C324" s="471">
        <v>340</v>
      </c>
      <c r="D324" s="471">
        <v>339</v>
      </c>
      <c r="E324" s="469">
        <v>55.5</v>
      </c>
      <c r="F324" s="469">
        <v>2.5</v>
      </c>
      <c r="G324" s="469">
        <v>4.5999999999999996</v>
      </c>
      <c r="H324" s="470">
        <v>187</v>
      </c>
      <c r="I324" s="470">
        <v>940</v>
      </c>
      <c r="J324" s="470">
        <v>1558.8</v>
      </c>
      <c r="K324" s="469">
        <v>1.1499999999999999</v>
      </c>
    </row>
    <row r="325" spans="2:11" x14ac:dyDescent="0.35">
      <c r="B325" s="62">
        <v>17.5</v>
      </c>
      <c r="C325" s="471">
        <v>341</v>
      </c>
      <c r="D325" s="471">
        <v>340</v>
      </c>
      <c r="E325" s="469">
        <v>43.81</v>
      </c>
      <c r="F325" s="469">
        <v>1.8</v>
      </c>
      <c r="G325" s="469">
        <v>3.9</v>
      </c>
      <c r="H325" s="470">
        <v>189</v>
      </c>
      <c r="I325" s="470">
        <v>961</v>
      </c>
      <c r="J325" s="470">
        <v>1557.4</v>
      </c>
      <c r="K325" s="469">
        <v>1.1499999999999999</v>
      </c>
    </row>
    <row r="326" spans="2:11" x14ac:dyDescent="0.35">
      <c r="B326" s="62">
        <v>17.5</v>
      </c>
      <c r="C326" s="471">
        <v>342</v>
      </c>
      <c r="D326" s="471">
        <v>341</v>
      </c>
      <c r="E326" s="469">
        <v>56.59</v>
      </c>
      <c r="F326" s="469">
        <v>2.1</v>
      </c>
      <c r="G326" s="469">
        <v>4</v>
      </c>
      <c r="H326" s="470">
        <v>189</v>
      </c>
      <c r="I326" s="470">
        <v>963</v>
      </c>
      <c r="J326" s="470">
        <v>1590.2</v>
      </c>
      <c r="K326" s="469">
        <v>1.1499999999999999</v>
      </c>
    </row>
    <row r="327" spans="2:11" x14ac:dyDescent="0.35">
      <c r="B327" s="62">
        <v>17.5</v>
      </c>
      <c r="C327" s="471">
        <v>343</v>
      </c>
      <c r="D327" s="471">
        <v>342</v>
      </c>
      <c r="E327" s="469">
        <v>47.04</v>
      </c>
      <c r="F327" s="469">
        <v>2.1</v>
      </c>
      <c r="G327" s="469">
        <v>4</v>
      </c>
      <c r="H327" s="470">
        <v>189</v>
      </c>
      <c r="I327" s="470">
        <v>962</v>
      </c>
      <c r="J327" s="470">
        <v>1582.9</v>
      </c>
      <c r="K327" s="469">
        <v>1.1499999999999999</v>
      </c>
    </row>
    <row r="328" spans="2:11" x14ac:dyDescent="0.35">
      <c r="B328" s="62">
        <v>17.5</v>
      </c>
      <c r="C328" s="471">
        <v>344</v>
      </c>
      <c r="D328" s="471">
        <v>343</v>
      </c>
      <c r="E328" s="469">
        <v>45.59</v>
      </c>
      <c r="F328" s="469">
        <v>1.9</v>
      </c>
      <c r="G328" s="469">
        <v>3.8</v>
      </c>
      <c r="H328" s="470">
        <v>190</v>
      </c>
      <c r="I328" s="470">
        <v>963</v>
      </c>
      <c r="J328" s="470">
        <v>1565.1</v>
      </c>
      <c r="K328" s="469">
        <v>1.1499999999999999</v>
      </c>
    </row>
    <row r="329" spans="2:11" x14ac:dyDescent="0.35">
      <c r="B329" s="62">
        <v>17.5</v>
      </c>
      <c r="C329" s="471">
        <v>345</v>
      </c>
      <c r="D329" s="471">
        <v>344</v>
      </c>
      <c r="E329" s="469">
        <v>47.31</v>
      </c>
      <c r="F329" s="469">
        <v>1.7</v>
      </c>
      <c r="G329" s="469">
        <v>3.6</v>
      </c>
      <c r="H329" s="470">
        <v>189</v>
      </c>
      <c r="I329" s="470">
        <v>961</v>
      </c>
      <c r="J329" s="470">
        <v>1557.9</v>
      </c>
      <c r="K329" s="469">
        <v>1.1499999999999999</v>
      </c>
    </row>
    <row r="330" spans="2:11" x14ac:dyDescent="0.35">
      <c r="B330" s="62">
        <v>17.5</v>
      </c>
      <c r="C330" s="471">
        <v>346</v>
      </c>
      <c r="D330" s="471">
        <v>345</v>
      </c>
      <c r="E330" s="469">
        <v>45.98</v>
      </c>
      <c r="F330" s="469">
        <v>1.8</v>
      </c>
      <c r="G330" s="469">
        <v>4</v>
      </c>
      <c r="H330" s="470">
        <v>189</v>
      </c>
      <c r="I330" s="470">
        <v>961</v>
      </c>
      <c r="J330" s="470">
        <v>1542.4</v>
      </c>
      <c r="K330" s="469">
        <v>1.1499999999999999</v>
      </c>
    </row>
    <row r="331" spans="2:11" x14ac:dyDescent="0.35">
      <c r="B331" s="62">
        <v>17.5</v>
      </c>
      <c r="C331" s="471">
        <v>347</v>
      </c>
      <c r="D331" s="471">
        <v>346</v>
      </c>
      <c r="E331" s="469">
        <v>50.34</v>
      </c>
      <c r="F331" s="469">
        <v>2.5</v>
      </c>
      <c r="G331" s="469">
        <v>4.7</v>
      </c>
      <c r="H331" s="470">
        <v>189</v>
      </c>
      <c r="I331" s="470">
        <v>961</v>
      </c>
      <c r="J331" s="470">
        <v>1632.4</v>
      </c>
      <c r="K331" s="469">
        <v>1.1499999999999999</v>
      </c>
    </row>
    <row r="332" spans="2:11" x14ac:dyDescent="0.35">
      <c r="B332" s="62">
        <v>17.5</v>
      </c>
      <c r="C332" s="471">
        <v>348</v>
      </c>
      <c r="D332" s="471">
        <v>347</v>
      </c>
      <c r="E332" s="469">
        <v>64.86</v>
      </c>
      <c r="F332" s="469">
        <v>3</v>
      </c>
      <c r="G332" s="469">
        <v>5.5</v>
      </c>
      <c r="H332" s="470">
        <v>189</v>
      </c>
      <c r="I332" s="470">
        <v>962</v>
      </c>
      <c r="J332" s="470">
        <v>1724.1</v>
      </c>
      <c r="K332" s="469">
        <v>1.1499999999999999</v>
      </c>
    </row>
    <row r="333" spans="2:11" x14ac:dyDescent="0.35">
      <c r="B333" s="62">
        <v>17.5</v>
      </c>
      <c r="C333" s="471">
        <v>349</v>
      </c>
      <c r="D333" s="471">
        <v>348</v>
      </c>
      <c r="E333" s="469">
        <v>28.08</v>
      </c>
      <c r="F333" s="469">
        <v>1.9</v>
      </c>
      <c r="G333" s="469">
        <v>4</v>
      </c>
      <c r="H333" s="470">
        <v>189</v>
      </c>
      <c r="I333" s="470">
        <v>961</v>
      </c>
      <c r="J333" s="470">
        <v>1562.6</v>
      </c>
      <c r="K333" s="469">
        <v>1.1499999999999999</v>
      </c>
    </row>
    <row r="334" spans="2:11" x14ac:dyDescent="0.35">
      <c r="B334" s="62">
        <v>17.5</v>
      </c>
      <c r="C334" s="471">
        <v>350</v>
      </c>
      <c r="D334" s="471">
        <v>349</v>
      </c>
      <c r="E334" s="469">
        <v>40.270000000000003</v>
      </c>
      <c r="F334" s="469">
        <v>2.1</v>
      </c>
      <c r="G334" s="469">
        <v>3.5</v>
      </c>
      <c r="H334" s="470">
        <v>189</v>
      </c>
      <c r="I334" s="470">
        <v>956</v>
      </c>
      <c r="J334" s="470">
        <v>1516.9</v>
      </c>
      <c r="K334" s="469">
        <v>1.1499999999999999</v>
      </c>
    </row>
    <row r="335" spans="2:11" x14ac:dyDescent="0.35">
      <c r="B335" s="62">
        <v>17.5</v>
      </c>
      <c r="C335" s="471">
        <v>351</v>
      </c>
      <c r="D335" s="471">
        <v>350</v>
      </c>
      <c r="E335" s="469">
        <v>14.75</v>
      </c>
      <c r="F335" s="469">
        <v>1.1000000000000001</v>
      </c>
      <c r="G335" s="469">
        <v>2.5</v>
      </c>
      <c r="H335" s="470">
        <v>191</v>
      </c>
      <c r="I335" s="470">
        <v>968</v>
      </c>
      <c r="J335" s="470">
        <v>1429.5</v>
      </c>
      <c r="K335" s="469">
        <v>1.1499999999999999</v>
      </c>
    </row>
    <row r="336" spans="2:11" x14ac:dyDescent="0.35">
      <c r="B336" s="62">
        <v>17.5</v>
      </c>
      <c r="C336" s="471">
        <v>352</v>
      </c>
      <c r="D336" s="471">
        <v>351</v>
      </c>
      <c r="E336" s="469">
        <v>16.329999999999998</v>
      </c>
      <c r="F336" s="469">
        <v>2.2999999999999998</v>
      </c>
      <c r="G336" s="469">
        <v>3.5</v>
      </c>
      <c r="H336" s="470">
        <v>191</v>
      </c>
      <c r="I336" s="470">
        <v>934</v>
      </c>
      <c r="J336" s="470">
        <v>1438.9</v>
      </c>
      <c r="K336" s="469">
        <v>1.1499999999999999</v>
      </c>
    </row>
    <row r="337" spans="2:11" x14ac:dyDescent="0.35">
      <c r="B337" s="62">
        <v>17.5</v>
      </c>
      <c r="C337" s="471">
        <v>353</v>
      </c>
      <c r="D337" s="471">
        <v>352</v>
      </c>
      <c r="E337" s="469">
        <v>45.69</v>
      </c>
      <c r="F337" s="469">
        <v>2.7</v>
      </c>
      <c r="G337" s="469">
        <v>3.9</v>
      </c>
      <c r="H337" s="470">
        <v>191</v>
      </c>
      <c r="I337" s="470">
        <v>934</v>
      </c>
      <c r="J337" s="470">
        <v>1518.2</v>
      </c>
      <c r="K337" s="469">
        <v>1.1499999999999999</v>
      </c>
    </row>
    <row r="338" spans="2:11" x14ac:dyDescent="0.35">
      <c r="B338" s="62">
        <v>17.5</v>
      </c>
      <c r="C338" s="471">
        <v>354</v>
      </c>
      <c r="D338" s="471">
        <v>353</v>
      </c>
      <c r="E338" s="469">
        <v>29.51</v>
      </c>
      <c r="F338" s="469">
        <v>2.2000000000000002</v>
      </c>
      <c r="G338" s="469">
        <v>3.3</v>
      </c>
      <c r="H338" s="470">
        <v>191</v>
      </c>
      <c r="I338" s="470">
        <v>937</v>
      </c>
      <c r="J338" s="470">
        <v>1452.7</v>
      </c>
      <c r="K338" s="469">
        <v>1.1499999999999999</v>
      </c>
    </row>
    <row r="339" spans="2:11" x14ac:dyDescent="0.35">
      <c r="B339" s="62">
        <v>17.5</v>
      </c>
      <c r="C339" s="471">
        <v>355</v>
      </c>
      <c r="D339" s="471">
        <v>354</v>
      </c>
      <c r="E339" s="469">
        <v>31.07</v>
      </c>
      <c r="F339" s="469">
        <v>3.3</v>
      </c>
      <c r="G339" s="469">
        <v>4.4000000000000004</v>
      </c>
      <c r="H339" s="470">
        <v>191</v>
      </c>
      <c r="I339" s="470">
        <v>933</v>
      </c>
      <c r="J339" s="470">
        <v>1554.9</v>
      </c>
      <c r="K339" s="469">
        <v>1.1499999999999999</v>
      </c>
    </row>
    <row r="340" spans="2:11" x14ac:dyDescent="0.35">
      <c r="B340" s="62">
        <v>17.5</v>
      </c>
      <c r="C340" s="471">
        <v>356</v>
      </c>
      <c r="D340" s="471">
        <v>355</v>
      </c>
      <c r="E340" s="469">
        <v>36.53</v>
      </c>
      <c r="F340" s="469">
        <v>3.8</v>
      </c>
      <c r="G340" s="469">
        <v>4.5999999999999996</v>
      </c>
      <c r="H340" s="470">
        <v>191</v>
      </c>
      <c r="I340" s="470">
        <v>933</v>
      </c>
      <c r="J340" s="470">
        <v>1557.4</v>
      </c>
      <c r="K340" s="469">
        <v>1.1499999999999999</v>
      </c>
    </row>
    <row r="341" spans="2:11" x14ac:dyDescent="0.35">
      <c r="B341" s="62">
        <v>17.5</v>
      </c>
      <c r="C341" s="471">
        <v>357</v>
      </c>
      <c r="D341" s="471">
        <v>356</v>
      </c>
      <c r="E341" s="469">
        <v>52.32</v>
      </c>
      <c r="F341" s="469">
        <v>4.4000000000000004</v>
      </c>
      <c r="G341" s="469">
        <v>5.4</v>
      </c>
      <c r="H341" s="470">
        <v>191</v>
      </c>
      <c r="I341" s="470">
        <v>933</v>
      </c>
      <c r="J341" s="470">
        <v>1624.8</v>
      </c>
      <c r="K341" s="469">
        <v>1.1499999999999999</v>
      </c>
    </row>
    <row r="342" spans="2:11" x14ac:dyDescent="0.35">
      <c r="B342" s="62">
        <v>17.5</v>
      </c>
      <c r="C342" s="471">
        <v>358</v>
      </c>
      <c r="D342" s="471">
        <v>357</v>
      </c>
      <c r="E342" s="469">
        <v>43.33</v>
      </c>
      <c r="F342" s="469">
        <v>3.5</v>
      </c>
      <c r="G342" s="469">
        <v>4.3</v>
      </c>
      <c r="H342" s="470">
        <v>191</v>
      </c>
      <c r="I342" s="470">
        <v>934</v>
      </c>
      <c r="J342" s="470">
        <v>1563.7</v>
      </c>
      <c r="K342" s="469">
        <v>1.1499999999999999</v>
      </c>
    </row>
    <row r="343" spans="2:11" x14ac:dyDescent="0.35">
      <c r="B343" s="62">
        <v>17.5</v>
      </c>
      <c r="C343" s="471">
        <v>359</v>
      </c>
      <c r="D343" s="471">
        <v>358</v>
      </c>
      <c r="E343" s="469">
        <v>41.71</v>
      </c>
      <c r="F343" s="469">
        <v>3.7</v>
      </c>
      <c r="G343" s="469">
        <v>5</v>
      </c>
      <c r="H343" s="470">
        <v>191</v>
      </c>
      <c r="I343" s="470">
        <v>933</v>
      </c>
      <c r="J343" s="470">
        <v>1569.7</v>
      </c>
      <c r="K343" s="469">
        <v>1.1499999999999999</v>
      </c>
    </row>
    <row r="344" spans="2:11" x14ac:dyDescent="0.35">
      <c r="B344" s="62">
        <v>17.5</v>
      </c>
      <c r="C344" s="471">
        <v>360</v>
      </c>
      <c r="D344" s="471">
        <v>359</v>
      </c>
      <c r="E344" s="469">
        <v>43.92</v>
      </c>
      <c r="F344" s="469">
        <v>3.9</v>
      </c>
      <c r="G344" s="469">
        <v>4.3</v>
      </c>
      <c r="H344" s="470">
        <v>191</v>
      </c>
      <c r="I344" s="470">
        <v>934</v>
      </c>
      <c r="J344" s="470">
        <v>1567.5</v>
      </c>
      <c r="K344" s="469">
        <v>1.1499999999999999</v>
      </c>
    </row>
    <row r="345" spans="2:11" x14ac:dyDescent="0.35">
      <c r="B345" s="62">
        <v>17.5</v>
      </c>
      <c r="C345" s="471">
        <v>361</v>
      </c>
      <c r="D345" s="471">
        <v>360</v>
      </c>
      <c r="E345" s="469">
        <v>68.53</v>
      </c>
      <c r="F345" s="469">
        <v>4.5999999999999996</v>
      </c>
      <c r="G345" s="469">
        <v>5.9</v>
      </c>
      <c r="H345" s="470">
        <v>190</v>
      </c>
      <c r="I345" s="470">
        <v>929</v>
      </c>
      <c r="J345" s="470">
        <v>1690.2</v>
      </c>
      <c r="K345" s="469">
        <v>1.1499999999999999</v>
      </c>
    </row>
    <row r="346" spans="2:11" x14ac:dyDescent="0.35">
      <c r="B346" s="62">
        <v>17.5</v>
      </c>
      <c r="C346" s="471">
        <v>362</v>
      </c>
      <c r="D346" s="471">
        <v>361</v>
      </c>
      <c r="E346" s="469">
        <v>73.13</v>
      </c>
      <c r="F346" s="469">
        <v>3.8</v>
      </c>
      <c r="G346" s="469">
        <v>5.6</v>
      </c>
      <c r="H346" s="470">
        <v>191</v>
      </c>
      <c r="I346" s="470">
        <v>933</v>
      </c>
      <c r="J346" s="470">
        <v>1651</v>
      </c>
      <c r="K346" s="469">
        <v>1.1499999999999999</v>
      </c>
    </row>
    <row r="347" spans="2:11" x14ac:dyDescent="0.35">
      <c r="B347" s="62">
        <v>17.5</v>
      </c>
      <c r="C347" s="471">
        <v>363</v>
      </c>
      <c r="D347" s="471">
        <v>362</v>
      </c>
      <c r="E347" s="469">
        <v>82.38</v>
      </c>
      <c r="F347" s="469">
        <v>3.9</v>
      </c>
      <c r="G347" s="469">
        <v>6.6</v>
      </c>
      <c r="H347" s="470">
        <v>190</v>
      </c>
      <c r="I347" s="470">
        <v>932</v>
      </c>
      <c r="J347" s="470">
        <v>1693</v>
      </c>
      <c r="K347" s="469">
        <v>1.1499999999999999</v>
      </c>
    </row>
    <row r="348" spans="2:11" x14ac:dyDescent="0.35">
      <c r="B348" s="62">
        <v>17.5</v>
      </c>
      <c r="C348" s="471">
        <v>364</v>
      </c>
      <c r="D348" s="471">
        <v>363</v>
      </c>
      <c r="E348" s="469">
        <v>71.069999999999993</v>
      </c>
      <c r="F348" s="469">
        <v>4.0999999999999996</v>
      </c>
      <c r="G348" s="469">
        <v>5.4</v>
      </c>
      <c r="H348" s="470">
        <v>191</v>
      </c>
      <c r="I348" s="470">
        <v>932</v>
      </c>
      <c r="J348" s="470">
        <v>1690.8</v>
      </c>
      <c r="K348" s="469">
        <v>1.1499999999999999</v>
      </c>
    </row>
    <row r="349" spans="2:11" x14ac:dyDescent="0.35">
      <c r="B349" s="62">
        <v>17.5</v>
      </c>
      <c r="C349" s="471">
        <v>365</v>
      </c>
      <c r="D349" s="471">
        <v>364</v>
      </c>
      <c r="E349" s="469">
        <v>51.22</v>
      </c>
      <c r="F349" s="469">
        <v>3</v>
      </c>
      <c r="G349" s="469">
        <v>4.5</v>
      </c>
      <c r="H349" s="470">
        <v>191</v>
      </c>
      <c r="I349" s="470">
        <v>934</v>
      </c>
      <c r="J349" s="470">
        <v>1571.7</v>
      </c>
      <c r="K349" s="469">
        <v>1.1499999999999999</v>
      </c>
    </row>
    <row r="350" spans="2:11" x14ac:dyDescent="0.35">
      <c r="B350" s="62">
        <v>17.5</v>
      </c>
      <c r="C350" s="471">
        <v>366</v>
      </c>
      <c r="D350" s="471">
        <v>365</v>
      </c>
      <c r="E350" s="469">
        <v>71.819999999999993</v>
      </c>
      <c r="F350" s="469">
        <v>3.8</v>
      </c>
      <c r="G350" s="469">
        <v>5.9</v>
      </c>
      <c r="H350" s="470">
        <v>190</v>
      </c>
      <c r="I350" s="470">
        <v>929</v>
      </c>
      <c r="J350" s="470">
        <v>1683.8</v>
      </c>
      <c r="K350" s="469">
        <v>1.1499999999999999</v>
      </c>
    </row>
    <row r="351" spans="2:11" x14ac:dyDescent="0.35">
      <c r="B351" s="62">
        <v>17.5</v>
      </c>
      <c r="C351" s="471">
        <v>367</v>
      </c>
      <c r="D351" s="471">
        <v>366</v>
      </c>
      <c r="E351" s="469">
        <v>84.29</v>
      </c>
      <c r="F351" s="469">
        <v>4</v>
      </c>
      <c r="G351" s="469">
        <v>6.1</v>
      </c>
      <c r="H351" s="470">
        <v>191</v>
      </c>
      <c r="I351" s="470">
        <v>932</v>
      </c>
      <c r="J351" s="470">
        <v>1696.3</v>
      </c>
      <c r="K351" s="469">
        <v>1.1499999999999999</v>
      </c>
    </row>
    <row r="352" spans="2:11" x14ac:dyDescent="0.35">
      <c r="B352" s="62">
        <v>17.5</v>
      </c>
      <c r="C352" s="471">
        <v>368</v>
      </c>
      <c r="D352" s="471">
        <v>367</v>
      </c>
      <c r="E352" s="469">
        <v>74.11</v>
      </c>
      <c r="F352" s="469">
        <v>3.8</v>
      </c>
      <c r="G352" s="469">
        <v>6.1</v>
      </c>
      <c r="H352" s="470">
        <v>190</v>
      </c>
      <c r="I352" s="470">
        <v>931</v>
      </c>
      <c r="J352" s="470">
        <v>1669.6</v>
      </c>
      <c r="K352" s="469">
        <v>1.1499999999999999</v>
      </c>
    </row>
    <row r="353" spans="2:11" x14ac:dyDescent="0.35">
      <c r="B353" s="62">
        <v>17.5</v>
      </c>
      <c r="C353" s="471">
        <v>369</v>
      </c>
      <c r="D353" s="471">
        <v>368</v>
      </c>
      <c r="E353" s="469">
        <v>69.7</v>
      </c>
      <c r="F353" s="469">
        <v>3.9</v>
      </c>
      <c r="G353" s="469">
        <v>5.5</v>
      </c>
      <c r="H353" s="470">
        <v>191</v>
      </c>
      <c r="I353" s="470">
        <v>935</v>
      </c>
      <c r="J353" s="470">
        <v>1646</v>
      </c>
      <c r="K353" s="469">
        <v>1.1499999999999999</v>
      </c>
    </row>
    <row r="354" spans="2:11" x14ac:dyDescent="0.35">
      <c r="B354" s="62">
        <v>17.5</v>
      </c>
      <c r="C354" s="471">
        <v>370</v>
      </c>
      <c r="D354" s="471">
        <v>369</v>
      </c>
      <c r="E354" s="469">
        <v>46.47</v>
      </c>
      <c r="F354" s="469">
        <v>4.4000000000000004</v>
      </c>
      <c r="G354" s="469">
        <v>5.9</v>
      </c>
      <c r="H354" s="470">
        <v>187</v>
      </c>
      <c r="I354" s="470">
        <v>925</v>
      </c>
      <c r="J354" s="470">
        <v>1720.9</v>
      </c>
      <c r="K354" s="469">
        <v>1.1499999999999999</v>
      </c>
    </row>
    <row r="355" spans="2:11" x14ac:dyDescent="0.35">
      <c r="B355" s="62">
        <v>17.5</v>
      </c>
      <c r="C355" s="471">
        <v>371</v>
      </c>
      <c r="D355" s="471">
        <v>370</v>
      </c>
      <c r="E355" s="469">
        <v>50.51</v>
      </c>
      <c r="F355" s="469">
        <v>4.2</v>
      </c>
      <c r="G355" s="469">
        <v>4.9000000000000004</v>
      </c>
      <c r="H355" s="470">
        <v>191</v>
      </c>
      <c r="I355" s="470">
        <v>933</v>
      </c>
      <c r="J355" s="470">
        <v>1620.7</v>
      </c>
      <c r="K355" s="469">
        <v>1.1499999999999999</v>
      </c>
    </row>
    <row r="356" spans="2:11" x14ac:dyDescent="0.35">
      <c r="B356" s="62">
        <v>17.5</v>
      </c>
      <c r="C356" s="471">
        <v>372</v>
      </c>
      <c r="D356" s="471">
        <v>371</v>
      </c>
      <c r="E356" s="469">
        <v>61.19</v>
      </c>
      <c r="F356" s="469">
        <v>3</v>
      </c>
      <c r="G356" s="469">
        <v>5.0999999999999996</v>
      </c>
      <c r="H356" s="470">
        <v>191</v>
      </c>
      <c r="I356" s="470">
        <v>935</v>
      </c>
      <c r="J356" s="470">
        <v>1615.3</v>
      </c>
      <c r="K356" s="469">
        <v>1.1499999999999999</v>
      </c>
    </row>
    <row r="357" spans="2:11" x14ac:dyDescent="0.35">
      <c r="B357" s="62">
        <v>17.5</v>
      </c>
      <c r="C357" s="471">
        <v>373</v>
      </c>
      <c r="D357" s="471">
        <v>372</v>
      </c>
      <c r="E357" s="469">
        <v>61.23</v>
      </c>
      <c r="F357" s="469">
        <v>2.5</v>
      </c>
      <c r="G357" s="469">
        <v>3.7</v>
      </c>
      <c r="H357" s="470">
        <v>191</v>
      </c>
      <c r="I357" s="470">
        <v>934</v>
      </c>
      <c r="J357" s="470">
        <v>1515.6</v>
      </c>
      <c r="K357" s="469">
        <v>1.1499999999999999</v>
      </c>
    </row>
    <row r="358" spans="2:11" x14ac:dyDescent="0.35">
      <c r="B358" s="62">
        <v>17.5</v>
      </c>
      <c r="C358" s="471">
        <v>374</v>
      </c>
      <c r="D358" s="471">
        <v>373</v>
      </c>
      <c r="E358" s="469">
        <v>44.59</v>
      </c>
      <c r="F358" s="469">
        <v>1.7</v>
      </c>
      <c r="G358" s="469">
        <v>3.2</v>
      </c>
      <c r="H358" s="470">
        <v>191</v>
      </c>
      <c r="I358" s="470">
        <v>935</v>
      </c>
      <c r="J358" s="470">
        <v>1425.2</v>
      </c>
      <c r="K358" s="469">
        <v>1.1499999999999999</v>
      </c>
    </row>
    <row r="359" spans="2:11" x14ac:dyDescent="0.35">
      <c r="B359" s="62">
        <v>17.5</v>
      </c>
      <c r="C359" s="471">
        <v>375</v>
      </c>
      <c r="D359" s="471">
        <v>374</v>
      </c>
      <c r="E359" s="469">
        <v>71.27</v>
      </c>
      <c r="F359" s="469">
        <v>2.5</v>
      </c>
      <c r="G359" s="469">
        <v>4.8</v>
      </c>
      <c r="H359" s="470">
        <v>191</v>
      </c>
      <c r="I359" s="470">
        <v>935</v>
      </c>
      <c r="J359" s="470">
        <v>1474.9</v>
      </c>
      <c r="K359" s="469">
        <v>1.1499999999999999</v>
      </c>
    </row>
    <row r="360" spans="2:11" x14ac:dyDescent="0.35">
      <c r="B360" s="62">
        <v>17.5</v>
      </c>
      <c r="C360" s="471">
        <v>376</v>
      </c>
      <c r="D360" s="471">
        <v>375</v>
      </c>
      <c r="E360" s="469">
        <v>62.25</v>
      </c>
      <c r="F360" s="469">
        <v>2.1</v>
      </c>
      <c r="G360" s="469">
        <v>4.4000000000000004</v>
      </c>
      <c r="H360" s="470">
        <v>191</v>
      </c>
      <c r="I360" s="470">
        <v>936</v>
      </c>
      <c r="J360" s="470">
        <v>1441</v>
      </c>
      <c r="K360" s="469">
        <v>1.1499999999999999</v>
      </c>
    </row>
    <row r="361" spans="2:11" x14ac:dyDescent="0.35">
      <c r="B361" s="62">
        <v>17.5</v>
      </c>
      <c r="C361" s="471">
        <v>377</v>
      </c>
      <c r="D361" s="471">
        <v>376</v>
      </c>
      <c r="E361" s="469">
        <v>63.81</v>
      </c>
      <c r="F361" s="469">
        <v>2.2999999999999998</v>
      </c>
      <c r="G361" s="469">
        <v>4.5</v>
      </c>
      <c r="H361" s="470">
        <v>191</v>
      </c>
      <c r="I361" s="470">
        <v>934</v>
      </c>
      <c r="J361" s="470">
        <v>1445.1</v>
      </c>
      <c r="K361" s="469">
        <v>1.1499999999999999</v>
      </c>
    </row>
    <row r="362" spans="2:11" x14ac:dyDescent="0.35">
      <c r="B362" s="62">
        <v>17.5</v>
      </c>
      <c r="C362" s="471">
        <v>378</v>
      </c>
      <c r="D362" s="471">
        <v>377</v>
      </c>
      <c r="E362" s="469">
        <v>40.61</v>
      </c>
      <c r="F362" s="469">
        <v>3.6</v>
      </c>
      <c r="G362" s="469">
        <v>5</v>
      </c>
      <c r="H362" s="470">
        <v>191</v>
      </c>
      <c r="I362" s="470">
        <v>933</v>
      </c>
      <c r="J362" s="470">
        <v>1477.7</v>
      </c>
      <c r="K362" s="469">
        <v>1.1499999999999999</v>
      </c>
    </row>
    <row r="363" spans="2:11" x14ac:dyDescent="0.35">
      <c r="B363" s="62">
        <v>17.5</v>
      </c>
      <c r="C363" s="471">
        <v>379</v>
      </c>
      <c r="D363" s="471">
        <v>378</v>
      </c>
      <c r="E363" s="469">
        <v>61.74</v>
      </c>
      <c r="F363" s="469">
        <v>2.9</v>
      </c>
      <c r="G363" s="469">
        <v>4.9000000000000004</v>
      </c>
      <c r="H363" s="470">
        <v>191</v>
      </c>
      <c r="I363" s="470">
        <v>936</v>
      </c>
      <c r="J363" s="470">
        <v>1466.6</v>
      </c>
      <c r="K363" s="469">
        <v>1.1599999999999999</v>
      </c>
    </row>
    <row r="364" spans="2:11" x14ac:dyDescent="0.35">
      <c r="B364" s="62">
        <v>17.5</v>
      </c>
      <c r="C364" s="471">
        <v>380</v>
      </c>
      <c r="D364" s="471">
        <v>380</v>
      </c>
      <c r="E364" s="469">
        <v>26.66</v>
      </c>
      <c r="F364" s="469">
        <v>2.5</v>
      </c>
      <c r="G364" s="469">
        <v>3.6</v>
      </c>
      <c r="H364" s="470">
        <v>188</v>
      </c>
      <c r="I364" s="470">
        <v>911</v>
      </c>
      <c r="J364" s="470">
        <v>1241.9000000000001</v>
      </c>
      <c r="K364" s="469">
        <v>1.1599999999999999</v>
      </c>
    </row>
    <row r="365" spans="2:11" x14ac:dyDescent="0.35">
      <c r="B365" s="62">
        <v>17.5</v>
      </c>
      <c r="C365" s="471">
        <v>381</v>
      </c>
      <c r="D365" s="471">
        <v>381</v>
      </c>
      <c r="E365" s="469">
        <v>37.57</v>
      </c>
      <c r="F365" s="469">
        <v>2.5</v>
      </c>
      <c r="G365" s="469">
        <v>3.4</v>
      </c>
      <c r="H365" s="470">
        <v>189</v>
      </c>
      <c r="I365" s="470">
        <v>917</v>
      </c>
      <c r="J365" s="470">
        <v>1233.3</v>
      </c>
      <c r="K365" s="469">
        <v>1.1599999999999999</v>
      </c>
    </row>
    <row r="366" spans="2:11" x14ac:dyDescent="0.35">
      <c r="B366" s="62">
        <v>17.5</v>
      </c>
      <c r="C366" s="471">
        <v>382</v>
      </c>
      <c r="D366" s="471">
        <v>382</v>
      </c>
      <c r="E366" s="469">
        <v>39.479999999999997</v>
      </c>
      <c r="F366" s="469">
        <v>3.5</v>
      </c>
      <c r="G366" s="469">
        <v>3.8</v>
      </c>
      <c r="H366" s="470">
        <v>188</v>
      </c>
      <c r="I366" s="470">
        <v>912</v>
      </c>
      <c r="J366" s="470">
        <v>1270.3</v>
      </c>
      <c r="K366" s="469">
        <v>1.1599999999999999</v>
      </c>
    </row>
    <row r="367" spans="2:11" x14ac:dyDescent="0.35">
      <c r="B367" s="62">
        <v>17.5</v>
      </c>
      <c r="C367" s="471">
        <v>383</v>
      </c>
      <c r="D367" s="471">
        <v>383</v>
      </c>
      <c r="E367" s="469">
        <v>39.83</v>
      </c>
      <c r="F367" s="469">
        <v>3</v>
      </c>
      <c r="G367" s="469">
        <v>3.7</v>
      </c>
      <c r="H367" s="470">
        <v>188</v>
      </c>
      <c r="I367" s="470">
        <v>914</v>
      </c>
      <c r="J367" s="470">
        <v>1240.5</v>
      </c>
      <c r="K367" s="469">
        <v>1.1599999999999999</v>
      </c>
    </row>
    <row r="368" spans="2:11" x14ac:dyDescent="0.35">
      <c r="B368" s="62">
        <v>17.5</v>
      </c>
      <c r="C368" s="471">
        <v>384</v>
      </c>
      <c r="D368" s="471">
        <v>384</v>
      </c>
      <c r="E368" s="469">
        <v>49.13</v>
      </c>
      <c r="F368" s="469">
        <v>3.8</v>
      </c>
      <c r="G368" s="469">
        <v>4.8</v>
      </c>
      <c r="H368" s="470">
        <v>188</v>
      </c>
      <c r="I368" s="470">
        <v>911</v>
      </c>
      <c r="J368" s="470">
        <v>1286.0999999999999</v>
      </c>
      <c r="K368" s="469">
        <v>1.1599999999999999</v>
      </c>
    </row>
    <row r="369" spans="2:11" x14ac:dyDescent="0.35">
      <c r="B369" s="62">
        <v>17.5</v>
      </c>
      <c r="C369" s="471">
        <v>385</v>
      </c>
      <c r="D369" s="471">
        <v>385</v>
      </c>
      <c r="E369" s="469">
        <v>42.64</v>
      </c>
      <c r="F369" s="469">
        <v>3.7</v>
      </c>
      <c r="G369" s="469">
        <v>4.5</v>
      </c>
      <c r="H369" s="470">
        <v>188</v>
      </c>
      <c r="I369" s="470">
        <v>908</v>
      </c>
      <c r="J369" s="470">
        <v>1297.2</v>
      </c>
      <c r="K369" s="469">
        <v>1.1599999999999999</v>
      </c>
    </row>
    <row r="370" spans="2:11" x14ac:dyDescent="0.35">
      <c r="B370" s="62">
        <v>17.5</v>
      </c>
      <c r="C370" s="471">
        <v>386</v>
      </c>
      <c r="D370" s="471">
        <v>386</v>
      </c>
      <c r="E370" s="469">
        <v>26.46</v>
      </c>
      <c r="F370" s="469">
        <v>3.8</v>
      </c>
      <c r="G370" s="469">
        <v>6.1</v>
      </c>
      <c r="H370" s="470">
        <v>181</v>
      </c>
      <c r="I370" s="470">
        <v>919</v>
      </c>
      <c r="J370" s="470">
        <v>1436.3</v>
      </c>
      <c r="K370" s="469">
        <v>1.1599999999999999</v>
      </c>
    </row>
    <row r="371" spans="2:11" x14ac:dyDescent="0.35">
      <c r="B371" s="62">
        <v>17.5</v>
      </c>
      <c r="C371" s="471">
        <v>387</v>
      </c>
      <c r="D371" s="471">
        <v>387</v>
      </c>
      <c r="E371" s="469">
        <v>53.18</v>
      </c>
      <c r="F371" s="469">
        <v>3.3</v>
      </c>
      <c r="G371" s="469">
        <v>5.2</v>
      </c>
      <c r="H371" s="470">
        <v>193</v>
      </c>
      <c r="I371" s="470">
        <v>954</v>
      </c>
      <c r="J371" s="470">
        <v>1450.6</v>
      </c>
      <c r="K371" s="469">
        <v>1.1599999999999999</v>
      </c>
    </row>
    <row r="372" spans="2:11" x14ac:dyDescent="0.35">
      <c r="B372" s="62">
        <v>17.5</v>
      </c>
      <c r="C372" s="471">
        <v>388</v>
      </c>
      <c r="D372" s="471">
        <v>388</v>
      </c>
      <c r="E372" s="469">
        <v>39.369999999999997</v>
      </c>
      <c r="F372" s="469">
        <v>4</v>
      </c>
      <c r="G372" s="469">
        <v>5.3</v>
      </c>
      <c r="H372" s="470">
        <v>193</v>
      </c>
      <c r="I372" s="470">
        <v>957</v>
      </c>
      <c r="J372" s="470">
        <v>1458.3</v>
      </c>
      <c r="K372" s="469">
        <v>1.1599999999999999</v>
      </c>
    </row>
    <row r="373" spans="2:11" x14ac:dyDescent="0.35">
      <c r="B373" s="62">
        <v>17.5</v>
      </c>
      <c r="C373" s="471">
        <v>389</v>
      </c>
      <c r="D373" s="471">
        <v>389</v>
      </c>
      <c r="E373" s="469">
        <v>31.25</v>
      </c>
      <c r="F373" s="469">
        <v>3.2</v>
      </c>
      <c r="G373" s="469">
        <v>3.6</v>
      </c>
      <c r="H373" s="470">
        <v>193</v>
      </c>
      <c r="I373" s="470">
        <v>956</v>
      </c>
      <c r="J373" s="470">
        <v>1379.2</v>
      </c>
      <c r="K373" s="469">
        <v>1.1599999999999999</v>
      </c>
    </row>
    <row r="374" spans="2:11" x14ac:dyDescent="0.35">
      <c r="B374" s="62">
        <v>17.5</v>
      </c>
      <c r="C374" s="471">
        <v>390</v>
      </c>
      <c r="D374" s="471">
        <v>390</v>
      </c>
      <c r="E374" s="469">
        <v>50.87</v>
      </c>
      <c r="F374" s="469">
        <v>3</v>
      </c>
      <c r="G374" s="469">
        <v>5</v>
      </c>
      <c r="H374" s="470">
        <v>192</v>
      </c>
      <c r="I374" s="470">
        <v>954</v>
      </c>
      <c r="J374" s="470">
        <v>1410.6</v>
      </c>
      <c r="K374" s="469">
        <v>1.1599999999999999</v>
      </c>
    </row>
    <row r="375" spans="2:11" x14ac:dyDescent="0.35">
      <c r="B375" s="62">
        <v>17.5</v>
      </c>
      <c r="C375" s="471">
        <v>391</v>
      </c>
      <c r="D375" s="471">
        <v>391</v>
      </c>
      <c r="E375" s="469">
        <v>35.25</v>
      </c>
      <c r="F375" s="469">
        <v>5.0999999999999996</v>
      </c>
      <c r="G375" s="469">
        <v>5.8</v>
      </c>
      <c r="H375" s="470">
        <v>193</v>
      </c>
      <c r="I375" s="470">
        <v>954</v>
      </c>
      <c r="J375" s="470">
        <v>1539.1</v>
      </c>
      <c r="K375" s="469">
        <v>1.1599999999999999</v>
      </c>
    </row>
    <row r="376" spans="2:11" x14ac:dyDescent="0.35">
      <c r="B376" s="62">
        <v>17.5</v>
      </c>
      <c r="C376" s="471">
        <v>392</v>
      </c>
      <c r="D376" s="471">
        <v>392</v>
      </c>
      <c r="E376" s="469">
        <v>68.83</v>
      </c>
      <c r="F376" s="469">
        <v>3.3</v>
      </c>
      <c r="G376" s="469">
        <v>4.3</v>
      </c>
      <c r="H376" s="470">
        <v>192</v>
      </c>
      <c r="I376" s="470">
        <v>956</v>
      </c>
      <c r="J376" s="470">
        <v>1450.7</v>
      </c>
      <c r="K376" s="469">
        <v>1.1599999999999999</v>
      </c>
    </row>
    <row r="377" spans="2:11" x14ac:dyDescent="0.35">
      <c r="B377" s="62">
        <v>17.5</v>
      </c>
      <c r="C377" s="471">
        <v>393</v>
      </c>
      <c r="D377" s="471">
        <v>393</v>
      </c>
      <c r="E377" s="469">
        <v>59.87</v>
      </c>
      <c r="F377" s="469">
        <v>3.4</v>
      </c>
      <c r="G377" s="469">
        <v>4.3</v>
      </c>
      <c r="H377" s="470">
        <v>192</v>
      </c>
      <c r="I377" s="470">
        <v>952</v>
      </c>
      <c r="J377" s="470">
        <v>1452.6</v>
      </c>
      <c r="K377" s="469">
        <v>1.1599999999999999</v>
      </c>
    </row>
    <row r="378" spans="2:11" x14ac:dyDescent="0.35">
      <c r="B378" s="62">
        <v>17.5</v>
      </c>
      <c r="C378" s="471">
        <v>394</v>
      </c>
      <c r="D378" s="471">
        <v>394</v>
      </c>
      <c r="E378" s="469">
        <v>53.76</v>
      </c>
      <c r="F378" s="469">
        <v>3</v>
      </c>
      <c r="G378" s="469">
        <v>4.0999999999999996</v>
      </c>
      <c r="H378" s="470">
        <v>193</v>
      </c>
      <c r="I378" s="470">
        <v>956</v>
      </c>
      <c r="J378" s="470">
        <v>1411.4</v>
      </c>
      <c r="K378" s="469">
        <v>1.1599999999999999</v>
      </c>
    </row>
    <row r="379" spans="2:11" x14ac:dyDescent="0.35">
      <c r="B379" s="62">
        <v>17.5</v>
      </c>
      <c r="C379" s="471">
        <v>395</v>
      </c>
      <c r="D379" s="471">
        <v>395</v>
      </c>
      <c r="E379" s="469">
        <v>62.95</v>
      </c>
      <c r="F379" s="469">
        <v>3</v>
      </c>
      <c r="G379" s="469">
        <v>4.3</v>
      </c>
      <c r="H379" s="470">
        <v>193</v>
      </c>
      <c r="I379" s="470">
        <v>957</v>
      </c>
      <c r="J379" s="470">
        <v>1455.2</v>
      </c>
      <c r="K379" s="469">
        <v>1.1599999999999999</v>
      </c>
    </row>
    <row r="380" spans="2:11" x14ac:dyDescent="0.35">
      <c r="B380" s="62">
        <v>17.5</v>
      </c>
      <c r="C380" s="471">
        <v>396</v>
      </c>
      <c r="D380" s="471">
        <v>396</v>
      </c>
      <c r="E380" s="469">
        <v>69.83</v>
      </c>
      <c r="F380" s="469">
        <v>3.3</v>
      </c>
      <c r="G380" s="469">
        <v>5.2</v>
      </c>
      <c r="H380" s="470">
        <v>192</v>
      </c>
      <c r="I380" s="470">
        <v>954</v>
      </c>
      <c r="J380" s="470">
        <v>1506.3</v>
      </c>
      <c r="K380" s="469">
        <v>1.1599999999999999</v>
      </c>
    </row>
    <row r="381" spans="2:11" x14ac:dyDescent="0.35">
      <c r="B381" s="62">
        <v>17.5</v>
      </c>
      <c r="C381" s="471">
        <v>397</v>
      </c>
      <c r="D381" s="471">
        <v>397</v>
      </c>
      <c r="E381" s="469">
        <v>87.07</v>
      </c>
      <c r="F381" s="469">
        <v>4.0999999999999996</v>
      </c>
      <c r="G381" s="469">
        <v>5.3</v>
      </c>
      <c r="H381" s="470">
        <v>193</v>
      </c>
      <c r="I381" s="470">
        <v>956</v>
      </c>
      <c r="J381" s="470">
        <v>1575</v>
      </c>
      <c r="K381" s="469">
        <v>1.1599999999999999</v>
      </c>
    </row>
    <row r="382" spans="2:11" x14ac:dyDescent="0.35">
      <c r="B382" s="62">
        <v>17.5</v>
      </c>
      <c r="C382" s="471">
        <v>398</v>
      </c>
      <c r="D382" s="471">
        <v>398</v>
      </c>
      <c r="E382" s="469">
        <v>62.18</v>
      </c>
      <c r="F382" s="469">
        <v>4.3</v>
      </c>
      <c r="G382" s="469">
        <v>5.3</v>
      </c>
      <c r="H382" s="470">
        <v>193</v>
      </c>
      <c r="I382" s="470">
        <v>955</v>
      </c>
      <c r="J382" s="470">
        <v>1525.4</v>
      </c>
      <c r="K382" s="469">
        <v>1.1599999999999999</v>
      </c>
    </row>
    <row r="383" spans="2:11" x14ac:dyDescent="0.35">
      <c r="B383" s="62">
        <v>17.5</v>
      </c>
      <c r="C383" s="471">
        <v>399</v>
      </c>
      <c r="D383" s="471">
        <v>399</v>
      </c>
      <c r="E383" s="469">
        <v>43.54</v>
      </c>
      <c r="F383" s="469">
        <v>3</v>
      </c>
      <c r="G383" s="469">
        <v>3.8</v>
      </c>
      <c r="H383" s="470">
        <v>192</v>
      </c>
      <c r="I383" s="470">
        <v>953</v>
      </c>
      <c r="J383" s="470">
        <v>1434</v>
      </c>
      <c r="K383" s="469">
        <v>1.1599999999999999</v>
      </c>
    </row>
    <row r="384" spans="2:11" x14ac:dyDescent="0.35">
      <c r="B384" s="62">
        <v>17.5</v>
      </c>
      <c r="C384" s="471">
        <v>400</v>
      </c>
      <c r="D384" s="471">
        <v>400</v>
      </c>
      <c r="E384" s="469">
        <v>43.88</v>
      </c>
      <c r="F384" s="469">
        <v>5.4</v>
      </c>
      <c r="G384" s="469">
        <v>5.5</v>
      </c>
      <c r="H384" s="470">
        <v>191</v>
      </c>
      <c r="I384" s="470">
        <v>957</v>
      </c>
      <c r="J384" s="470">
        <v>1559.5</v>
      </c>
      <c r="K384" s="469">
        <v>1.1599999999999999</v>
      </c>
    </row>
    <row r="385" spans="2:11" x14ac:dyDescent="0.35">
      <c r="B385" s="62">
        <v>17.5</v>
      </c>
      <c r="C385" s="471">
        <v>401</v>
      </c>
      <c r="D385" s="471">
        <v>401</v>
      </c>
      <c r="E385" s="469">
        <v>69.83</v>
      </c>
      <c r="F385" s="469">
        <v>4.5999999999999996</v>
      </c>
      <c r="G385" s="469">
        <v>5.4</v>
      </c>
      <c r="H385" s="470">
        <v>192</v>
      </c>
      <c r="I385" s="470">
        <v>955</v>
      </c>
      <c r="J385" s="470">
        <v>1592.8</v>
      </c>
      <c r="K385" s="469">
        <v>1.1599999999999999</v>
      </c>
    </row>
    <row r="386" spans="2:11" x14ac:dyDescent="0.35">
      <c r="B386" s="62">
        <v>17.5</v>
      </c>
      <c r="C386" s="471">
        <v>402</v>
      </c>
      <c r="D386" s="471">
        <v>402</v>
      </c>
      <c r="E386" s="469">
        <v>69.3</v>
      </c>
      <c r="F386" s="469">
        <v>3.2</v>
      </c>
      <c r="G386" s="469">
        <v>4.4000000000000004</v>
      </c>
      <c r="H386" s="470">
        <v>193</v>
      </c>
      <c r="I386" s="470">
        <v>954</v>
      </c>
      <c r="J386" s="470">
        <v>1485.7</v>
      </c>
      <c r="K386" s="469">
        <v>1.1599999999999999</v>
      </c>
    </row>
    <row r="387" spans="2:11" x14ac:dyDescent="0.35">
      <c r="B387" s="62">
        <v>17.5</v>
      </c>
      <c r="C387" s="471">
        <v>403</v>
      </c>
      <c r="D387" s="471">
        <v>403</v>
      </c>
      <c r="E387" s="469">
        <v>61.68</v>
      </c>
      <c r="F387" s="469">
        <v>4</v>
      </c>
      <c r="G387" s="469">
        <v>4.9000000000000004</v>
      </c>
      <c r="H387" s="470">
        <v>193</v>
      </c>
      <c r="I387" s="470">
        <v>956</v>
      </c>
      <c r="J387" s="470">
        <v>1546.2</v>
      </c>
      <c r="K387" s="469">
        <v>1.1599999999999999</v>
      </c>
    </row>
    <row r="388" spans="2:11" x14ac:dyDescent="0.35">
      <c r="B388" s="62">
        <v>17.5</v>
      </c>
      <c r="C388" s="471">
        <v>404</v>
      </c>
      <c r="D388" s="471">
        <v>404</v>
      </c>
      <c r="E388" s="469">
        <v>54.19</v>
      </c>
      <c r="F388" s="469">
        <v>4.3</v>
      </c>
      <c r="G388" s="469">
        <v>5</v>
      </c>
      <c r="H388" s="470">
        <v>193</v>
      </c>
      <c r="I388" s="470">
        <v>955</v>
      </c>
      <c r="J388" s="470">
        <v>1576.6</v>
      </c>
      <c r="K388" s="469">
        <v>1.1599999999999999</v>
      </c>
    </row>
    <row r="389" spans="2:11" x14ac:dyDescent="0.35">
      <c r="B389" s="62">
        <v>17.5</v>
      </c>
      <c r="C389" s="471">
        <v>405</v>
      </c>
      <c r="D389" s="471">
        <v>405</v>
      </c>
      <c r="E389" s="469">
        <v>84.68</v>
      </c>
      <c r="F389" s="469">
        <v>5.2</v>
      </c>
      <c r="G389" s="469">
        <v>6.2</v>
      </c>
      <c r="H389" s="470">
        <v>193</v>
      </c>
      <c r="I389" s="470">
        <v>955</v>
      </c>
      <c r="J389" s="470">
        <v>1672.7</v>
      </c>
      <c r="K389" s="469">
        <v>1.1599999999999999</v>
      </c>
    </row>
    <row r="390" spans="2:11" x14ac:dyDescent="0.35">
      <c r="B390" s="62">
        <v>17.5</v>
      </c>
      <c r="C390" s="471">
        <v>406</v>
      </c>
      <c r="D390" s="471">
        <v>406</v>
      </c>
      <c r="E390" s="469">
        <v>33.64</v>
      </c>
      <c r="F390" s="469">
        <v>4.4000000000000004</v>
      </c>
      <c r="G390" s="469">
        <v>5.8</v>
      </c>
      <c r="H390" s="470">
        <v>192</v>
      </c>
      <c r="I390" s="470">
        <v>955</v>
      </c>
      <c r="J390" s="470">
        <v>1595.2</v>
      </c>
      <c r="K390" s="469">
        <v>1.1599999999999999</v>
      </c>
    </row>
    <row r="391" spans="2:11" x14ac:dyDescent="0.35">
      <c r="B391" s="62">
        <v>17.5</v>
      </c>
      <c r="C391" s="471">
        <v>407</v>
      </c>
      <c r="D391" s="471">
        <v>407</v>
      </c>
      <c r="E391" s="469">
        <v>57.72</v>
      </c>
      <c r="F391" s="469">
        <v>4</v>
      </c>
      <c r="G391" s="469">
        <v>4.5999999999999996</v>
      </c>
      <c r="H391" s="470">
        <v>193</v>
      </c>
      <c r="I391" s="470">
        <v>955</v>
      </c>
      <c r="J391" s="470">
        <v>1524.1</v>
      </c>
      <c r="K391" s="469">
        <v>1.17</v>
      </c>
    </row>
    <row r="392" spans="2:11" x14ac:dyDescent="0.35">
      <c r="B392" s="62">
        <v>17.5</v>
      </c>
      <c r="C392" s="471">
        <v>408</v>
      </c>
      <c r="D392" s="471">
        <v>408</v>
      </c>
      <c r="E392" s="469">
        <v>16.079999999999998</v>
      </c>
      <c r="F392" s="469">
        <v>1.7</v>
      </c>
      <c r="G392" s="469">
        <v>3</v>
      </c>
      <c r="H392" s="470">
        <v>191</v>
      </c>
      <c r="I392" s="470">
        <v>936</v>
      </c>
      <c r="J392" s="470">
        <v>1309.3</v>
      </c>
      <c r="K392" s="469">
        <v>1.17</v>
      </c>
    </row>
    <row r="393" spans="2:11" x14ac:dyDescent="0.35">
      <c r="B393" s="62">
        <v>17.5</v>
      </c>
      <c r="C393" s="471">
        <v>409</v>
      </c>
      <c r="D393" s="471">
        <v>409</v>
      </c>
      <c r="E393" s="469">
        <v>52.74</v>
      </c>
      <c r="F393" s="469">
        <v>4.5</v>
      </c>
      <c r="G393" s="469">
        <v>5.7</v>
      </c>
      <c r="H393" s="470">
        <v>190</v>
      </c>
      <c r="I393" s="470">
        <v>931</v>
      </c>
      <c r="J393" s="470">
        <v>1560.7</v>
      </c>
      <c r="K393" s="469">
        <v>1.17</v>
      </c>
    </row>
    <row r="394" spans="2:11" x14ac:dyDescent="0.35">
      <c r="B394" s="62">
        <v>17.5</v>
      </c>
      <c r="C394" s="471">
        <v>410</v>
      </c>
      <c r="D394" s="471">
        <v>410</v>
      </c>
      <c r="E394" s="469">
        <v>56.04</v>
      </c>
      <c r="F394" s="469">
        <v>5.4</v>
      </c>
      <c r="G394" s="469">
        <v>6.6</v>
      </c>
      <c r="H394" s="470">
        <v>190</v>
      </c>
      <c r="I394" s="470">
        <v>931</v>
      </c>
      <c r="J394" s="470">
        <v>1630.1</v>
      </c>
      <c r="K394" s="469">
        <v>1.17</v>
      </c>
    </row>
    <row r="395" spans="2:11" x14ac:dyDescent="0.35">
      <c r="B395" s="62">
        <v>17.5</v>
      </c>
      <c r="C395" s="471">
        <v>411</v>
      </c>
      <c r="D395" s="471">
        <v>411</v>
      </c>
      <c r="E395" s="469">
        <v>61.54</v>
      </c>
      <c r="F395" s="469">
        <v>4.5999999999999996</v>
      </c>
      <c r="G395" s="469">
        <v>6.2</v>
      </c>
      <c r="H395" s="470">
        <v>190</v>
      </c>
      <c r="I395" s="470">
        <v>928</v>
      </c>
      <c r="J395" s="470">
        <v>1588.1</v>
      </c>
      <c r="K395" s="469">
        <v>1.17</v>
      </c>
    </row>
    <row r="396" spans="2:11" x14ac:dyDescent="0.35">
      <c r="B396" s="62">
        <v>17.5</v>
      </c>
      <c r="C396" s="471">
        <v>412</v>
      </c>
      <c r="D396" s="471">
        <v>412</v>
      </c>
      <c r="E396" s="469">
        <v>60.79</v>
      </c>
      <c r="F396" s="469">
        <v>5.8</v>
      </c>
      <c r="G396" s="469">
        <v>6.1</v>
      </c>
      <c r="H396" s="470">
        <v>190</v>
      </c>
      <c r="I396" s="470">
        <v>930</v>
      </c>
      <c r="J396" s="470">
        <v>1632.9</v>
      </c>
      <c r="K396" s="469">
        <v>1.17</v>
      </c>
    </row>
    <row r="397" spans="2:11" x14ac:dyDescent="0.35">
      <c r="B397" s="62">
        <v>17.5</v>
      </c>
      <c r="C397" s="471">
        <v>413</v>
      </c>
      <c r="D397" s="471">
        <v>413</v>
      </c>
      <c r="E397" s="469">
        <v>57.29</v>
      </c>
      <c r="F397" s="469">
        <v>3.8</v>
      </c>
      <c r="G397" s="469">
        <v>4.7</v>
      </c>
      <c r="H397" s="470">
        <v>190</v>
      </c>
      <c r="I397" s="470">
        <v>932</v>
      </c>
      <c r="J397" s="470">
        <v>1506.3</v>
      </c>
      <c r="K397" s="469">
        <v>1.17</v>
      </c>
    </row>
    <row r="398" spans="2:11" x14ac:dyDescent="0.35">
      <c r="B398" s="62">
        <v>17.5</v>
      </c>
      <c r="C398" s="471">
        <v>414</v>
      </c>
      <c r="D398" s="471">
        <v>414</v>
      </c>
      <c r="E398" s="469">
        <v>58.08</v>
      </c>
      <c r="F398" s="469">
        <v>3.8</v>
      </c>
      <c r="G398" s="469">
        <v>5.2</v>
      </c>
      <c r="H398" s="470">
        <v>190</v>
      </c>
      <c r="I398" s="470">
        <v>931</v>
      </c>
      <c r="J398" s="470">
        <v>1535.4</v>
      </c>
      <c r="K398" s="469">
        <v>1.17</v>
      </c>
    </row>
    <row r="399" spans="2:11" x14ac:dyDescent="0.35">
      <c r="B399" s="62">
        <v>17.5</v>
      </c>
      <c r="C399" s="471">
        <v>415</v>
      </c>
      <c r="D399" s="471">
        <v>415</v>
      </c>
      <c r="E399" s="469">
        <v>75.489999999999995</v>
      </c>
      <c r="F399" s="469">
        <v>4.5</v>
      </c>
      <c r="G399" s="469">
        <v>6.5</v>
      </c>
      <c r="H399" s="470">
        <v>189</v>
      </c>
      <c r="I399" s="470">
        <v>926</v>
      </c>
      <c r="J399" s="470">
        <v>1619.2</v>
      </c>
      <c r="K399" s="469">
        <v>1.17</v>
      </c>
    </row>
    <row r="400" spans="2:11" x14ac:dyDescent="0.35">
      <c r="B400" s="62">
        <v>17.5</v>
      </c>
      <c r="C400" s="471">
        <v>416</v>
      </c>
      <c r="D400" s="471">
        <v>416</v>
      </c>
      <c r="E400" s="469">
        <v>69.569999999999993</v>
      </c>
      <c r="F400" s="469">
        <v>4.4000000000000004</v>
      </c>
      <c r="G400" s="469">
        <v>5.9</v>
      </c>
      <c r="H400" s="470">
        <v>190</v>
      </c>
      <c r="I400" s="470">
        <v>930</v>
      </c>
      <c r="J400" s="470">
        <v>1587.5</v>
      </c>
      <c r="K400" s="469">
        <v>1.17</v>
      </c>
    </row>
    <row r="401" spans="2:11" x14ac:dyDescent="0.35">
      <c r="B401" s="62">
        <v>17.5</v>
      </c>
      <c r="C401" s="471">
        <v>417</v>
      </c>
      <c r="D401" s="471">
        <v>417</v>
      </c>
      <c r="E401" s="469">
        <v>70.2</v>
      </c>
      <c r="F401" s="469">
        <v>3.8</v>
      </c>
      <c r="G401" s="469">
        <v>4.7</v>
      </c>
      <c r="H401" s="470">
        <v>190</v>
      </c>
      <c r="I401" s="470">
        <v>930</v>
      </c>
      <c r="J401" s="470">
        <v>1532.3</v>
      </c>
      <c r="K401" s="469">
        <v>1.17</v>
      </c>
    </row>
    <row r="402" spans="2:11" x14ac:dyDescent="0.35">
      <c r="B402" s="62">
        <v>17.5</v>
      </c>
      <c r="C402" s="471">
        <v>418</v>
      </c>
      <c r="D402" s="471">
        <v>418</v>
      </c>
      <c r="E402" s="469">
        <v>65</v>
      </c>
      <c r="F402" s="469">
        <v>5</v>
      </c>
      <c r="G402" s="469">
        <v>6.4</v>
      </c>
      <c r="H402" s="470">
        <v>189</v>
      </c>
      <c r="I402" s="470">
        <v>925</v>
      </c>
      <c r="J402" s="470">
        <v>1651.2</v>
      </c>
      <c r="K402" s="469">
        <v>1.17</v>
      </c>
    </row>
    <row r="403" spans="2:11" x14ac:dyDescent="0.35">
      <c r="B403" s="62">
        <v>17.5</v>
      </c>
      <c r="C403" s="471">
        <v>419</v>
      </c>
      <c r="D403" s="471">
        <v>419</v>
      </c>
      <c r="E403" s="469">
        <v>49.89</v>
      </c>
      <c r="F403" s="469">
        <v>5.2</v>
      </c>
      <c r="G403" s="469">
        <v>5.7</v>
      </c>
      <c r="H403" s="470">
        <v>190</v>
      </c>
      <c r="I403" s="470">
        <v>929</v>
      </c>
      <c r="J403" s="470">
        <v>1606.3</v>
      </c>
      <c r="K403" s="469">
        <v>1.17</v>
      </c>
    </row>
    <row r="404" spans="2:11" x14ac:dyDescent="0.35">
      <c r="B404" s="62">
        <v>17.5</v>
      </c>
      <c r="C404" s="471">
        <v>420</v>
      </c>
      <c r="D404" s="471">
        <v>420</v>
      </c>
      <c r="E404" s="469">
        <v>56.61</v>
      </c>
      <c r="F404" s="469">
        <v>5.3</v>
      </c>
      <c r="G404" s="469">
        <v>5.7</v>
      </c>
      <c r="H404" s="470">
        <v>189</v>
      </c>
      <c r="I404" s="470">
        <v>926</v>
      </c>
      <c r="J404" s="470">
        <v>1634.3</v>
      </c>
      <c r="K404" s="469">
        <v>1.17</v>
      </c>
    </row>
    <row r="405" spans="2:11" x14ac:dyDescent="0.35">
      <c r="B405" s="62">
        <v>17.5</v>
      </c>
      <c r="C405" s="471">
        <v>421</v>
      </c>
      <c r="D405" s="471">
        <v>421</v>
      </c>
      <c r="E405" s="469">
        <v>48.61</v>
      </c>
      <c r="F405" s="469">
        <v>4.0999999999999996</v>
      </c>
      <c r="G405" s="469">
        <v>4.8</v>
      </c>
      <c r="H405" s="470">
        <v>190</v>
      </c>
      <c r="I405" s="470">
        <v>931</v>
      </c>
      <c r="J405" s="470">
        <v>1563.6</v>
      </c>
      <c r="K405" s="469">
        <v>1.17</v>
      </c>
    </row>
    <row r="406" spans="2:11" x14ac:dyDescent="0.35">
      <c r="B406" s="62">
        <v>17.5</v>
      </c>
      <c r="C406" s="471">
        <v>422</v>
      </c>
      <c r="D406" s="471">
        <v>422</v>
      </c>
      <c r="E406" s="469">
        <v>58.79</v>
      </c>
      <c r="F406" s="469">
        <v>3.9</v>
      </c>
      <c r="G406" s="469">
        <v>4.9000000000000004</v>
      </c>
      <c r="H406" s="470">
        <v>190</v>
      </c>
      <c r="I406" s="470">
        <v>932</v>
      </c>
      <c r="J406" s="470">
        <v>1559</v>
      </c>
      <c r="K406" s="469">
        <v>1.17</v>
      </c>
    </row>
    <row r="407" spans="2:11" x14ac:dyDescent="0.35">
      <c r="B407" s="62">
        <v>17.5</v>
      </c>
      <c r="C407" s="471">
        <v>423</v>
      </c>
      <c r="D407" s="471">
        <v>423</v>
      </c>
      <c r="E407" s="469">
        <v>69.08</v>
      </c>
      <c r="F407" s="469">
        <v>5.5</v>
      </c>
      <c r="G407" s="469">
        <v>6.3</v>
      </c>
      <c r="H407" s="470">
        <v>189</v>
      </c>
      <c r="I407" s="470">
        <v>926</v>
      </c>
      <c r="J407" s="470">
        <v>1666.7</v>
      </c>
      <c r="K407" s="469">
        <v>1.17</v>
      </c>
    </row>
    <row r="408" spans="2:11" x14ac:dyDescent="0.35">
      <c r="B408" s="62">
        <v>17.5</v>
      </c>
      <c r="C408" s="471">
        <v>424</v>
      </c>
      <c r="D408" s="471">
        <v>424</v>
      </c>
      <c r="E408" s="469">
        <v>54.81</v>
      </c>
      <c r="F408" s="469">
        <v>4.0999999999999996</v>
      </c>
      <c r="G408" s="469">
        <v>4.4000000000000004</v>
      </c>
      <c r="H408" s="470">
        <v>190</v>
      </c>
      <c r="I408" s="470">
        <v>931</v>
      </c>
      <c r="J408" s="470">
        <v>1568.6</v>
      </c>
      <c r="K408" s="469">
        <v>1.17</v>
      </c>
    </row>
    <row r="409" spans="2:11" x14ac:dyDescent="0.35">
      <c r="B409" s="62">
        <v>17.5</v>
      </c>
      <c r="C409" s="471">
        <v>425</v>
      </c>
      <c r="D409" s="471">
        <v>425</v>
      </c>
      <c r="E409" s="469">
        <v>41.3</v>
      </c>
      <c r="F409" s="469">
        <v>3.5</v>
      </c>
      <c r="G409" s="469">
        <v>4.9000000000000004</v>
      </c>
      <c r="H409" s="470">
        <v>190</v>
      </c>
      <c r="I409" s="470">
        <v>931</v>
      </c>
      <c r="J409" s="470">
        <v>1536.2</v>
      </c>
      <c r="K409" s="469">
        <v>1.17</v>
      </c>
    </row>
    <row r="410" spans="2:11" x14ac:dyDescent="0.35">
      <c r="B410" s="62">
        <v>17.5</v>
      </c>
      <c r="C410" s="471">
        <v>426</v>
      </c>
      <c r="D410" s="471">
        <v>426</v>
      </c>
      <c r="E410" s="469">
        <v>49.77</v>
      </c>
      <c r="F410" s="469">
        <v>5.3</v>
      </c>
      <c r="G410" s="469">
        <v>5</v>
      </c>
      <c r="H410" s="470">
        <v>190</v>
      </c>
      <c r="I410" s="470">
        <v>930</v>
      </c>
      <c r="J410" s="470">
        <v>1620.1</v>
      </c>
      <c r="K410" s="469">
        <v>1.17</v>
      </c>
    </row>
    <row r="411" spans="2:11" x14ac:dyDescent="0.35">
      <c r="B411" s="62">
        <v>17.5</v>
      </c>
      <c r="C411" s="471">
        <v>427</v>
      </c>
      <c r="D411" s="471">
        <v>427</v>
      </c>
      <c r="E411" s="469">
        <v>54.5</v>
      </c>
      <c r="F411" s="469">
        <v>3.5</v>
      </c>
      <c r="G411" s="469">
        <v>4.4000000000000004</v>
      </c>
      <c r="H411" s="470">
        <v>190</v>
      </c>
      <c r="I411" s="470">
        <v>935</v>
      </c>
      <c r="J411" s="470">
        <v>1534.2</v>
      </c>
      <c r="K411" s="469">
        <v>1.17</v>
      </c>
    </row>
    <row r="412" spans="2:11" x14ac:dyDescent="0.35">
      <c r="B412" s="62">
        <v>17.5</v>
      </c>
      <c r="C412" s="471">
        <v>428</v>
      </c>
      <c r="D412" s="471">
        <v>428</v>
      </c>
      <c r="E412" s="469">
        <v>64.260000000000005</v>
      </c>
      <c r="F412" s="469">
        <v>4.2</v>
      </c>
      <c r="G412" s="469">
        <v>5.3</v>
      </c>
      <c r="H412" s="470">
        <v>190</v>
      </c>
      <c r="I412" s="470">
        <v>929</v>
      </c>
      <c r="J412" s="470">
        <v>1608.9</v>
      </c>
      <c r="K412" s="469">
        <v>1.17</v>
      </c>
    </row>
    <row r="413" spans="2:11" x14ac:dyDescent="0.35">
      <c r="B413" s="62">
        <v>17.5</v>
      </c>
      <c r="C413" s="471">
        <v>429</v>
      </c>
      <c r="D413" s="471">
        <v>429</v>
      </c>
      <c r="E413" s="469">
        <v>57.83</v>
      </c>
      <c r="F413" s="469">
        <v>4.0999999999999996</v>
      </c>
      <c r="G413" s="469">
        <v>5.3</v>
      </c>
      <c r="H413" s="470">
        <v>190</v>
      </c>
      <c r="I413" s="470">
        <v>929</v>
      </c>
      <c r="J413" s="470">
        <v>1613.6</v>
      </c>
      <c r="K413" s="469">
        <v>1.17</v>
      </c>
    </row>
    <row r="414" spans="2:11" x14ac:dyDescent="0.35">
      <c r="B414" s="62">
        <v>17.5</v>
      </c>
      <c r="C414" s="471">
        <v>430</v>
      </c>
      <c r="D414" s="471">
        <v>430</v>
      </c>
      <c r="E414" s="469">
        <v>59.86</v>
      </c>
      <c r="F414" s="469">
        <v>4.8</v>
      </c>
      <c r="G414" s="469">
        <v>5.3</v>
      </c>
      <c r="H414" s="470">
        <v>190</v>
      </c>
      <c r="I414" s="470">
        <v>931</v>
      </c>
      <c r="J414" s="470">
        <v>1616.4</v>
      </c>
      <c r="K414" s="469">
        <v>1.17</v>
      </c>
    </row>
    <row r="415" spans="2:11" x14ac:dyDescent="0.35">
      <c r="B415" s="62">
        <v>17.5</v>
      </c>
      <c r="C415" s="471">
        <v>431</v>
      </c>
      <c r="D415" s="471">
        <v>431</v>
      </c>
      <c r="E415" s="469">
        <v>52.46</v>
      </c>
      <c r="F415" s="469">
        <v>4.7</v>
      </c>
      <c r="G415" s="469">
        <v>5.3</v>
      </c>
      <c r="H415" s="470">
        <v>190</v>
      </c>
      <c r="I415" s="470">
        <v>929</v>
      </c>
      <c r="J415" s="470">
        <v>1611.6</v>
      </c>
      <c r="K415" s="469">
        <v>1.17</v>
      </c>
    </row>
    <row r="416" spans="2:11" x14ac:dyDescent="0.35">
      <c r="B416" s="62">
        <v>17.5</v>
      </c>
      <c r="C416" s="471">
        <v>432</v>
      </c>
      <c r="D416" s="471">
        <v>432</v>
      </c>
      <c r="E416" s="469">
        <v>62.73</v>
      </c>
      <c r="F416" s="469">
        <v>5.0999999999999996</v>
      </c>
      <c r="G416" s="469">
        <v>5.6</v>
      </c>
      <c r="H416" s="470">
        <v>189</v>
      </c>
      <c r="I416" s="470">
        <v>927</v>
      </c>
      <c r="J416" s="470">
        <v>1645.3</v>
      </c>
      <c r="K416" s="469">
        <v>1.17</v>
      </c>
    </row>
    <row r="417" spans="2:11" x14ac:dyDescent="0.35">
      <c r="B417" s="62">
        <v>17.5</v>
      </c>
      <c r="C417" s="471">
        <v>433</v>
      </c>
      <c r="D417" s="471">
        <v>433</v>
      </c>
      <c r="E417" s="469">
        <v>56.3</v>
      </c>
      <c r="F417" s="469">
        <v>5</v>
      </c>
      <c r="G417" s="469">
        <v>5.4</v>
      </c>
      <c r="H417" s="470">
        <v>190</v>
      </c>
      <c r="I417" s="470">
        <v>928</v>
      </c>
      <c r="J417" s="470">
        <v>1639.5</v>
      </c>
      <c r="K417" s="469">
        <v>1.17</v>
      </c>
    </row>
    <row r="418" spans="2:11" x14ac:dyDescent="0.35">
      <c r="B418" s="62">
        <v>17.5</v>
      </c>
      <c r="C418" s="471">
        <v>434</v>
      </c>
      <c r="D418" s="471">
        <v>434</v>
      </c>
      <c r="E418" s="469">
        <v>56.04</v>
      </c>
      <c r="F418" s="469">
        <v>4.9000000000000004</v>
      </c>
      <c r="G418" s="469">
        <v>5.2</v>
      </c>
      <c r="H418" s="470">
        <v>190</v>
      </c>
      <c r="I418" s="470">
        <v>927</v>
      </c>
      <c r="J418" s="470">
        <v>1630.4</v>
      </c>
      <c r="K418" s="469">
        <v>1.17</v>
      </c>
    </row>
    <row r="419" spans="2:11" x14ac:dyDescent="0.35">
      <c r="B419" s="62">
        <v>17.5</v>
      </c>
      <c r="C419" s="471">
        <v>435</v>
      </c>
      <c r="D419" s="471">
        <v>435</v>
      </c>
      <c r="E419" s="469">
        <v>48.85</v>
      </c>
      <c r="F419" s="469">
        <v>5.0999999999999996</v>
      </c>
      <c r="G419" s="469">
        <v>5.5</v>
      </c>
      <c r="H419" s="470">
        <v>190</v>
      </c>
      <c r="I419" s="470">
        <v>928</v>
      </c>
      <c r="J419" s="470">
        <v>1650.4</v>
      </c>
      <c r="K419" s="469">
        <v>1.17</v>
      </c>
    </row>
    <row r="420" spans="2:11" x14ac:dyDescent="0.35">
      <c r="B420" s="62">
        <v>17.5</v>
      </c>
      <c r="C420" s="471">
        <v>436</v>
      </c>
      <c r="D420" s="471">
        <v>436</v>
      </c>
      <c r="E420" s="469">
        <v>38.15</v>
      </c>
      <c r="F420" s="469">
        <v>4.5</v>
      </c>
      <c r="G420" s="469">
        <v>4.4000000000000004</v>
      </c>
      <c r="H420" s="470">
        <v>190</v>
      </c>
      <c r="I420" s="470">
        <v>930</v>
      </c>
      <c r="J420" s="470">
        <v>1582.3</v>
      </c>
      <c r="K420" s="469">
        <v>1.17</v>
      </c>
    </row>
    <row r="421" spans="2:11" x14ac:dyDescent="0.35">
      <c r="B421" s="62">
        <v>17.5</v>
      </c>
      <c r="C421" s="471">
        <v>437</v>
      </c>
      <c r="D421" s="471">
        <v>437</v>
      </c>
      <c r="E421" s="469">
        <v>14.02</v>
      </c>
      <c r="F421" s="469">
        <v>1.7</v>
      </c>
      <c r="G421" s="469">
        <v>2.8</v>
      </c>
      <c r="H421" s="470">
        <v>162</v>
      </c>
      <c r="I421" s="470">
        <v>884</v>
      </c>
      <c r="J421" s="470">
        <v>1234.8</v>
      </c>
      <c r="K421" s="469">
        <v>1.17</v>
      </c>
    </row>
    <row r="422" spans="2:11" x14ac:dyDescent="0.35">
      <c r="B422" s="62">
        <v>17.5</v>
      </c>
      <c r="C422" s="471">
        <v>438</v>
      </c>
      <c r="D422" s="471">
        <v>438</v>
      </c>
      <c r="E422" s="469">
        <v>46.29</v>
      </c>
      <c r="F422" s="469">
        <v>5.0999999999999996</v>
      </c>
      <c r="G422" s="469">
        <v>6</v>
      </c>
      <c r="H422" s="470">
        <v>190</v>
      </c>
      <c r="I422" s="470">
        <v>945</v>
      </c>
      <c r="J422" s="470">
        <v>1831.4</v>
      </c>
      <c r="K422" s="469">
        <v>1.17</v>
      </c>
    </row>
    <row r="423" spans="2:11" x14ac:dyDescent="0.35">
      <c r="B423" s="62">
        <v>17.5</v>
      </c>
      <c r="C423" s="471">
        <v>439</v>
      </c>
      <c r="D423" s="471">
        <v>439</v>
      </c>
      <c r="E423" s="469">
        <v>56.07</v>
      </c>
      <c r="F423" s="469">
        <v>4.0999999999999996</v>
      </c>
      <c r="G423" s="469">
        <v>4.4000000000000004</v>
      </c>
      <c r="H423" s="470">
        <v>190</v>
      </c>
      <c r="I423" s="470">
        <v>945</v>
      </c>
      <c r="J423" s="470">
        <v>1781.5</v>
      </c>
      <c r="K423" s="469">
        <v>1.17</v>
      </c>
    </row>
    <row r="424" spans="2:11" x14ac:dyDescent="0.35">
      <c r="B424" s="62">
        <v>17.5</v>
      </c>
      <c r="C424" s="471">
        <v>440</v>
      </c>
      <c r="D424" s="471">
        <v>440</v>
      </c>
      <c r="E424" s="469">
        <v>38.57</v>
      </c>
      <c r="F424" s="469">
        <v>4.0999999999999996</v>
      </c>
      <c r="G424" s="469">
        <v>5</v>
      </c>
      <c r="H424" s="470">
        <v>190</v>
      </c>
      <c r="I424" s="470">
        <v>946</v>
      </c>
      <c r="J424" s="470">
        <v>1762</v>
      </c>
      <c r="K424" s="469">
        <v>1.17</v>
      </c>
    </row>
    <row r="425" spans="2:11" x14ac:dyDescent="0.35">
      <c r="B425" s="62">
        <v>17.5</v>
      </c>
      <c r="C425" s="471">
        <v>441</v>
      </c>
      <c r="D425" s="471">
        <v>441</v>
      </c>
      <c r="E425" s="469">
        <v>51.74</v>
      </c>
      <c r="F425" s="469">
        <v>4.4000000000000004</v>
      </c>
      <c r="G425" s="469">
        <v>5.2</v>
      </c>
      <c r="H425" s="470">
        <v>190</v>
      </c>
      <c r="I425" s="470">
        <v>945</v>
      </c>
      <c r="J425" s="470">
        <v>1783.7</v>
      </c>
      <c r="K425" s="469">
        <v>1.17</v>
      </c>
    </row>
    <row r="426" spans="2:11" x14ac:dyDescent="0.35">
      <c r="B426" s="62">
        <v>17.5</v>
      </c>
      <c r="C426" s="471">
        <v>442</v>
      </c>
      <c r="D426" s="471">
        <v>442</v>
      </c>
      <c r="E426" s="469">
        <v>53.64</v>
      </c>
      <c r="F426" s="469">
        <v>4.9000000000000004</v>
      </c>
      <c r="G426" s="469">
        <v>5.5</v>
      </c>
      <c r="H426" s="470">
        <v>190</v>
      </c>
      <c r="I426" s="470">
        <v>947</v>
      </c>
      <c r="J426" s="470">
        <v>1789</v>
      </c>
      <c r="K426" s="469">
        <v>1.17</v>
      </c>
    </row>
    <row r="427" spans="2:11" x14ac:dyDescent="0.35">
      <c r="B427" s="62">
        <v>17.5</v>
      </c>
      <c r="C427" s="471">
        <v>443</v>
      </c>
      <c r="D427" s="471">
        <v>443</v>
      </c>
      <c r="E427" s="469">
        <v>59.49</v>
      </c>
      <c r="F427" s="469">
        <v>4.4000000000000004</v>
      </c>
      <c r="G427" s="469">
        <v>5.3</v>
      </c>
      <c r="H427" s="470">
        <v>190</v>
      </c>
      <c r="I427" s="470">
        <v>946</v>
      </c>
      <c r="J427" s="470">
        <v>1778.5</v>
      </c>
      <c r="K427" s="469">
        <v>1.17</v>
      </c>
    </row>
    <row r="428" spans="2:11" x14ac:dyDescent="0.35">
      <c r="B428" s="62">
        <v>17.5</v>
      </c>
      <c r="C428" s="471">
        <v>444</v>
      </c>
      <c r="D428" s="471">
        <v>444</v>
      </c>
      <c r="E428" s="469">
        <v>58.46</v>
      </c>
      <c r="F428" s="469">
        <v>5.2</v>
      </c>
      <c r="G428" s="469">
        <v>6.6</v>
      </c>
      <c r="H428" s="470">
        <v>190</v>
      </c>
      <c r="I428" s="470">
        <v>944</v>
      </c>
      <c r="J428" s="470">
        <v>1815.7</v>
      </c>
      <c r="K428" s="469">
        <v>1.17</v>
      </c>
    </row>
    <row r="429" spans="2:11" x14ac:dyDescent="0.35">
      <c r="B429" s="62">
        <v>17.5</v>
      </c>
      <c r="C429" s="471">
        <v>445</v>
      </c>
      <c r="D429" s="471">
        <v>445</v>
      </c>
      <c r="E429" s="469">
        <v>43.74</v>
      </c>
      <c r="F429" s="469">
        <v>6.4</v>
      </c>
      <c r="G429" s="469">
        <v>6.5</v>
      </c>
      <c r="H429" s="470">
        <v>190</v>
      </c>
      <c r="I429" s="470">
        <v>946</v>
      </c>
      <c r="J429" s="470">
        <v>1823.5</v>
      </c>
      <c r="K429" s="469">
        <v>1.17</v>
      </c>
    </row>
    <row r="430" spans="2:11" x14ac:dyDescent="0.35">
      <c r="B430" s="62">
        <v>17.5</v>
      </c>
      <c r="C430" s="471">
        <v>446</v>
      </c>
      <c r="D430" s="471">
        <v>446</v>
      </c>
      <c r="E430" s="469">
        <v>26.97</v>
      </c>
      <c r="F430" s="469">
        <v>3.7</v>
      </c>
      <c r="G430" s="469">
        <v>4.9000000000000004</v>
      </c>
      <c r="H430" s="470">
        <v>190</v>
      </c>
      <c r="I430" s="470">
        <v>947</v>
      </c>
      <c r="J430" s="470">
        <v>1631.9</v>
      </c>
      <c r="K430" s="469">
        <v>1.17</v>
      </c>
    </row>
    <row r="431" spans="2:11" x14ac:dyDescent="0.35">
      <c r="B431" s="62">
        <v>17.5</v>
      </c>
      <c r="C431" s="471">
        <v>447</v>
      </c>
      <c r="D431" s="471">
        <v>447</v>
      </c>
      <c r="E431" s="469">
        <v>53.54</v>
      </c>
      <c r="F431" s="469">
        <v>4.8</v>
      </c>
      <c r="G431" s="469">
        <v>5.2</v>
      </c>
      <c r="H431" s="470">
        <v>190</v>
      </c>
      <c r="I431" s="470">
        <v>947</v>
      </c>
      <c r="J431" s="470">
        <v>1732.9</v>
      </c>
      <c r="K431" s="469">
        <v>1.17</v>
      </c>
    </row>
    <row r="432" spans="2:11" x14ac:dyDescent="0.35">
      <c r="B432" s="62">
        <v>17.5</v>
      </c>
      <c r="C432" s="471">
        <v>448</v>
      </c>
      <c r="D432" s="471">
        <v>448</v>
      </c>
      <c r="E432" s="469">
        <v>40.630000000000003</v>
      </c>
      <c r="F432" s="469">
        <v>4.5999999999999996</v>
      </c>
      <c r="G432" s="469">
        <v>5.5</v>
      </c>
      <c r="H432" s="470">
        <v>190</v>
      </c>
      <c r="I432" s="470">
        <v>945</v>
      </c>
      <c r="J432" s="470">
        <v>1726.7</v>
      </c>
      <c r="K432" s="469">
        <v>1.17</v>
      </c>
    </row>
    <row r="433" spans="2:11" x14ac:dyDescent="0.35">
      <c r="B433" s="62">
        <v>17.5</v>
      </c>
      <c r="C433" s="471">
        <v>449</v>
      </c>
      <c r="D433" s="471">
        <v>449</v>
      </c>
      <c r="E433" s="469">
        <v>48.66</v>
      </c>
      <c r="F433" s="469">
        <v>4.8</v>
      </c>
      <c r="G433" s="469">
        <v>5.8</v>
      </c>
      <c r="H433" s="470">
        <v>190</v>
      </c>
      <c r="I433" s="470">
        <v>945</v>
      </c>
      <c r="J433" s="470">
        <v>1758.8</v>
      </c>
      <c r="K433" s="469">
        <v>1.17</v>
      </c>
    </row>
    <row r="434" spans="2:11" x14ac:dyDescent="0.35">
      <c r="B434" s="62">
        <v>17.5</v>
      </c>
      <c r="C434" s="471">
        <v>450</v>
      </c>
      <c r="D434" s="471">
        <v>450</v>
      </c>
      <c r="E434" s="469">
        <v>33.090000000000003</v>
      </c>
      <c r="F434" s="469">
        <v>3.6</v>
      </c>
      <c r="G434" s="469">
        <v>3.9</v>
      </c>
      <c r="H434" s="470">
        <v>190</v>
      </c>
      <c r="I434" s="470">
        <v>947</v>
      </c>
      <c r="J434" s="470">
        <v>1669</v>
      </c>
      <c r="K434" s="469">
        <v>1.17</v>
      </c>
    </row>
    <row r="435" spans="2:11" x14ac:dyDescent="0.35">
      <c r="B435" s="62">
        <v>17.5</v>
      </c>
      <c r="C435" s="471">
        <v>451</v>
      </c>
      <c r="D435" s="471">
        <v>451</v>
      </c>
      <c r="E435" s="469">
        <v>47.69</v>
      </c>
      <c r="F435" s="469">
        <v>3.9</v>
      </c>
      <c r="G435" s="469">
        <v>5.3</v>
      </c>
      <c r="H435" s="470">
        <v>190</v>
      </c>
      <c r="I435" s="470">
        <v>945</v>
      </c>
      <c r="J435" s="470">
        <v>1736.3</v>
      </c>
      <c r="K435" s="469">
        <v>1.17</v>
      </c>
    </row>
    <row r="436" spans="2:11" x14ac:dyDescent="0.35">
      <c r="B436" s="62">
        <v>17.5</v>
      </c>
      <c r="C436" s="471">
        <v>452</v>
      </c>
      <c r="D436" s="471">
        <v>452</v>
      </c>
      <c r="E436" s="469">
        <v>43.15</v>
      </c>
      <c r="F436" s="469">
        <v>3.8</v>
      </c>
      <c r="G436" s="469">
        <v>4.3</v>
      </c>
      <c r="H436" s="470">
        <v>190</v>
      </c>
      <c r="I436" s="470">
        <v>946</v>
      </c>
      <c r="J436" s="470">
        <v>1674.3</v>
      </c>
      <c r="K436" s="469">
        <v>1.17</v>
      </c>
    </row>
    <row r="437" spans="2:11" x14ac:dyDescent="0.35">
      <c r="B437" s="62">
        <v>17.5</v>
      </c>
      <c r="C437" s="471">
        <v>453</v>
      </c>
      <c r="D437" s="471">
        <v>453</v>
      </c>
      <c r="E437" s="469">
        <v>69.83</v>
      </c>
      <c r="F437" s="469">
        <v>6.4</v>
      </c>
      <c r="G437" s="469">
        <v>7.4</v>
      </c>
      <c r="H437" s="470">
        <v>190</v>
      </c>
      <c r="I437" s="470">
        <v>943</v>
      </c>
      <c r="J437" s="470">
        <v>1921.8</v>
      </c>
      <c r="K437" s="469">
        <v>1.19</v>
      </c>
    </row>
    <row r="438" spans="2:11" x14ac:dyDescent="0.35">
      <c r="B438" s="62">
        <v>17.5</v>
      </c>
      <c r="C438" s="471">
        <v>454</v>
      </c>
      <c r="D438" s="471">
        <v>454</v>
      </c>
      <c r="E438" s="469">
        <v>56.92</v>
      </c>
      <c r="F438" s="469">
        <v>6.5</v>
      </c>
      <c r="G438" s="469">
        <v>6.8</v>
      </c>
      <c r="H438" s="470">
        <v>189</v>
      </c>
      <c r="I438" s="470">
        <v>940</v>
      </c>
      <c r="J438" s="470">
        <v>1921.4</v>
      </c>
      <c r="K438" s="469">
        <v>1.19</v>
      </c>
    </row>
    <row r="439" spans="2:11" x14ac:dyDescent="0.35">
      <c r="B439" s="62">
        <v>17.5</v>
      </c>
      <c r="C439" s="471">
        <v>455</v>
      </c>
      <c r="D439" s="471">
        <v>455</v>
      </c>
      <c r="E439" s="469">
        <v>48.56</v>
      </c>
      <c r="F439" s="469">
        <v>4.2</v>
      </c>
      <c r="G439" s="469">
        <v>4.4000000000000004</v>
      </c>
      <c r="H439" s="470">
        <v>190</v>
      </c>
      <c r="I439" s="470">
        <v>944</v>
      </c>
      <c r="J439" s="470">
        <v>1714.7</v>
      </c>
      <c r="K439" s="469">
        <v>1.19</v>
      </c>
    </row>
    <row r="440" spans="2:11" x14ac:dyDescent="0.35">
      <c r="B440" s="62">
        <v>17.5</v>
      </c>
      <c r="C440" s="471">
        <v>456</v>
      </c>
      <c r="D440" s="471">
        <v>456</v>
      </c>
      <c r="E440" s="469">
        <v>48.33</v>
      </c>
      <c r="F440" s="469">
        <v>5.3</v>
      </c>
      <c r="G440" s="469">
        <v>5.0999999999999996</v>
      </c>
      <c r="H440" s="470">
        <v>190</v>
      </c>
      <c r="I440" s="470">
        <v>945</v>
      </c>
      <c r="J440" s="470">
        <v>1769.2</v>
      </c>
      <c r="K440" s="469">
        <v>1.19</v>
      </c>
    </row>
    <row r="441" spans="2:11" x14ac:dyDescent="0.35">
      <c r="B441" s="62">
        <v>17.5</v>
      </c>
      <c r="C441" s="471">
        <v>457</v>
      </c>
      <c r="D441" s="471">
        <v>457</v>
      </c>
      <c r="E441" s="469">
        <v>51.23</v>
      </c>
      <c r="F441" s="469">
        <v>5.5</v>
      </c>
      <c r="G441" s="469">
        <v>6.2</v>
      </c>
      <c r="H441" s="470">
        <v>190</v>
      </c>
      <c r="I441" s="470">
        <v>945</v>
      </c>
      <c r="J441" s="470">
        <v>1838.5</v>
      </c>
      <c r="K441" s="469">
        <v>1.19</v>
      </c>
    </row>
    <row r="442" spans="2:11" x14ac:dyDescent="0.35">
      <c r="B442" s="62">
        <v>17.5</v>
      </c>
      <c r="C442" s="471">
        <v>458</v>
      </c>
      <c r="D442" s="471">
        <v>458</v>
      </c>
      <c r="E442" s="469">
        <v>54</v>
      </c>
      <c r="F442" s="469">
        <v>4.8</v>
      </c>
      <c r="G442" s="469">
        <v>5.2</v>
      </c>
      <c r="H442" s="470">
        <v>190</v>
      </c>
      <c r="I442" s="470">
        <v>946</v>
      </c>
      <c r="J442" s="470">
        <v>1795.5</v>
      </c>
      <c r="K442" s="469">
        <v>1.19</v>
      </c>
    </row>
    <row r="443" spans="2:11" x14ac:dyDescent="0.35">
      <c r="B443" s="62">
        <v>17.5</v>
      </c>
      <c r="C443" s="471">
        <v>459</v>
      </c>
      <c r="D443" s="471">
        <v>459</v>
      </c>
      <c r="E443" s="469">
        <v>45.78</v>
      </c>
      <c r="F443" s="469">
        <v>4.8</v>
      </c>
      <c r="G443" s="469">
        <v>5.8</v>
      </c>
      <c r="H443" s="470">
        <v>190</v>
      </c>
      <c r="I443" s="470">
        <v>945</v>
      </c>
      <c r="J443" s="470">
        <v>1802.5</v>
      </c>
      <c r="K443" s="469">
        <v>1.19</v>
      </c>
    </row>
    <row r="444" spans="2:11" x14ac:dyDescent="0.35">
      <c r="B444" s="62">
        <v>17.5</v>
      </c>
      <c r="C444" s="471">
        <v>460</v>
      </c>
      <c r="D444" s="471">
        <v>460</v>
      </c>
      <c r="E444" s="469">
        <v>67.33</v>
      </c>
      <c r="F444" s="469">
        <v>5</v>
      </c>
      <c r="G444" s="469">
        <v>5.0999999999999996</v>
      </c>
      <c r="H444" s="470">
        <v>190</v>
      </c>
      <c r="I444" s="470">
        <v>946</v>
      </c>
      <c r="J444" s="470">
        <v>1791.6</v>
      </c>
      <c r="K444" s="469">
        <v>1.19</v>
      </c>
    </row>
    <row r="445" spans="2:11" x14ac:dyDescent="0.35">
      <c r="B445" s="62">
        <v>17.5</v>
      </c>
      <c r="C445" s="471">
        <v>461</v>
      </c>
      <c r="D445" s="471">
        <v>461</v>
      </c>
      <c r="E445" s="469">
        <v>59.42</v>
      </c>
      <c r="F445" s="469">
        <v>4.0999999999999996</v>
      </c>
      <c r="G445" s="469">
        <v>6</v>
      </c>
      <c r="H445" s="470">
        <v>190</v>
      </c>
      <c r="I445" s="470">
        <v>947</v>
      </c>
      <c r="J445" s="470">
        <v>1773.6</v>
      </c>
      <c r="K445" s="469">
        <v>1.19</v>
      </c>
    </row>
    <row r="446" spans="2:11" x14ac:dyDescent="0.35">
      <c r="B446" s="62">
        <v>17.5</v>
      </c>
      <c r="C446" s="471">
        <v>462</v>
      </c>
      <c r="D446" s="471">
        <v>462</v>
      </c>
      <c r="E446" s="469">
        <v>74.78</v>
      </c>
      <c r="F446" s="469">
        <v>4.5999999999999996</v>
      </c>
      <c r="G446" s="469">
        <v>6.5</v>
      </c>
      <c r="H446" s="470">
        <v>190</v>
      </c>
      <c r="I446" s="470">
        <v>945</v>
      </c>
      <c r="J446" s="470">
        <v>1827.9</v>
      </c>
      <c r="K446" s="469">
        <v>1.19</v>
      </c>
    </row>
    <row r="447" spans="2:11" x14ac:dyDescent="0.35">
      <c r="B447" s="62">
        <v>17.5</v>
      </c>
      <c r="C447" s="471">
        <v>463</v>
      </c>
      <c r="D447" s="471">
        <v>463</v>
      </c>
      <c r="E447" s="469">
        <v>63.81</v>
      </c>
      <c r="F447" s="469">
        <v>4.8</v>
      </c>
      <c r="G447" s="469">
        <v>6</v>
      </c>
      <c r="H447" s="470">
        <v>190</v>
      </c>
      <c r="I447" s="470">
        <v>947</v>
      </c>
      <c r="J447" s="470">
        <v>1803.8</v>
      </c>
      <c r="K447" s="469">
        <v>1.19</v>
      </c>
    </row>
    <row r="448" spans="2:11" x14ac:dyDescent="0.35">
      <c r="B448" s="62">
        <v>17.5</v>
      </c>
      <c r="C448" s="471">
        <v>464</v>
      </c>
      <c r="D448" s="471">
        <v>464</v>
      </c>
      <c r="E448" s="469">
        <v>74.53</v>
      </c>
      <c r="F448" s="469">
        <v>5.2</v>
      </c>
      <c r="G448" s="469">
        <v>6.1</v>
      </c>
      <c r="H448" s="470">
        <v>191</v>
      </c>
      <c r="I448" s="470">
        <v>945</v>
      </c>
      <c r="J448" s="470">
        <v>1852.9</v>
      </c>
      <c r="K448" s="469">
        <v>1.19</v>
      </c>
    </row>
    <row r="449" spans="2:11" x14ac:dyDescent="0.35">
      <c r="B449" s="62">
        <v>17.5</v>
      </c>
      <c r="C449" s="471">
        <v>465</v>
      </c>
      <c r="D449" s="471">
        <v>465</v>
      </c>
      <c r="E449" s="469">
        <v>51.45</v>
      </c>
      <c r="F449" s="469">
        <v>4.2</v>
      </c>
      <c r="G449" s="469">
        <v>4.7</v>
      </c>
      <c r="H449" s="470">
        <v>190</v>
      </c>
      <c r="I449" s="470">
        <v>944</v>
      </c>
      <c r="J449" s="470">
        <v>1713.4</v>
      </c>
      <c r="K449" s="469">
        <v>1.19</v>
      </c>
    </row>
    <row r="450" spans="2:11" x14ac:dyDescent="0.35">
      <c r="B450" s="62">
        <v>17.5</v>
      </c>
      <c r="C450" s="471">
        <v>466</v>
      </c>
      <c r="D450" s="471">
        <v>466</v>
      </c>
      <c r="E450" s="469">
        <v>24.88</v>
      </c>
      <c r="F450" s="469">
        <v>3.2</v>
      </c>
      <c r="G450" s="469">
        <v>4.0999999999999996</v>
      </c>
      <c r="H450" s="470">
        <v>184</v>
      </c>
      <c r="I450" s="470">
        <v>944</v>
      </c>
      <c r="J450" s="470">
        <v>1599.2</v>
      </c>
      <c r="K450" s="469">
        <v>1.19</v>
      </c>
    </row>
    <row r="451" spans="2:11" x14ac:dyDescent="0.35">
      <c r="B451" s="62">
        <v>17.5</v>
      </c>
      <c r="C451" s="471">
        <v>467</v>
      </c>
      <c r="D451" s="471">
        <v>467</v>
      </c>
      <c r="E451" s="469">
        <v>52.11</v>
      </c>
      <c r="F451" s="469">
        <v>3.1</v>
      </c>
      <c r="G451" s="469">
        <v>5.5</v>
      </c>
      <c r="H451" s="470">
        <v>188</v>
      </c>
      <c r="I451" s="470">
        <v>927</v>
      </c>
      <c r="J451" s="470">
        <v>1663.1</v>
      </c>
      <c r="K451" s="469">
        <v>1.19</v>
      </c>
    </row>
    <row r="452" spans="2:11" x14ac:dyDescent="0.35">
      <c r="B452" s="62">
        <v>17.5</v>
      </c>
      <c r="C452" s="471">
        <v>468</v>
      </c>
      <c r="D452" s="471">
        <v>468</v>
      </c>
      <c r="E452" s="469">
        <v>45.05</v>
      </c>
      <c r="F452" s="469">
        <v>2.9</v>
      </c>
      <c r="G452" s="469">
        <v>5.2</v>
      </c>
      <c r="H452" s="470">
        <v>188</v>
      </c>
      <c r="I452" s="470">
        <v>926</v>
      </c>
      <c r="J452" s="470">
        <v>1638.2</v>
      </c>
      <c r="K452" s="469">
        <v>1.19</v>
      </c>
    </row>
    <row r="453" spans="2:11" x14ac:dyDescent="0.35">
      <c r="B453" s="62">
        <v>17.5</v>
      </c>
      <c r="C453" s="471">
        <v>469</v>
      </c>
      <c r="D453" s="471">
        <v>469</v>
      </c>
      <c r="E453" s="469">
        <v>55.18</v>
      </c>
      <c r="F453" s="469">
        <v>3.5</v>
      </c>
      <c r="G453" s="469">
        <v>5.2</v>
      </c>
      <c r="H453" s="470">
        <v>188</v>
      </c>
      <c r="I453" s="470">
        <v>926</v>
      </c>
      <c r="J453" s="470">
        <v>1673.8</v>
      </c>
      <c r="K453" s="469">
        <v>1.19</v>
      </c>
    </row>
    <row r="454" spans="2:11" x14ac:dyDescent="0.35">
      <c r="B454" s="62">
        <v>17.5</v>
      </c>
      <c r="C454" s="471">
        <v>470</v>
      </c>
      <c r="D454" s="471">
        <v>470</v>
      </c>
      <c r="E454" s="469">
        <v>37.340000000000003</v>
      </c>
      <c r="F454" s="469">
        <v>3.8</v>
      </c>
      <c r="G454" s="469">
        <v>5.6</v>
      </c>
      <c r="H454" s="470">
        <v>188</v>
      </c>
      <c r="I454" s="470">
        <v>926</v>
      </c>
      <c r="J454" s="470">
        <v>1622.2</v>
      </c>
      <c r="K454" s="469">
        <v>1.19</v>
      </c>
    </row>
    <row r="455" spans="2:11" x14ac:dyDescent="0.35">
      <c r="B455" s="62">
        <v>17.5</v>
      </c>
      <c r="C455" s="471">
        <v>471</v>
      </c>
      <c r="D455" s="471">
        <v>471</v>
      </c>
      <c r="E455" s="469">
        <v>48.7</v>
      </c>
      <c r="F455" s="469">
        <v>3.6</v>
      </c>
      <c r="G455" s="469">
        <v>5.9</v>
      </c>
      <c r="H455" s="470">
        <v>188</v>
      </c>
      <c r="I455" s="470">
        <v>927</v>
      </c>
      <c r="J455" s="470">
        <v>1644.9</v>
      </c>
      <c r="K455" s="469">
        <v>1.19</v>
      </c>
    </row>
    <row r="456" spans="2:11" x14ac:dyDescent="0.35">
      <c r="B456" s="62">
        <v>17.5</v>
      </c>
      <c r="C456" s="471">
        <v>472</v>
      </c>
      <c r="D456" s="471">
        <v>472</v>
      </c>
      <c r="E456" s="469">
        <v>57.54</v>
      </c>
      <c r="F456" s="469">
        <v>5.2</v>
      </c>
      <c r="G456" s="469">
        <v>6.6</v>
      </c>
      <c r="H456" s="470">
        <v>188</v>
      </c>
      <c r="I456" s="470">
        <v>923</v>
      </c>
      <c r="J456" s="470">
        <v>1746.3</v>
      </c>
      <c r="K456" s="469">
        <v>1.19</v>
      </c>
    </row>
    <row r="457" spans="2:11" x14ac:dyDescent="0.35">
      <c r="B457" s="62">
        <v>17.5</v>
      </c>
      <c r="C457" s="471">
        <v>473</v>
      </c>
      <c r="D457" s="471">
        <v>473</v>
      </c>
      <c r="E457" s="469">
        <v>58.46</v>
      </c>
      <c r="F457" s="469">
        <v>4.5</v>
      </c>
      <c r="G457" s="469">
        <v>6.6</v>
      </c>
      <c r="H457" s="470">
        <v>187</v>
      </c>
      <c r="I457" s="470">
        <v>919</v>
      </c>
      <c r="J457" s="470">
        <v>1771.8</v>
      </c>
      <c r="K457" s="469">
        <v>1.19</v>
      </c>
    </row>
    <row r="458" spans="2:11" x14ac:dyDescent="0.35">
      <c r="B458" s="62">
        <v>17.5</v>
      </c>
      <c r="C458" s="471">
        <v>474</v>
      </c>
      <c r="D458" s="471">
        <v>474</v>
      </c>
      <c r="E458" s="469">
        <v>55.18</v>
      </c>
      <c r="F458" s="469">
        <v>4.2</v>
      </c>
      <c r="G458" s="469">
        <v>6</v>
      </c>
      <c r="H458" s="470">
        <v>188</v>
      </c>
      <c r="I458" s="470">
        <v>926</v>
      </c>
      <c r="J458" s="470">
        <v>1717.2</v>
      </c>
      <c r="K458" s="469">
        <v>1.19</v>
      </c>
    </row>
    <row r="459" spans="2:11" x14ac:dyDescent="0.35">
      <c r="B459" s="62">
        <v>17.5</v>
      </c>
      <c r="C459" s="471">
        <v>475</v>
      </c>
      <c r="D459" s="471">
        <v>475</v>
      </c>
      <c r="E459" s="469">
        <v>69.239999999999995</v>
      </c>
      <c r="F459" s="469">
        <v>4.0999999999999996</v>
      </c>
      <c r="G459" s="469">
        <v>5.7</v>
      </c>
      <c r="H459" s="470">
        <v>188</v>
      </c>
      <c r="I459" s="470">
        <v>922</v>
      </c>
      <c r="J459" s="470">
        <v>1732.7</v>
      </c>
      <c r="K459" s="469">
        <v>1.19</v>
      </c>
    </row>
    <row r="460" spans="2:11" x14ac:dyDescent="0.35">
      <c r="B460" s="62">
        <v>17.5</v>
      </c>
      <c r="C460" s="471">
        <v>476</v>
      </c>
      <c r="D460" s="471">
        <v>476</v>
      </c>
      <c r="E460" s="469">
        <v>54.42</v>
      </c>
      <c r="F460" s="469">
        <v>4.2</v>
      </c>
      <c r="G460" s="469">
        <v>5.8</v>
      </c>
      <c r="H460" s="470">
        <v>188</v>
      </c>
      <c r="I460" s="470">
        <v>926</v>
      </c>
      <c r="J460" s="470">
        <v>1690.4</v>
      </c>
      <c r="K460" s="469">
        <v>1.19</v>
      </c>
    </row>
    <row r="461" spans="2:11" x14ac:dyDescent="0.35">
      <c r="B461" s="62">
        <v>17.5</v>
      </c>
      <c r="C461" s="471">
        <v>477</v>
      </c>
      <c r="D461" s="471">
        <v>477</v>
      </c>
      <c r="E461" s="469">
        <v>54.34</v>
      </c>
      <c r="F461" s="469">
        <v>4.3</v>
      </c>
      <c r="G461" s="469">
        <v>5.7</v>
      </c>
      <c r="H461" s="470">
        <v>188</v>
      </c>
      <c r="I461" s="470">
        <v>925</v>
      </c>
      <c r="J461" s="470">
        <v>1706</v>
      </c>
      <c r="K461" s="469">
        <v>1.19</v>
      </c>
    </row>
    <row r="462" spans="2:11" x14ac:dyDescent="0.35">
      <c r="B462" s="62">
        <v>17.5</v>
      </c>
      <c r="C462" s="471">
        <v>478</v>
      </c>
      <c r="D462" s="471">
        <v>478</v>
      </c>
      <c r="E462" s="469">
        <v>58.5</v>
      </c>
      <c r="F462" s="469">
        <v>4.2</v>
      </c>
      <c r="G462" s="469">
        <v>5.0999999999999996</v>
      </c>
      <c r="H462" s="470">
        <v>188</v>
      </c>
      <c r="I462" s="470">
        <v>926</v>
      </c>
      <c r="J462" s="470">
        <v>1686.9</v>
      </c>
      <c r="K462" s="469">
        <v>1.19</v>
      </c>
    </row>
    <row r="463" spans="2:11" x14ac:dyDescent="0.35">
      <c r="B463" s="62">
        <v>17.5</v>
      </c>
      <c r="C463" s="471">
        <v>479</v>
      </c>
      <c r="D463" s="471">
        <v>479</v>
      </c>
      <c r="E463" s="469">
        <v>39.79</v>
      </c>
      <c r="F463" s="469">
        <v>3.6</v>
      </c>
      <c r="G463" s="469">
        <v>4.7</v>
      </c>
      <c r="H463" s="470">
        <v>189</v>
      </c>
      <c r="I463" s="470">
        <v>928</v>
      </c>
      <c r="J463" s="470">
        <v>1631.7</v>
      </c>
      <c r="K463" s="469">
        <v>1.19</v>
      </c>
    </row>
    <row r="464" spans="2:11" x14ac:dyDescent="0.35">
      <c r="B464" s="62">
        <v>17.5</v>
      </c>
      <c r="C464" s="471">
        <v>480</v>
      </c>
      <c r="D464" s="471">
        <v>480</v>
      </c>
      <c r="E464" s="469">
        <v>72.64</v>
      </c>
      <c r="F464" s="469">
        <v>5.4</v>
      </c>
      <c r="G464" s="469">
        <v>7.2</v>
      </c>
      <c r="H464" s="470">
        <v>188</v>
      </c>
      <c r="I464" s="470">
        <v>921</v>
      </c>
      <c r="J464" s="470">
        <v>1828.3</v>
      </c>
      <c r="K464" s="469">
        <v>1.19</v>
      </c>
    </row>
    <row r="465" spans="2:11" x14ac:dyDescent="0.35">
      <c r="B465" s="62">
        <v>17.5</v>
      </c>
      <c r="C465" s="471">
        <v>481</v>
      </c>
      <c r="D465" s="471">
        <v>481</v>
      </c>
      <c r="E465" s="469">
        <v>52.53</v>
      </c>
      <c r="F465" s="469">
        <v>3.9</v>
      </c>
      <c r="G465" s="469">
        <v>5.0999999999999996</v>
      </c>
      <c r="H465" s="470">
        <v>188</v>
      </c>
      <c r="I465" s="470">
        <v>928</v>
      </c>
      <c r="J465" s="470">
        <v>1653.8</v>
      </c>
      <c r="K465" s="469">
        <v>1.19</v>
      </c>
    </row>
    <row r="466" spans="2:11" x14ac:dyDescent="0.35">
      <c r="B466" s="62">
        <v>17.5</v>
      </c>
      <c r="C466" s="471">
        <v>482</v>
      </c>
      <c r="D466" s="471">
        <v>482</v>
      </c>
      <c r="E466" s="469">
        <v>65.209999999999994</v>
      </c>
      <c r="F466" s="469">
        <v>4.8</v>
      </c>
      <c r="G466" s="469">
        <v>6.7</v>
      </c>
      <c r="H466" s="470">
        <v>188</v>
      </c>
      <c r="I466" s="470">
        <v>922</v>
      </c>
      <c r="J466" s="470">
        <v>1772.7</v>
      </c>
      <c r="K466" s="469">
        <v>1.19</v>
      </c>
    </row>
    <row r="467" spans="2:11" x14ac:dyDescent="0.35">
      <c r="B467" s="62">
        <v>17.5</v>
      </c>
      <c r="C467" s="471">
        <v>483</v>
      </c>
      <c r="D467" s="471">
        <v>483</v>
      </c>
      <c r="E467" s="469">
        <v>78.12</v>
      </c>
      <c r="F467" s="469">
        <v>5.6</v>
      </c>
      <c r="G467" s="469">
        <v>7.6</v>
      </c>
      <c r="H467" s="470">
        <v>187</v>
      </c>
      <c r="I467" s="470">
        <v>919</v>
      </c>
      <c r="J467" s="470">
        <v>1867.9</v>
      </c>
      <c r="K467" s="469">
        <v>1.19</v>
      </c>
    </row>
    <row r="468" spans="2:11" x14ac:dyDescent="0.35">
      <c r="B468" s="62">
        <v>17.5</v>
      </c>
      <c r="C468" s="471">
        <v>484</v>
      </c>
      <c r="D468" s="471">
        <v>484</v>
      </c>
      <c r="E468" s="469">
        <v>36.19</v>
      </c>
      <c r="F468" s="469">
        <v>4.0999999999999996</v>
      </c>
      <c r="G468" s="469">
        <v>4.7</v>
      </c>
      <c r="H468" s="470">
        <v>188</v>
      </c>
      <c r="I468" s="470">
        <v>925</v>
      </c>
      <c r="J468" s="470">
        <v>1671.1</v>
      </c>
      <c r="K468" s="469">
        <v>1.19</v>
      </c>
    </row>
    <row r="469" spans="2:11" x14ac:dyDescent="0.35">
      <c r="B469" s="62">
        <v>17.5</v>
      </c>
      <c r="C469" s="471">
        <v>485</v>
      </c>
      <c r="D469" s="471">
        <v>485</v>
      </c>
      <c r="E469" s="469">
        <v>57.51</v>
      </c>
      <c r="F469" s="469">
        <v>6</v>
      </c>
      <c r="G469" s="469">
        <v>7.4</v>
      </c>
      <c r="H469" s="470">
        <v>187</v>
      </c>
      <c r="I469" s="470">
        <v>917</v>
      </c>
      <c r="J469" s="470">
        <v>1864.2</v>
      </c>
      <c r="K469" s="469">
        <v>1.19</v>
      </c>
    </row>
    <row r="470" spans="2:11" x14ac:dyDescent="0.35">
      <c r="B470" s="62">
        <v>17.5</v>
      </c>
      <c r="C470" s="471">
        <v>486</v>
      </c>
      <c r="D470" s="471">
        <v>486</v>
      </c>
      <c r="E470" s="469">
        <v>53.3</v>
      </c>
      <c r="F470" s="469">
        <v>4.5999999999999996</v>
      </c>
      <c r="G470" s="469">
        <v>5.9</v>
      </c>
      <c r="H470" s="470">
        <v>187</v>
      </c>
      <c r="I470" s="470">
        <v>919</v>
      </c>
      <c r="J470" s="470">
        <v>1727.3</v>
      </c>
      <c r="K470" s="469">
        <v>1.19</v>
      </c>
    </row>
    <row r="471" spans="2:11" x14ac:dyDescent="0.35">
      <c r="B471" s="62">
        <v>17.5</v>
      </c>
      <c r="C471" s="471">
        <v>487</v>
      </c>
      <c r="D471" s="471">
        <v>487</v>
      </c>
      <c r="E471" s="469">
        <v>60.52</v>
      </c>
      <c r="F471" s="469">
        <v>4.8</v>
      </c>
      <c r="G471" s="469">
        <v>6.3</v>
      </c>
      <c r="H471" s="470">
        <v>187</v>
      </c>
      <c r="I471" s="470">
        <v>918</v>
      </c>
      <c r="J471" s="470">
        <v>1778.1</v>
      </c>
      <c r="K471" s="469">
        <v>1.19</v>
      </c>
    </row>
    <row r="472" spans="2:11" x14ac:dyDescent="0.35">
      <c r="B472" s="62">
        <v>17.5</v>
      </c>
      <c r="C472" s="471">
        <v>488</v>
      </c>
      <c r="D472" s="471">
        <v>488</v>
      </c>
      <c r="E472" s="469">
        <v>77.83</v>
      </c>
      <c r="F472" s="469">
        <v>6.4</v>
      </c>
      <c r="G472" s="469">
        <v>8.6</v>
      </c>
      <c r="H472" s="470">
        <v>186</v>
      </c>
      <c r="I472" s="470">
        <v>918</v>
      </c>
      <c r="J472" s="470">
        <v>1922.1</v>
      </c>
      <c r="K472" s="469">
        <v>1.19</v>
      </c>
    </row>
    <row r="473" spans="2:11" x14ac:dyDescent="0.35">
      <c r="B473" s="62">
        <v>17.5</v>
      </c>
      <c r="C473" s="471">
        <v>489</v>
      </c>
      <c r="D473" s="471">
        <v>489</v>
      </c>
      <c r="E473" s="469">
        <v>78</v>
      </c>
      <c r="F473" s="469">
        <v>6.3</v>
      </c>
      <c r="G473" s="469">
        <v>8.6999999999999993</v>
      </c>
      <c r="H473" s="470">
        <v>187</v>
      </c>
      <c r="I473" s="470">
        <v>917</v>
      </c>
      <c r="J473" s="470">
        <v>1936.6</v>
      </c>
      <c r="K473" s="469">
        <v>1.19</v>
      </c>
    </row>
    <row r="474" spans="2:11" x14ac:dyDescent="0.35">
      <c r="B474" s="62">
        <v>17.5</v>
      </c>
      <c r="C474" s="471">
        <v>490</v>
      </c>
      <c r="D474" s="471">
        <v>490</v>
      </c>
      <c r="E474" s="469">
        <v>70.319999999999993</v>
      </c>
      <c r="F474" s="469">
        <v>5.3</v>
      </c>
      <c r="G474" s="469">
        <v>7.3</v>
      </c>
      <c r="H474" s="470">
        <v>187</v>
      </c>
      <c r="I474" s="470">
        <v>921</v>
      </c>
      <c r="J474" s="470">
        <v>1798.9</v>
      </c>
      <c r="K474" s="469">
        <v>1.19</v>
      </c>
    </row>
    <row r="475" spans="2:11" x14ac:dyDescent="0.35">
      <c r="B475" s="62">
        <v>17.5</v>
      </c>
      <c r="C475" s="471">
        <v>491</v>
      </c>
      <c r="D475" s="471">
        <v>491</v>
      </c>
      <c r="E475" s="469">
        <v>52.53</v>
      </c>
      <c r="F475" s="469">
        <v>4.9000000000000004</v>
      </c>
      <c r="G475" s="469">
        <v>6.8</v>
      </c>
      <c r="H475" s="470">
        <v>186</v>
      </c>
      <c r="I475" s="470">
        <v>923</v>
      </c>
      <c r="J475" s="470">
        <v>1800.7</v>
      </c>
      <c r="K475" s="469">
        <v>1.19</v>
      </c>
    </row>
    <row r="476" spans="2:11" x14ac:dyDescent="0.35">
      <c r="B476" s="62">
        <v>17.5</v>
      </c>
      <c r="C476" s="471">
        <v>492</v>
      </c>
      <c r="D476" s="471">
        <v>492</v>
      </c>
      <c r="E476" s="469">
        <v>61.77</v>
      </c>
      <c r="F476" s="469">
        <v>5.2</v>
      </c>
      <c r="G476" s="469">
        <v>7.4</v>
      </c>
      <c r="H476" s="470">
        <v>188</v>
      </c>
      <c r="I476" s="470">
        <v>922</v>
      </c>
      <c r="J476" s="470">
        <v>1818.8</v>
      </c>
      <c r="K476" s="469">
        <v>1.19</v>
      </c>
    </row>
    <row r="477" spans="2:11" x14ac:dyDescent="0.35">
      <c r="B477" s="62">
        <v>17.5</v>
      </c>
      <c r="C477" s="471">
        <v>493</v>
      </c>
      <c r="D477" s="471">
        <v>493</v>
      </c>
      <c r="E477" s="469">
        <v>48.08</v>
      </c>
      <c r="F477" s="469">
        <v>4.5999999999999996</v>
      </c>
      <c r="G477" s="469">
        <v>7</v>
      </c>
      <c r="H477" s="470">
        <v>188</v>
      </c>
      <c r="I477" s="470">
        <v>925</v>
      </c>
      <c r="J477" s="470">
        <v>1739.9</v>
      </c>
      <c r="K477" s="469">
        <v>1.19</v>
      </c>
    </row>
    <row r="478" spans="2:11" x14ac:dyDescent="0.35">
      <c r="B478" s="62">
        <v>17.5</v>
      </c>
      <c r="C478" s="471">
        <v>494</v>
      </c>
      <c r="D478" s="471">
        <v>494</v>
      </c>
      <c r="E478" s="469">
        <v>50.34</v>
      </c>
      <c r="F478" s="469">
        <v>4.2</v>
      </c>
      <c r="G478" s="469">
        <v>5.5</v>
      </c>
      <c r="H478" s="470">
        <v>188</v>
      </c>
      <c r="I478" s="470">
        <v>925</v>
      </c>
      <c r="J478" s="470">
        <v>1681.6</v>
      </c>
      <c r="K478" s="469">
        <v>1.19</v>
      </c>
    </row>
    <row r="479" spans="2:11" x14ac:dyDescent="0.35">
      <c r="B479" s="62">
        <v>17.5</v>
      </c>
      <c r="C479" s="471">
        <v>495</v>
      </c>
      <c r="D479" s="471">
        <v>495</v>
      </c>
      <c r="E479" s="469">
        <v>22.1</v>
      </c>
      <c r="F479" s="469">
        <v>3.2</v>
      </c>
      <c r="G479" s="469">
        <v>4.3</v>
      </c>
      <c r="H479" s="470">
        <v>188</v>
      </c>
      <c r="I479" s="470">
        <v>924</v>
      </c>
      <c r="J479" s="470">
        <v>1552.5</v>
      </c>
      <c r="K479" s="469">
        <v>1.19</v>
      </c>
    </row>
    <row r="480" spans="2:11" x14ac:dyDescent="0.35">
      <c r="B480" s="62">
        <v>17.5</v>
      </c>
      <c r="C480" s="471">
        <v>496</v>
      </c>
      <c r="D480" s="471">
        <v>496</v>
      </c>
      <c r="E480" s="469">
        <v>19.91</v>
      </c>
      <c r="F480" s="469">
        <v>4.4000000000000004</v>
      </c>
      <c r="G480" s="469">
        <v>5.0999999999999996</v>
      </c>
      <c r="H480" s="470">
        <v>190</v>
      </c>
      <c r="I480" s="470">
        <v>917</v>
      </c>
      <c r="J480" s="470">
        <v>1531.6</v>
      </c>
      <c r="K480" s="469">
        <v>1.19</v>
      </c>
    </row>
    <row r="481" spans="2:11" x14ac:dyDescent="0.35">
      <c r="B481" s="62">
        <v>17.5</v>
      </c>
      <c r="C481" s="471">
        <v>497</v>
      </c>
      <c r="D481" s="471">
        <v>497</v>
      </c>
      <c r="E481" s="469">
        <v>49.6</v>
      </c>
      <c r="F481" s="469">
        <v>5</v>
      </c>
      <c r="G481" s="469">
        <v>6.6</v>
      </c>
      <c r="H481" s="470">
        <v>190</v>
      </c>
      <c r="I481" s="470">
        <v>915</v>
      </c>
      <c r="J481" s="470">
        <v>1585</v>
      </c>
      <c r="K481" s="469">
        <v>1.19</v>
      </c>
    </row>
    <row r="482" spans="2:11" x14ac:dyDescent="0.35">
      <c r="B482" s="62">
        <v>17.5</v>
      </c>
      <c r="C482" s="471">
        <v>498</v>
      </c>
      <c r="D482" s="471">
        <v>498</v>
      </c>
      <c r="E482" s="469">
        <v>41.15</v>
      </c>
      <c r="F482" s="469">
        <v>4.5999999999999996</v>
      </c>
      <c r="G482" s="469">
        <v>5.4</v>
      </c>
      <c r="H482" s="470">
        <v>190</v>
      </c>
      <c r="I482" s="470">
        <v>916</v>
      </c>
      <c r="J482" s="470">
        <v>1525.8</v>
      </c>
      <c r="K482" s="469">
        <v>1.19</v>
      </c>
    </row>
    <row r="483" spans="2:11" x14ac:dyDescent="0.35">
      <c r="B483" s="62">
        <v>17.5</v>
      </c>
      <c r="C483" s="471">
        <v>499</v>
      </c>
      <c r="D483" s="471">
        <v>499</v>
      </c>
      <c r="E483" s="469">
        <v>50.36</v>
      </c>
      <c r="F483" s="469">
        <v>5.2</v>
      </c>
      <c r="G483" s="469">
        <v>5.5</v>
      </c>
      <c r="H483" s="470">
        <v>190</v>
      </c>
      <c r="I483" s="470">
        <v>912</v>
      </c>
      <c r="J483" s="470">
        <v>1599.5</v>
      </c>
      <c r="K483" s="469">
        <v>1.19</v>
      </c>
    </row>
    <row r="484" spans="2:11" x14ac:dyDescent="0.35">
      <c r="B484" s="62">
        <v>17.5</v>
      </c>
      <c r="C484" s="471">
        <v>500</v>
      </c>
      <c r="D484" s="471">
        <v>500</v>
      </c>
      <c r="E484" s="469">
        <v>33.520000000000003</v>
      </c>
      <c r="F484" s="469">
        <v>4.5999999999999996</v>
      </c>
      <c r="G484" s="469">
        <v>5.3</v>
      </c>
      <c r="H484" s="470">
        <v>190</v>
      </c>
      <c r="I484" s="470">
        <v>916</v>
      </c>
      <c r="J484" s="470">
        <v>1532</v>
      </c>
      <c r="K484" s="469">
        <v>1.19</v>
      </c>
    </row>
    <row r="485" spans="2:11" x14ac:dyDescent="0.35">
      <c r="B485" s="62">
        <v>17.5</v>
      </c>
      <c r="C485" s="471">
        <v>501</v>
      </c>
      <c r="D485" s="471">
        <v>501</v>
      </c>
      <c r="E485" s="469">
        <v>45.89</v>
      </c>
      <c r="F485" s="469">
        <v>6.8</v>
      </c>
      <c r="G485" s="469">
        <v>6.3</v>
      </c>
      <c r="H485" s="470">
        <v>190</v>
      </c>
      <c r="I485" s="470">
        <v>913</v>
      </c>
      <c r="J485" s="470">
        <v>1676.2</v>
      </c>
      <c r="K485" s="469">
        <v>1.19</v>
      </c>
    </row>
    <row r="486" spans="2:11" x14ac:dyDescent="0.35">
      <c r="B486" s="62">
        <v>17.5</v>
      </c>
      <c r="C486" s="471">
        <v>502</v>
      </c>
      <c r="D486" s="471">
        <v>502</v>
      </c>
      <c r="E486" s="469">
        <v>40.4</v>
      </c>
      <c r="F486" s="469">
        <v>4.5999999999999996</v>
      </c>
      <c r="G486" s="469">
        <v>4.7</v>
      </c>
      <c r="H486" s="470">
        <v>190</v>
      </c>
      <c r="I486" s="470">
        <v>915</v>
      </c>
      <c r="J486" s="470">
        <v>1546.2</v>
      </c>
      <c r="K486" s="469">
        <v>1.19</v>
      </c>
    </row>
    <row r="487" spans="2:11" x14ac:dyDescent="0.35">
      <c r="B487" s="62">
        <v>17.5</v>
      </c>
      <c r="C487" s="471">
        <v>503</v>
      </c>
      <c r="D487" s="471">
        <v>503</v>
      </c>
      <c r="E487" s="469">
        <v>51.05</v>
      </c>
      <c r="F487" s="469">
        <v>5.0999999999999996</v>
      </c>
      <c r="G487" s="469">
        <v>6.1</v>
      </c>
      <c r="H487" s="470">
        <v>190</v>
      </c>
      <c r="I487" s="470">
        <v>916</v>
      </c>
      <c r="J487" s="470">
        <v>1611.5</v>
      </c>
      <c r="K487" s="469">
        <v>1.19</v>
      </c>
    </row>
    <row r="488" spans="2:11" x14ac:dyDescent="0.35">
      <c r="B488" s="62">
        <v>17.5</v>
      </c>
      <c r="C488" s="471">
        <v>504</v>
      </c>
      <c r="D488" s="471">
        <v>504</v>
      </c>
      <c r="E488" s="469">
        <v>51.59</v>
      </c>
      <c r="F488" s="469">
        <v>4.5999999999999996</v>
      </c>
      <c r="G488" s="469">
        <v>5.3</v>
      </c>
      <c r="H488" s="470">
        <v>190</v>
      </c>
      <c r="I488" s="470">
        <v>915</v>
      </c>
      <c r="J488" s="470">
        <v>1594.6</v>
      </c>
      <c r="K488" s="469">
        <v>1.19</v>
      </c>
    </row>
    <row r="489" spans="2:11" x14ac:dyDescent="0.35">
      <c r="B489" s="62">
        <v>17.5</v>
      </c>
      <c r="C489" s="471">
        <v>505</v>
      </c>
      <c r="D489" s="471">
        <v>505</v>
      </c>
      <c r="E489" s="469">
        <v>62.25</v>
      </c>
      <c r="F489" s="469">
        <v>5.2</v>
      </c>
      <c r="G489" s="469">
        <v>6</v>
      </c>
      <c r="H489" s="470">
        <v>190</v>
      </c>
      <c r="I489" s="470">
        <v>912</v>
      </c>
      <c r="J489" s="470">
        <v>1696.3</v>
      </c>
      <c r="K489" s="469">
        <v>1.19</v>
      </c>
    </row>
    <row r="490" spans="2:11" x14ac:dyDescent="0.35">
      <c r="B490" s="62">
        <v>17.5</v>
      </c>
      <c r="C490" s="471">
        <v>506</v>
      </c>
      <c r="D490" s="471">
        <v>506</v>
      </c>
      <c r="E490" s="469">
        <v>52.53</v>
      </c>
      <c r="F490" s="469">
        <v>4.7</v>
      </c>
      <c r="G490" s="469">
        <v>5.3</v>
      </c>
      <c r="H490" s="470">
        <v>190</v>
      </c>
      <c r="I490" s="470">
        <v>915</v>
      </c>
      <c r="J490" s="470">
        <v>1623.2</v>
      </c>
      <c r="K490" s="469">
        <v>1.19</v>
      </c>
    </row>
    <row r="491" spans="2:11" x14ac:dyDescent="0.35">
      <c r="B491" s="62">
        <v>17.5</v>
      </c>
      <c r="C491" s="471">
        <v>507</v>
      </c>
      <c r="D491" s="471">
        <v>507</v>
      </c>
      <c r="E491" s="469">
        <v>49.26</v>
      </c>
      <c r="F491" s="469">
        <v>5.2</v>
      </c>
      <c r="G491" s="469">
        <v>6.8</v>
      </c>
      <c r="H491" s="470">
        <v>189</v>
      </c>
      <c r="I491" s="470">
        <v>910</v>
      </c>
      <c r="J491" s="470">
        <v>1665.8</v>
      </c>
      <c r="K491" s="469">
        <v>1.19</v>
      </c>
    </row>
    <row r="492" spans="2:11" x14ac:dyDescent="0.35">
      <c r="B492" s="62">
        <v>17.5</v>
      </c>
      <c r="C492" s="471">
        <v>508</v>
      </c>
      <c r="D492" s="471">
        <v>508</v>
      </c>
      <c r="E492" s="469">
        <v>42.29</v>
      </c>
      <c r="F492" s="469">
        <v>5.8</v>
      </c>
      <c r="G492" s="469">
        <v>6.4</v>
      </c>
      <c r="H492" s="470">
        <v>190</v>
      </c>
      <c r="I492" s="470">
        <v>909</v>
      </c>
      <c r="J492" s="470">
        <v>1692.2</v>
      </c>
      <c r="K492" s="469">
        <v>1.19</v>
      </c>
    </row>
    <row r="493" spans="2:11" x14ac:dyDescent="0.35">
      <c r="B493" s="62">
        <v>17.5</v>
      </c>
      <c r="C493" s="471">
        <v>509</v>
      </c>
      <c r="D493" s="471">
        <v>509</v>
      </c>
      <c r="E493" s="469">
        <v>43.24</v>
      </c>
      <c r="F493" s="469">
        <v>4.9000000000000004</v>
      </c>
      <c r="G493" s="469">
        <v>5.2</v>
      </c>
      <c r="H493" s="470">
        <v>190</v>
      </c>
      <c r="I493" s="470">
        <v>913</v>
      </c>
      <c r="J493" s="470">
        <v>1647.2</v>
      </c>
      <c r="K493" s="469">
        <v>1.19</v>
      </c>
    </row>
    <row r="494" spans="2:11" x14ac:dyDescent="0.35">
      <c r="B494" s="62">
        <v>17.5</v>
      </c>
      <c r="C494" s="471">
        <v>510</v>
      </c>
      <c r="D494" s="471">
        <v>510</v>
      </c>
      <c r="E494" s="469">
        <v>28.78</v>
      </c>
      <c r="F494" s="469">
        <v>5.9</v>
      </c>
      <c r="G494" s="469">
        <v>5.9</v>
      </c>
      <c r="H494" s="470">
        <v>190</v>
      </c>
      <c r="I494" s="470">
        <v>913</v>
      </c>
      <c r="J494" s="470">
        <v>1675.4</v>
      </c>
      <c r="K494" s="469">
        <v>1.19</v>
      </c>
    </row>
    <row r="495" spans="2:11" x14ac:dyDescent="0.35">
      <c r="B495" s="62">
        <v>17.5</v>
      </c>
      <c r="C495" s="471">
        <v>511</v>
      </c>
      <c r="D495" s="471">
        <v>511</v>
      </c>
      <c r="E495" s="469">
        <v>51.07</v>
      </c>
      <c r="F495" s="469">
        <v>5</v>
      </c>
      <c r="G495" s="469">
        <v>5.8</v>
      </c>
      <c r="H495" s="470">
        <v>189</v>
      </c>
      <c r="I495" s="470">
        <v>909</v>
      </c>
      <c r="J495" s="470">
        <v>1656.3</v>
      </c>
      <c r="K495" s="469">
        <v>1.19</v>
      </c>
    </row>
    <row r="496" spans="2:11" x14ac:dyDescent="0.35">
      <c r="B496" s="62">
        <v>17.5</v>
      </c>
      <c r="C496" s="471">
        <v>512</v>
      </c>
      <c r="D496" s="471">
        <v>512</v>
      </c>
      <c r="E496" s="469">
        <v>55.11</v>
      </c>
      <c r="F496" s="469">
        <v>5.4</v>
      </c>
      <c r="G496" s="469">
        <v>6.2</v>
      </c>
      <c r="H496" s="470">
        <v>189</v>
      </c>
      <c r="I496" s="470">
        <v>908</v>
      </c>
      <c r="J496" s="470">
        <v>1694.8</v>
      </c>
      <c r="K496" s="469">
        <v>1.19</v>
      </c>
    </row>
    <row r="497" spans="2:11" x14ac:dyDescent="0.35">
      <c r="B497" s="62">
        <v>17.5</v>
      </c>
      <c r="C497" s="471">
        <v>513</v>
      </c>
      <c r="D497" s="471">
        <v>513</v>
      </c>
      <c r="E497" s="469">
        <v>50.69</v>
      </c>
      <c r="F497" s="469">
        <v>5.4</v>
      </c>
      <c r="G497" s="469">
        <v>6</v>
      </c>
      <c r="H497" s="470">
        <v>189</v>
      </c>
      <c r="I497" s="470">
        <v>907</v>
      </c>
      <c r="J497" s="470">
        <v>1709.1</v>
      </c>
      <c r="K497" s="469">
        <v>1.19</v>
      </c>
    </row>
    <row r="498" spans="2:11" x14ac:dyDescent="0.35">
      <c r="B498" s="62">
        <v>17.5</v>
      </c>
      <c r="C498" s="471">
        <v>514</v>
      </c>
      <c r="D498" s="471">
        <v>514</v>
      </c>
      <c r="E498" s="469">
        <v>63.81</v>
      </c>
      <c r="F498" s="469">
        <v>6.3</v>
      </c>
      <c r="G498" s="469">
        <v>7.1</v>
      </c>
      <c r="H498" s="470">
        <v>189</v>
      </c>
      <c r="I498" s="470">
        <v>907</v>
      </c>
      <c r="J498" s="470">
        <v>1782.1</v>
      </c>
      <c r="K498" s="469">
        <v>1.19</v>
      </c>
    </row>
    <row r="499" spans="2:11" x14ac:dyDescent="0.35">
      <c r="B499" s="62">
        <v>17.5</v>
      </c>
      <c r="C499" s="471">
        <v>515</v>
      </c>
      <c r="D499" s="471">
        <v>515</v>
      </c>
      <c r="E499" s="469">
        <v>51.23</v>
      </c>
      <c r="F499" s="469">
        <v>5.4</v>
      </c>
      <c r="G499" s="469">
        <v>6.1</v>
      </c>
      <c r="H499" s="470">
        <v>190</v>
      </c>
      <c r="I499" s="470">
        <v>909</v>
      </c>
      <c r="J499" s="470">
        <v>1730.1</v>
      </c>
      <c r="K499" s="469">
        <v>1.19</v>
      </c>
    </row>
    <row r="500" spans="2:11" x14ac:dyDescent="0.35">
      <c r="B500" s="62">
        <v>17.5</v>
      </c>
      <c r="C500" s="471">
        <v>516</v>
      </c>
      <c r="D500" s="471">
        <v>516</v>
      </c>
      <c r="E500" s="469">
        <v>60.14</v>
      </c>
      <c r="F500" s="469">
        <v>6.2</v>
      </c>
      <c r="G500" s="469">
        <v>6.6</v>
      </c>
      <c r="H500" s="470">
        <v>189</v>
      </c>
      <c r="I500" s="470">
        <v>907</v>
      </c>
      <c r="J500" s="470">
        <v>1790.9</v>
      </c>
      <c r="K500" s="469">
        <v>1.2</v>
      </c>
    </row>
    <row r="501" spans="2:11" x14ac:dyDescent="0.35">
      <c r="B501" s="62">
        <v>17.5</v>
      </c>
      <c r="C501" s="471">
        <v>517</v>
      </c>
      <c r="D501" s="471">
        <v>517</v>
      </c>
      <c r="E501" s="469">
        <v>68.94</v>
      </c>
      <c r="F501" s="469">
        <v>5.0999999999999996</v>
      </c>
      <c r="G501" s="469">
        <v>4.5</v>
      </c>
      <c r="H501" s="470">
        <v>190</v>
      </c>
      <c r="I501" s="470">
        <v>907</v>
      </c>
      <c r="J501" s="470">
        <v>1728.2</v>
      </c>
      <c r="K501" s="469">
        <v>1.2</v>
      </c>
    </row>
    <row r="502" spans="2:11" x14ac:dyDescent="0.35">
      <c r="B502" s="62">
        <v>17.5</v>
      </c>
      <c r="C502" s="471">
        <v>518</v>
      </c>
      <c r="D502" s="471">
        <v>518</v>
      </c>
      <c r="E502" s="469">
        <v>59.86</v>
      </c>
      <c r="F502" s="469">
        <v>5.7</v>
      </c>
      <c r="G502" s="469">
        <v>6.6</v>
      </c>
      <c r="H502" s="470">
        <v>189</v>
      </c>
      <c r="I502" s="470">
        <v>907</v>
      </c>
      <c r="J502" s="470">
        <v>1801.2</v>
      </c>
      <c r="K502" s="469">
        <v>1.2</v>
      </c>
    </row>
    <row r="503" spans="2:11" x14ac:dyDescent="0.35">
      <c r="B503" s="62">
        <v>17.5</v>
      </c>
      <c r="C503" s="471">
        <v>519</v>
      </c>
      <c r="D503" s="471">
        <v>519</v>
      </c>
      <c r="E503" s="469">
        <v>72.489999999999995</v>
      </c>
      <c r="F503" s="469">
        <v>6.1</v>
      </c>
      <c r="G503" s="469">
        <v>7.5</v>
      </c>
      <c r="H503" s="470">
        <v>189</v>
      </c>
      <c r="I503" s="470">
        <v>907</v>
      </c>
      <c r="J503" s="470">
        <v>1829.4</v>
      </c>
      <c r="K503" s="469">
        <v>1.2</v>
      </c>
    </row>
    <row r="504" spans="2:11" x14ac:dyDescent="0.35">
      <c r="B504" s="62">
        <v>17.5</v>
      </c>
      <c r="C504" s="471">
        <v>520</v>
      </c>
      <c r="D504" s="471">
        <v>520</v>
      </c>
      <c r="E504" s="469">
        <v>74.02</v>
      </c>
      <c r="F504" s="469">
        <v>6.4</v>
      </c>
      <c r="G504" s="469">
        <v>6.5</v>
      </c>
      <c r="H504" s="470">
        <v>189</v>
      </c>
      <c r="I504" s="470">
        <v>906</v>
      </c>
      <c r="J504" s="470">
        <v>1862.6</v>
      </c>
      <c r="K504" s="469">
        <v>1.2</v>
      </c>
    </row>
    <row r="505" spans="2:11" x14ac:dyDescent="0.35">
      <c r="B505" s="62">
        <v>17.5</v>
      </c>
      <c r="C505" s="471">
        <v>521</v>
      </c>
      <c r="D505" s="471">
        <v>521</v>
      </c>
      <c r="E505" s="469">
        <v>56.38</v>
      </c>
      <c r="F505" s="469">
        <v>5.3</v>
      </c>
      <c r="G505" s="469">
        <v>6.3</v>
      </c>
      <c r="H505" s="470">
        <v>189</v>
      </c>
      <c r="I505" s="470">
        <v>908</v>
      </c>
      <c r="J505" s="470">
        <v>1758.9</v>
      </c>
      <c r="K505" s="469">
        <v>1.2</v>
      </c>
    </row>
    <row r="506" spans="2:11" x14ac:dyDescent="0.35">
      <c r="B506" s="62">
        <v>17.5</v>
      </c>
      <c r="C506" s="471">
        <v>522</v>
      </c>
      <c r="D506" s="471">
        <v>522</v>
      </c>
      <c r="E506" s="469">
        <v>56.55</v>
      </c>
      <c r="F506" s="469">
        <v>5.8</v>
      </c>
      <c r="G506" s="469">
        <v>7</v>
      </c>
      <c r="H506" s="470">
        <v>189</v>
      </c>
      <c r="I506" s="470">
        <v>907</v>
      </c>
      <c r="J506" s="470">
        <v>1808.7</v>
      </c>
      <c r="K506" s="469">
        <v>1.2</v>
      </c>
    </row>
    <row r="507" spans="2:11" x14ac:dyDescent="0.35">
      <c r="B507" s="62">
        <v>17.5</v>
      </c>
      <c r="C507" s="471">
        <v>523</v>
      </c>
      <c r="D507" s="471">
        <v>523</v>
      </c>
      <c r="E507" s="469">
        <v>63.82</v>
      </c>
      <c r="F507" s="469">
        <v>6.3</v>
      </c>
      <c r="G507" s="469">
        <v>6.2</v>
      </c>
      <c r="H507" s="470">
        <v>190</v>
      </c>
      <c r="I507" s="470">
        <v>909</v>
      </c>
      <c r="J507" s="470">
        <v>1841.9</v>
      </c>
      <c r="K507" s="469">
        <v>1.2</v>
      </c>
    </row>
    <row r="508" spans="2:11" x14ac:dyDescent="0.35">
      <c r="B508" s="62">
        <v>17.5</v>
      </c>
      <c r="C508" s="471">
        <v>524</v>
      </c>
      <c r="D508" s="471">
        <v>524</v>
      </c>
      <c r="E508" s="469">
        <v>17.010000000000002</v>
      </c>
      <c r="F508" s="469">
        <v>5.5</v>
      </c>
      <c r="G508" s="469">
        <v>5.5</v>
      </c>
      <c r="H508" s="470">
        <v>190</v>
      </c>
      <c r="I508" s="470">
        <v>912</v>
      </c>
      <c r="J508" s="470">
        <v>1812.1</v>
      </c>
      <c r="K508" s="469">
        <v>1.2</v>
      </c>
    </row>
    <row r="509" spans="2:11" x14ac:dyDescent="0.35">
      <c r="B509" s="62">
        <v>17.5</v>
      </c>
      <c r="C509" s="471">
        <v>525</v>
      </c>
      <c r="D509" s="471">
        <v>525</v>
      </c>
      <c r="E509" s="469">
        <v>62.37</v>
      </c>
      <c r="F509" s="469">
        <v>5.0999999999999996</v>
      </c>
      <c r="G509" s="469">
        <v>6.4</v>
      </c>
      <c r="H509" s="470">
        <v>191</v>
      </c>
      <c r="I509" s="470">
        <v>918</v>
      </c>
      <c r="J509" s="470">
        <v>1918.3</v>
      </c>
      <c r="K509" s="469">
        <v>1.2</v>
      </c>
    </row>
    <row r="510" spans="2:11" x14ac:dyDescent="0.35">
      <c r="B510" s="62">
        <v>17.5</v>
      </c>
      <c r="C510" s="471">
        <v>526</v>
      </c>
      <c r="D510" s="471">
        <v>526</v>
      </c>
      <c r="E510" s="469">
        <v>62.88</v>
      </c>
      <c r="F510" s="469">
        <v>5.0999999999999996</v>
      </c>
      <c r="G510" s="469">
        <v>7.4</v>
      </c>
      <c r="H510" s="470">
        <v>191</v>
      </c>
      <c r="I510" s="470">
        <v>921</v>
      </c>
      <c r="J510" s="470">
        <v>1910.7</v>
      </c>
      <c r="K510" s="469">
        <v>1.2</v>
      </c>
    </row>
    <row r="511" spans="2:11" x14ac:dyDescent="0.35">
      <c r="B511" s="62">
        <v>17.5</v>
      </c>
      <c r="C511" s="471">
        <v>527</v>
      </c>
      <c r="D511" s="471">
        <v>527</v>
      </c>
      <c r="E511" s="469">
        <v>65.78</v>
      </c>
      <c r="F511" s="469">
        <v>5.4</v>
      </c>
      <c r="G511" s="469">
        <v>6.2</v>
      </c>
      <c r="H511" s="470">
        <v>191</v>
      </c>
      <c r="I511" s="470">
        <v>916</v>
      </c>
      <c r="J511" s="470">
        <v>1956.1</v>
      </c>
      <c r="K511" s="469">
        <v>1.2</v>
      </c>
    </row>
    <row r="512" spans="2:11" x14ac:dyDescent="0.35">
      <c r="B512" s="62">
        <v>17.5</v>
      </c>
      <c r="C512" s="471">
        <v>528</v>
      </c>
      <c r="D512" s="471">
        <v>528</v>
      </c>
      <c r="E512" s="469">
        <v>60.06</v>
      </c>
      <c r="F512" s="469">
        <v>5.5</v>
      </c>
      <c r="G512" s="469">
        <v>6.9</v>
      </c>
      <c r="H512" s="470">
        <v>191</v>
      </c>
      <c r="I512" s="470">
        <v>917</v>
      </c>
      <c r="J512" s="470">
        <v>1967.1</v>
      </c>
      <c r="K512" s="469">
        <v>1.2</v>
      </c>
    </row>
    <row r="513" spans="2:11" x14ac:dyDescent="0.35">
      <c r="B513" s="62">
        <v>17.5</v>
      </c>
      <c r="C513" s="471">
        <v>529</v>
      </c>
      <c r="D513" s="471">
        <v>529</v>
      </c>
      <c r="E513" s="469">
        <v>67.33</v>
      </c>
      <c r="F513" s="469">
        <v>6.5</v>
      </c>
      <c r="G513" s="469">
        <v>7.2</v>
      </c>
      <c r="H513" s="470">
        <v>190</v>
      </c>
      <c r="I513" s="470">
        <v>912</v>
      </c>
      <c r="J513" s="470">
        <v>2021.4</v>
      </c>
      <c r="K513" s="469">
        <v>1.2</v>
      </c>
    </row>
    <row r="514" spans="2:11" x14ac:dyDescent="0.35">
      <c r="B514" s="62">
        <v>17.5</v>
      </c>
      <c r="C514" s="471">
        <v>530</v>
      </c>
      <c r="D514" s="471">
        <v>530</v>
      </c>
      <c r="E514" s="469">
        <v>74.02</v>
      </c>
      <c r="F514" s="469">
        <v>5.9</v>
      </c>
      <c r="G514" s="469">
        <v>7.3</v>
      </c>
      <c r="H514" s="470">
        <v>190</v>
      </c>
      <c r="I514" s="470">
        <v>912</v>
      </c>
      <c r="J514" s="470">
        <v>1996</v>
      </c>
      <c r="K514" s="469">
        <v>1.2</v>
      </c>
    </row>
    <row r="515" spans="2:11" x14ac:dyDescent="0.35">
      <c r="B515" s="62">
        <v>17.5</v>
      </c>
      <c r="C515" s="471">
        <v>531</v>
      </c>
      <c r="D515" s="471">
        <v>531</v>
      </c>
      <c r="E515" s="469">
        <v>40.82</v>
      </c>
      <c r="F515" s="469">
        <v>6.6</v>
      </c>
      <c r="G515" s="469">
        <v>6.5</v>
      </c>
      <c r="H515" s="470">
        <v>190</v>
      </c>
      <c r="I515" s="470">
        <v>913</v>
      </c>
      <c r="J515" s="470">
        <v>1972.8</v>
      </c>
      <c r="K515" s="469">
        <v>1.2</v>
      </c>
    </row>
    <row r="516" spans="2:11" x14ac:dyDescent="0.35">
      <c r="B516" s="62">
        <v>17.5</v>
      </c>
      <c r="C516" s="471">
        <v>532</v>
      </c>
      <c r="D516" s="471">
        <v>532</v>
      </c>
      <c r="E516" s="469">
        <v>62.95</v>
      </c>
      <c r="F516" s="469">
        <v>7.7</v>
      </c>
      <c r="G516" s="469">
        <v>7.5</v>
      </c>
      <c r="H516" s="470">
        <v>190</v>
      </c>
      <c r="I516" s="470">
        <v>912</v>
      </c>
      <c r="J516" s="470">
        <v>2014.7</v>
      </c>
      <c r="K516" s="469">
        <v>1.2</v>
      </c>
    </row>
    <row r="517" spans="2:11" x14ac:dyDescent="0.35">
      <c r="B517" s="62">
        <v>17.5</v>
      </c>
      <c r="C517" s="471">
        <v>533</v>
      </c>
      <c r="D517" s="471">
        <v>533</v>
      </c>
      <c r="E517" s="469">
        <v>67.56</v>
      </c>
      <c r="F517" s="469">
        <v>7.4</v>
      </c>
      <c r="G517" s="469">
        <v>6.5</v>
      </c>
      <c r="H517" s="470">
        <v>190</v>
      </c>
      <c r="I517" s="470">
        <v>911</v>
      </c>
      <c r="J517" s="470">
        <v>1982.6</v>
      </c>
      <c r="K517" s="469">
        <v>1.2</v>
      </c>
    </row>
    <row r="518" spans="2:11" x14ac:dyDescent="0.35">
      <c r="B518" s="62">
        <v>17.5</v>
      </c>
      <c r="C518" s="471">
        <v>534</v>
      </c>
      <c r="D518" s="471">
        <v>534</v>
      </c>
      <c r="E518" s="469">
        <v>65.510000000000005</v>
      </c>
      <c r="F518" s="469">
        <v>7.1</v>
      </c>
      <c r="G518" s="469">
        <v>6.1</v>
      </c>
      <c r="H518" s="470">
        <v>190</v>
      </c>
      <c r="I518" s="470">
        <v>916</v>
      </c>
      <c r="J518" s="470">
        <v>1946.4</v>
      </c>
      <c r="K518" s="469">
        <v>1.2</v>
      </c>
    </row>
    <row r="519" spans="2:11" x14ac:dyDescent="0.35">
      <c r="B519" s="62">
        <v>17.5</v>
      </c>
      <c r="C519" s="471">
        <v>535</v>
      </c>
      <c r="D519" s="471">
        <v>535</v>
      </c>
      <c r="E519" s="469">
        <v>59.42</v>
      </c>
      <c r="F519" s="469">
        <v>6.6</v>
      </c>
      <c r="G519" s="469">
        <v>5.0999999999999996</v>
      </c>
      <c r="H519" s="470">
        <v>190</v>
      </c>
      <c r="I519" s="470">
        <v>913</v>
      </c>
      <c r="J519" s="470">
        <v>1937.4</v>
      </c>
      <c r="K519" s="469">
        <v>1.2</v>
      </c>
    </row>
    <row r="520" spans="2:11" x14ac:dyDescent="0.35">
      <c r="B520" s="62">
        <v>17.5</v>
      </c>
      <c r="C520" s="471">
        <v>536</v>
      </c>
      <c r="D520" s="471">
        <v>536</v>
      </c>
      <c r="E520" s="469">
        <v>51.91</v>
      </c>
      <c r="F520" s="469">
        <v>7</v>
      </c>
      <c r="G520" s="469">
        <v>6.7</v>
      </c>
      <c r="H520" s="470">
        <v>190</v>
      </c>
      <c r="I520" s="470">
        <v>912</v>
      </c>
      <c r="J520" s="470">
        <v>1968.2</v>
      </c>
      <c r="K520" s="469">
        <v>1.2</v>
      </c>
    </row>
    <row r="521" spans="2:11" x14ac:dyDescent="0.35">
      <c r="B521" s="62">
        <v>17.5</v>
      </c>
      <c r="C521" s="471">
        <v>537</v>
      </c>
      <c r="D521" s="471">
        <v>537</v>
      </c>
      <c r="E521" s="469">
        <v>58.2</v>
      </c>
      <c r="F521" s="469">
        <v>7</v>
      </c>
      <c r="G521" s="469">
        <v>6.8</v>
      </c>
      <c r="H521" s="470">
        <v>190</v>
      </c>
      <c r="I521" s="470">
        <v>916</v>
      </c>
      <c r="J521" s="470">
        <v>1953.1</v>
      </c>
      <c r="K521" s="469">
        <v>1.2</v>
      </c>
    </row>
    <row r="522" spans="2:11" x14ac:dyDescent="0.35">
      <c r="B522" s="62">
        <v>17.5</v>
      </c>
      <c r="C522" s="471">
        <v>538</v>
      </c>
      <c r="D522" s="471">
        <v>538</v>
      </c>
      <c r="E522" s="469">
        <v>69.83</v>
      </c>
      <c r="F522" s="469">
        <v>5.7</v>
      </c>
      <c r="G522" s="469">
        <v>7.6</v>
      </c>
      <c r="H522" s="470">
        <v>190</v>
      </c>
      <c r="I522" s="470">
        <v>920</v>
      </c>
      <c r="J522" s="470">
        <v>1901.4</v>
      </c>
      <c r="K522" s="469">
        <v>1.2</v>
      </c>
    </row>
    <row r="523" spans="2:11" x14ac:dyDescent="0.35">
      <c r="B523" s="62">
        <v>17.5</v>
      </c>
      <c r="C523" s="471">
        <v>539</v>
      </c>
      <c r="D523" s="471">
        <v>539</v>
      </c>
      <c r="E523" s="469">
        <v>61.34</v>
      </c>
      <c r="F523" s="469">
        <v>5.3</v>
      </c>
      <c r="G523" s="469">
        <v>5.0999999999999996</v>
      </c>
      <c r="H523" s="470">
        <v>192</v>
      </c>
      <c r="I523" s="470">
        <v>921</v>
      </c>
      <c r="J523" s="470">
        <v>1861.1</v>
      </c>
      <c r="K523" s="469">
        <v>1.2</v>
      </c>
    </row>
    <row r="524" spans="2:11" x14ac:dyDescent="0.35">
      <c r="B524" s="62">
        <v>17.5</v>
      </c>
      <c r="C524" s="471">
        <v>540</v>
      </c>
      <c r="D524" s="471">
        <v>540</v>
      </c>
      <c r="E524" s="469">
        <v>89.36</v>
      </c>
      <c r="F524" s="469">
        <v>7.6</v>
      </c>
      <c r="G524" s="469">
        <v>6.6</v>
      </c>
      <c r="H524" s="470">
        <v>189</v>
      </c>
      <c r="I524" s="470">
        <v>907</v>
      </c>
      <c r="J524" s="470">
        <v>2073.5</v>
      </c>
      <c r="K524" s="469">
        <v>1.2</v>
      </c>
    </row>
    <row r="525" spans="2:11" x14ac:dyDescent="0.35">
      <c r="B525" s="62">
        <v>17.5</v>
      </c>
      <c r="C525" s="471">
        <v>541</v>
      </c>
      <c r="D525" s="471">
        <v>541</v>
      </c>
      <c r="E525" s="469">
        <v>62.32</v>
      </c>
      <c r="F525" s="469">
        <v>6.8</v>
      </c>
      <c r="G525" s="469">
        <v>5.6</v>
      </c>
      <c r="H525" s="470">
        <v>190</v>
      </c>
      <c r="I525" s="470">
        <v>914</v>
      </c>
      <c r="J525" s="470">
        <v>1968.9</v>
      </c>
      <c r="K525" s="469">
        <v>1.2</v>
      </c>
    </row>
    <row r="526" spans="2:11" x14ac:dyDescent="0.35">
      <c r="B526" s="62">
        <v>17.5</v>
      </c>
      <c r="C526" s="471">
        <v>542</v>
      </c>
      <c r="D526" s="471">
        <v>542</v>
      </c>
      <c r="E526" s="469">
        <v>60.91</v>
      </c>
      <c r="F526" s="469">
        <v>6</v>
      </c>
      <c r="G526" s="469">
        <v>6.5</v>
      </c>
      <c r="H526" s="470">
        <v>190</v>
      </c>
      <c r="I526" s="470">
        <v>912</v>
      </c>
      <c r="J526" s="470">
        <v>1953.2</v>
      </c>
      <c r="K526" s="469">
        <v>1.2</v>
      </c>
    </row>
    <row r="527" spans="2:11" x14ac:dyDescent="0.35">
      <c r="B527" s="62">
        <v>17.5</v>
      </c>
      <c r="C527" s="471">
        <v>543</v>
      </c>
      <c r="D527" s="471">
        <v>543</v>
      </c>
      <c r="E527" s="469">
        <v>80.55</v>
      </c>
      <c r="F527" s="469">
        <v>7.9</v>
      </c>
      <c r="G527" s="469">
        <v>9.5</v>
      </c>
      <c r="H527" s="470">
        <v>189</v>
      </c>
      <c r="I527" s="470">
        <v>907</v>
      </c>
      <c r="J527" s="470">
        <v>2087.3000000000002</v>
      </c>
      <c r="K527" s="469">
        <v>1.2</v>
      </c>
    </row>
    <row r="528" spans="2:11" x14ac:dyDescent="0.35">
      <c r="B528" s="62">
        <v>17.5</v>
      </c>
      <c r="C528" s="471">
        <v>544</v>
      </c>
      <c r="D528" s="471">
        <v>544</v>
      </c>
      <c r="E528" s="469">
        <v>53.3</v>
      </c>
      <c r="F528" s="469">
        <v>5.0999999999999996</v>
      </c>
      <c r="G528" s="469">
        <v>5.7</v>
      </c>
      <c r="H528" s="470">
        <v>191</v>
      </c>
      <c r="I528" s="470">
        <v>917</v>
      </c>
      <c r="J528" s="470">
        <v>1859.2</v>
      </c>
      <c r="K528" s="469">
        <v>1.2</v>
      </c>
    </row>
    <row r="529" spans="2:11" x14ac:dyDescent="0.35">
      <c r="B529" s="62">
        <v>17.5</v>
      </c>
      <c r="C529" s="471">
        <v>545</v>
      </c>
      <c r="D529" s="471">
        <v>545</v>
      </c>
      <c r="E529" s="469">
        <v>66.09</v>
      </c>
      <c r="F529" s="469">
        <v>7</v>
      </c>
      <c r="G529" s="469">
        <v>8.8000000000000007</v>
      </c>
      <c r="H529" s="470">
        <v>190</v>
      </c>
      <c r="I529" s="470">
        <v>912</v>
      </c>
      <c r="J529" s="470">
        <v>1964.9</v>
      </c>
      <c r="K529" s="469">
        <v>1.2</v>
      </c>
    </row>
    <row r="530" spans="2:11" x14ac:dyDescent="0.35">
      <c r="B530" s="62">
        <v>17.5</v>
      </c>
      <c r="C530" s="471">
        <v>546</v>
      </c>
      <c r="D530" s="471">
        <v>546</v>
      </c>
      <c r="E530" s="469">
        <v>53.53</v>
      </c>
      <c r="F530" s="469">
        <v>7</v>
      </c>
      <c r="G530" s="469">
        <v>6.7</v>
      </c>
      <c r="H530" s="470">
        <v>191</v>
      </c>
      <c r="I530" s="470">
        <v>914</v>
      </c>
      <c r="J530" s="470">
        <v>1957.3</v>
      </c>
      <c r="K530" s="469">
        <v>1.2</v>
      </c>
    </row>
    <row r="531" spans="2:11" x14ac:dyDescent="0.35">
      <c r="B531" s="62">
        <v>17.5</v>
      </c>
      <c r="C531" s="471">
        <v>547</v>
      </c>
      <c r="D531" s="471">
        <v>547</v>
      </c>
      <c r="E531" s="469">
        <v>64.069999999999993</v>
      </c>
      <c r="F531" s="469">
        <v>7.2</v>
      </c>
      <c r="G531" s="469">
        <v>6.6</v>
      </c>
      <c r="H531" s="470">
        <v>190</v>
      </c>
      <c r="I531" s="470">
        <v>915</v>
      </c>
      <c r="J531" s="470">
        <v>1974.2</v>
      </c>
      <c r="K531" s="469">
        <v>1.2</v>
      </c>
    </row>
    <row r="532" spans="2:11" x14ac:dyDescent="0.35">
      <c r="B532" s="62">
        <v>17.5</v>
      </c>
      <c r="C532" s="471">
        <v>548</v>
      </c>
      <c r="D532" s="471">
        <v>548</v>
      </c>
      <c r="E532" s="469">
        <v>51.23</v>
      </c>
      <c r="F532" s="469">
        <v>4.4000000000000004</v>
      </c>
      <c r="G532" s="469">
        <v>4.4000000000000004</v>
      </c>
      <c r="H532" s="470">
        <v>191</v>
      </c>
      <c r="I532" s="470">
        <v>924</v>
      </c>
      <c r="J532" s="470">
        <v>1760.3</v>
      </c>
      <c r="K532" s="469">
        <v>1.2</v>
      </c>
    </row>
    <row r="533" spans="2:11" x14ac:dyDescent="0.35">
      <c r="B533" s="62">
        <v>17.5</v>
      </c>
      <c r="C533" s="471">
        <v>549</v>
      </c>
      <c r="D533" s="471">
        <v>549</v>
      </c>
      <c r="E533" s="469">
        <v>54.59</v>
      </c>
      <c r="F533" s="469">
        <v>6.5</v>
      </c>
      <c r="G533" s="469">
        <v>5.7</v>
      </c>
      <c r="H533" s="470">
        <v>191</v>
      </c>
      <c r="I533" s="470">
        <v>921</v>
      </c>
      <c r="J533" s="470">
        <v>1849.6</v>
      </c>
      <c r="K533" s="469">
        <v>1.2</v>
      </c>
    </row>
    <row r="534" spans="2:11" x14ac:dyDescent="0.35">
      <c r="B534" s="62">
        <v>17.5</v>
      </c>
      <c r="C534" s="471">
        <v>550</v>
      </c>
      <c r="D534" s="471">
        <v>550</v>
      </c>
      <c r="E534" s="469">
        <v>50.87</v>
      </c>
      <c r="F534" s="469">
        <v>7.4</v>
      </c>
      <c r="G534" s="469">
        <v>6.9</v>
      </c>
      <c r="H534" s="470">
        <v>192</v>
      </c>
      <c r="I534" s="470">
        <v>921</v>
      </c>
      <c r="J534" s="470">
        <v>1887.1</v>
      </c>
      <c r="K534" s="469">
        <v>1.2</v>
      </c>
    </row>
    <row r="535" spans="2:11" x14ac:dyDescent="0.35">
      <c r="B535" s="62">
        <v>17.5</v>
      </c>
      <c r="C535" s="471">
        <v>551</v>
      </c>
      <c r="D535" s="471">
        <v>551</v>
      </c>
      <c r="E535" s="469">
        <v>57.53</v>
      </c>
      <c r="F535" s="469">
        <v>5.8</v>
      </c>
      <c r="G535" s="469">
        <v>4.5999999999999996</v>
      </c>
      <c r="H535" s="470">
        <v>191</v>
      </c>
      <c r="I535" s="470">
        <v>923</v>
      </c>
      <c r="J535" s="470">
        <v>1786.1</v>
      </c>
      <c r="K535" s="469">
        <v>1.2</v>
      </c>
    </row>
    <row r="536" spans="2:11" x14ac:dyDescent="0.35">
      <c r="B536" s="62">
        <v>17.5</v>
      </c>
      <c r="C536" s="471">
        <v>552</v>
      </c>
      <c r="D536" s="471">
        <v>552</v>
      </c>
      <c r="E536" s="469">
        <v>44.83</v>
      </c>
      <c r="F536" s="469">
        <v>5.9</v>
      </c>
      <c r="G536" s="469">
        <v>6.8</v>
      </c>
      <c r="H536" s="470">
        <v>190</v>
      </c>
      <c r="I536" s="470">
        <v>922</v>
      </c>
      <c r="J536" s="470">
        <v>1798.6</v>
      </c>
      <c r="K536" s="469">
        <v>1.2</v>
      </c>
    </row>
    <row r="537" spans="2:11" x14ac:dyDescent="0.35">
      <c r="B537" s="62">
        <v>17.5</v>
      </c>
      <c r="C537" s="471">
        <v>553</v>
      </c>
      <c r="D537" s="471">
        <v>553</v>
      </c>
      <c r="E537" s="469">
        <v>13.35</v>
      </c>
      <c r="F537" s="469">
        <v>5</v>
      </c>
      <c r="G537" s="469">
        <v>5.3</v>
      </c>
      <c r="H537" s="470">
        <v>190</v>
      </c>
      <c r="I537" s="470">
        <v>924</v>
      </c>
      <c r="J537" s="470">
        <v>1787.3</v>
      </c>
      <c r="K537" s="469">
        <v>1.2</v>
      </c>
    </row>
    <row r="538" spans="2:11" x14ac:dyDescent="0.35">
      <c r="B538" s="62">
        <v>17.5</v>
      </c>
      <c r="C538" s="471">
        <v>554</v>
      </c>
      <c r="D538" s="471">
        <v>554</v>
      </c>
      <c r="E538" s="469">
        <v>45.78</v>
      </c>
      <c r="F538" s="469">
        <v>7</v>
      </c>
      <c r="G538" s="469">
        <v>5.5</v>
      </c>
      <c r="H538" s="470">
        <v>188</v>
      </c>
      <c r="I538" s="470">
        <v>920</v>
      </c>
      <c r="J538" s="470">
        <v>1974.4</v>
      </c>
      <c r="K538" s="469">
        <v>1.2</v>
      </c>
    </row>
    <row r="539" spans="2:11" x14ac:dyDescent="0.35">
      <c r="B539" s="62">
        <v>17.5</v>
      </c>
      <c r="C539" s="471">
        <v>555</v>
      </c>
      <c r="D539" s="471">
        <v>555</v>
      </c>
      <c r="E539" s="469">
        <v>48.08</v>
      </c>
      <c r="F539" s="469">
        <v>6.6</v>
      </c>
      <c r="G539" s="469">
        <v>7.2</v>
      </c>
      <c r="H539" s="470">
        <v>188</v>
      </c>
      <c r="I539" s="470">
        <v>918</v>
      </c>
      <c r="J539" s="470">
        <v>1981.4</v>
      </c>
      <c r="K539" s="469">
        <v>1.2</v>
      </c>
    </row>
    <row r="540" spans="2:11" x14ac:dyDescent="0.35">
      <c r="B540" s="62">
        <v>17.5</v>
      </c>
      <c r="C540" s="471">
        <v>556</v>
      </c>
      <c r="D540" s="471">
        <v>556</v>
      </c>
      <c r="E540" s="469">
        <v>57.56</v>
      </c>
      <c r="F540" s="469">
        <v>6.3</v>
      </c>
      <c r="G540" s="469">
        <v>6.3</v>
      </c>
      <c r="H540" s="470">
        <v>188</v>
      </c>
      <c r="I540" s="470">
        <v>918</v>
      </c>
      <c r="J540" s="470">
        <v>1988.1</v>
      </c>
      <c r="K540" s="469">
        <v>1.2</v>
      </c>
    </row>
    <row r="541" spans="2:11" x14ac:dyDescent="0.35">
      <c r="B541" s="62">
        <v>17.5</v>
      </c>
      <c r="C541" s="471">
        <v>557</v>
      </c>
      <c r="D541" s="471">
        <v>557</v>
      </c>
      <c r="E541" s="469">
        <v>46.4</v>
      </c>
      <c r="F541" s="469">
        <v>5.5</v>
      </c>
      <c r="G541" s="469">
        <v>5.4</v>
      </c>
      <c r="H541" s="470">
        <v>188</v>
      </c>
      <c r="I541" s="470">
        <v>919</v>
      </c>
      <c r="J541" s="470">
        <v>1986.9</v>
      </c>
      <c r="K541" s="469">
        <v>1.2</v>
      </c>
    </row>
    <row r="542" spans="2:11" x14ac:dyDescent="0.35">
      <c r="B542" s="62">
        <v>17.5</v>
      </c>
      <c r="C542" s="471">
        <v>558</v>
      </c>
      <c r="D542" s="471">
        <v>558</v>
      </c>
      <c r="E542" s="469">
        <v>41.97</v>
      </c>
      <c r="F542" s="469">
        <v>6.5</v>
      </c>
      <c r="G542" s="469">
        <v>6</v>
      </c>
      <c r="H542" s="470">
        <v>188</v>
      </c>
      <c r="I542" s="470">
        <v>916</v>
      </c>
      <c r="J542" s="470">
        <v>1966.9</v>
      </c>
      <c r="K542" s="469">
        <v>1.2</v>
      </c>
    </row>
    <row r="543" spans="2:11" x14ac:dyDescent="0.35">
      <c r="B543" s="62">
        <v>17.5</v>
      </c>
      <c r="C543" s="471">
        <v>559</v>
      </c>
      <c r="D543" s="471">
        <v>559</v>
      </c>
      <c r="E543" s="469">
        <v>58.74</v>
      </c>
      <c r="F543" s="469">
        <v>5.7</v>
      </c>
      <c r="G543" s="469">
        <v>6.2</v>
      </c>
      <c r="H543" s="470">
        <v>187</v>
      </c>
      <c r="I543" s="470">
        <v>918</v>
      </c>
      <c r="J543" s="470">
        <v>1990</v>
      </c>
      <c r="K543" s="469">
        <v>1.2</v>
      </c>
    </row>
    <row r="544" spans="2:11" x14ac:dyDescent="0.35">
      <c r="B544" s="62">
        <v>17.5</v>
      </c>
      <c r="C544" s="471">
        <v>560</v>
      </c>
      <c r="D544" s="471">
        <v>560</v>
      </c>
      <c r="E544" s="469">
        <v>61.18</v>
      </c>
      <c r="F544" s="469">
        <v>6.5</v>
      </c>
      <c r="G544" s="469">
        <v>6.4</v>
      </c>
      <c r="H544" s="470">
        <v>188</v>
      </c>
      <c r="I544" s="470">
        <v>919</v>
      </c>
      <c r="J544" s="470">
        <v>2053.8000000000002</v>
      </c>
      <c r="K544" s="469">
        <v>1.2</v>
      </c>
    </row>
    <row r="545" spans="2:11" x14ac:dyDescent="0.35">
      <c r="B545" s="62">
        <v>17.5</v>
      </c>
      <c r="C545" s="471">
        <v>561</v>
      </c>
      <c r="D545" s="471">
        <v>561</v>
      </c>
      <c r="E545" s="469">
        <v>54</v>
      </c>
      <c r="F545" s="469">
        <v>6.2</v>
      </c>
      <c r="G545" s="469">
        <v>6.2</v>
      </c>
      <c r="H545" s="470">
        <v>187</v>
      </c>
      <c r="I545" s="470">
        <v>919</v>
      </c>
      <c r="J545" s="470">
        <v>1996.1</v>
      </c>
      <c r="K545" s="469">
        <v>1.2</v>
      </c>
    </row>
    <row r="546" spans="2:11" x14ac:dyDescent="0.35">
      <c r="B546" s="62">
        <v>17.5</v>
      </c>
      <c r="C546" s="471">
        <v>562</v>
      </c>
      <c r="D546" s="471">
        <v>562</v>
      </c>
      <c r="E546" s="469">
        <v>66.03</v>
      </c>
      <c r="F546" s="469">
        <v>6.9</v>
      </c>
      <c r="G546" s="469">
        <v>8.1999999999999993</v>
      </c>
      <c r="H546" s="470">
        <v>188</v>
      </c>
      <c r="I546" s="470">
        <v>917</v>
      </c>
      <c r="J546" s="470">
        <v>2070.6999999999998</v>
      </c>
      <c r="K546" s="469">
        <v>1.2</v>
      </c>
    </row>
    <row r="547" spans="2:11" x14ac:dyDescent="0.35">
      <c r="B547" s="62">
        <v>17.5</v>
      </c>
      <c r="C547" s="471">
        <v>563</v>
      </c>
      <c r="D547" s="471">
        <v>563</v>
      </c>
      <c r="E547" s="469">
        <v>51.4</v>
      </c>
      <c r="F547" s="469">
        <v>6.2</v>
      </c>
      <c r="G547" s="469">
        <v>5.4</v>
      </c>
      <c r="H547" s="470">
        <v>187</v>
      </c>
      <c r="I547" s="470">
        <v>918</v>
      </c>
      <c r="J547" s="470">
        <v>1969.6</v>
      </c>
      <c r="K547" s="469">
        <v>1.2</v>
      </c>
    </row>
    <row r="548" spans="2:11" x14ac:dyDescent="0.35">
      <c r="B548" s="62">
        <v>17.5</v>
      </c>
      <c r="C548" s="471">
        <v>564</v>
      </c>
      <c r="D548" s="471">
        <v>564</v>
      </c>
      <c r="E548" s="469">
        <v>65.180000000000007</v>
      </c>
      <c r="F548" s="469">
        <v>5.7</v>
      </c>
      <c r="G548" s="469">
        <v>8</v>
      </c>
      <c r="H548" s="470">
        <v>188</v>
      </c>
      <c r="I548" s="470">
        <v>916</v>
      </c>
      <c r="J548" s="470">
        <v>2016.2</v>
      </c>
      <c r="K548" s="469">
        <v>1.2</v>
      </c>
    </row>
    <row r="549" spans="2:11" x14ac:dyDescent="0.35">
      <c r="B549" s="62">
        <v>17.5</v>
      </c>
      <c r="C549" s="471">
        <v>565</v>
      </c>
      <c r="D549" s="471">
        <v>565</v>
      </c>
      <c r="E549" s="469">
        <v>50.14</v>
      </c>
      <c r="F549" s="469">
        <v>9.1</v>
      </c>
      <c r="G549" s="469">
        <v>8.3000000000000007</v>
      </c>
      <c r="H549" s="470">
        <v>187</v>
      </c>
      <c r="I549" s="470">
        <v>913</v>
      </c>
      <c r="J549" s="470">
        <v>2111.9</v>
      </c>
      <c r="K549" s="469">
        <v>1.2</v>
      </c>
    </row>
    <row r="550" spans="2:11" x14ac:dyDescent="0.35">
      <c r="B550" s="62">
        <v>17.5</v>
      </c>
      <c r="C550" s="471">
        <v>566</v>
      </c>
      <c r="D550" s="471">
        <v>566</v>
      </c>
      <c r="E550" s="469">
        <v>53.41</v>
      </c>
      <c r="F550" s="469">
        <v>6.7</v>
      </c>
      <c r="G550" s="469">
        <v>7</v>
      </c>
      <c r="H550" s="470">
        <v>186</v>
      </c>
      <c r="I550" s="470">
        <v>917</v>
      </c>
      <c r="J550" s="470">
        <v>2021.7</v>
      </c>
      <c r="K550" s="469">
        <v>1.2</v>
      </c>
    </row>
    <row r="551" spans="2:11" x14ac:dyDescent="0.35">
      <c r="B551" s="62">
        <v>17.5</v>
      </c>
      <c r="C551" s="471">
        <v>567</v>
      </c>
      <c r="D551" s="471">
        <v>567</v>
      </c>
      <c r="E551" s="469">
        <v>58.74</v>
      </c>
      <c r="F551" s="469">
        <v>7.4</v>
      </c>
      <c r="G551" s="469">
        <v>6.1</v>
      </c>
      <c r="H551" s="470">
        <v>188</v>
      </c>
      <c r="I551" s="470">
        <v>914</v>
      </c>
      <c r="J551" s="470">
        <v>2060.5</v>
      </c>
      <c r="K551" s="469">
        <v>1.2</v>
      </c>
    </row>
    <row r="552" spans="2:11" x14ac:dyDescent="0.35">
      <c r="B552" s="62">
        <v>17.5</v>
      </c>
      <c r="C552" s="471">
        <v>568</v>
      </c>
      <c r="D552" s="471">
        <v>568</v>
      </c>
      <c r="E552" s="469">
        <v>69.11</v>
      </c>
      <c r="F552" s="469">
        <v>8.3000000000000007</v>
      </c>
      <c r="G552" s="469">
        <v>8.9</v>
      </c>
      <c r="H552" s="470">
        <v>186</v>
      </c>
      <c r="I552" s="470">
        <v>911</v>
      </c>
      <c r="J552" s="470">
        <v>2165</v>
      </c>
      <c r="K552" s="469">
        <v>1.2</v>
      </c>
    </row>
    <row r="553" spans="2:11" x14ac:dyDescent="0.35">
      <c r="B553" s="62">
        <v>17.5</v>
      </c>
      <c r="C553" s="471">
        <v>569</v>
      </c>
      <c r="D553" s="471">
        <v>569</v>
      </c>
      <c r="E553" s="469">
        <v>65</v>
      </c>
      <c r="F553" s="469">
        <v>7.6</v>
      </c>
      <c r="G553" s="469">
        <v>9.1999999999999993</v>
      </c>
      <c r="H553" s="470">
        <v>186</v>
      </c>
      <c r="I553" s="470">
        <v>910</v>
      </c>
      <c r="J553" s="470">
        <v>2120.3000000000002</v>
      </c>
      <c r="K553" s="469">
        <v>1.2</v>
      </c>
    </row>
    <row r="554" spans="2:11" x14ac:dyDescent="0.35">
      <c r="B554" s="62">
        <v>17.5</v>
      </c>
      <c r="C554" s="471">
        <v>570</v>
      </c>
      <c r="D554" s="471">
        <v>570</v>
      </c>
      <c r="E554" s="469">
        <v>65.900000000000006</v>
      </c>
      <c r="F554" s="469">
        <v>6.4</v>
      </c>
      <c r="G554" s="469">
        <v>7</v>
      </c>
      <c r="H554" s="470">
        <v>188</v>
      </c>
      <c r="I554" s="470">
        <v>916</v>
      </c>
      <c r="J554" s="470">
        <v>2037.1</v>
      </c>
      <c r="K554" s="469">
        <v>1.2</v>
      </c>
    </row>
    <row r="555" spans="2:11" x14ac:dyDescent="0.35">
      <c r="B555" s="62">
        <v>17.5</v>
      </c>
      <c r="C555" s="471">
        <v>571</v>
      </c>
      <c r="D555" s="471">
        <v>571</v>
      </c>
      <c r="E555" s="469">
        <v>71.73</v>
      </c>
      <c r="F555" s="469">
        <v>8.1</v>
      </c>
      <c r="G555" s="469">
        <v>8.3000000000000007</v>
      </c>
      <c r="H555" s="470">
        <v>187</v>
      </c>
      <c r="I555" s="470">
        <v>910</v>
      </c>
      <c r="J555" s="470">
        <v>2138.8000000000002</v>
      </c>
      <c r="K555" s="469">
        <v>1.21</v>
      </c>
    </row>
    <row r="556" spans="2:11" x14ac:dyDescent="0.35">
      <c r="B556" s="62">
        <v>17.5</v>
      </c>
      <c r="C556" s="471">
        <v>572</v>
      </c>
      <c r="D556" s="471">
        <v>572</v>
      </c>
      <c r="E556" s="469">
        <v>62.49</v>
      </c>
      <c r="F556" s="469">
        <v>6.4</v>
      </c>
      <c r="G556" s="469">
        <v>6.9</v>
      </c>
      <c r="H556" s="470">
        <v>187</v>
      </c>
      <c r="I556" s="470">
        <v>917</v>
      </c>
      <c r="J556" s="470">
        <v>2036.8</v>
      </c>
      <c r="K556" s="469">
        <v>1.21</v>
      </c>
    </row>
    <row r="557" spans="2:11" x14ac:dyDescent="0.35">
      <c r="B557" s="62">
        <v>17.5</v>
      </c>
      <c r="C557" s="471">
        <v>573</v>
      </c>
      <c r="D557" s="471">
        <v>573</v>
      </c>
      <c r="E557" s="469">
        <v>56.04</v>
      </c>
      <c r="F557" s="469">
        <v>5.2</v>
      </c>
      <c r="G557" s="469">
        <v>5.9</v>
      </c>
      <c r="H557" s="470">
        <v>188</v>
      </c>
      <c r="I557" s="470">
        <v>917</v>
      </c>
      <c r="J557" s="470">
        <v>1927.5</v>
      </c>
      <c r="K557" s="469">
        <v>1.21</v>
      </c>
    </row>
    <row r="558" spans="2:11" x14ac:dyDescent="0.35">
      <c r="B558" s="62">
        <v>17.5</v>
      </c>
      <c r="C558" s="471">
        <v>574</v>
      </c>
      <c r="D558" s="471">
        <v>574</v>
      </c>
      <c r="E558" s="469">
        <v>72.989999999999995</v>
      </c>
      <c r="F558" s="469">
        <v>6.7</v>
      </c>
      <c r="G558" s="469">
        <v>7.1</v>
      </c>
      <c r="H558" s="470">
        <v>187</v>
      </c>
      <c r="I558" s="470">
        <v>915</v>
      </c>
      <c r="J558" s="470">
        <v>2022</v>
      </c>
      <c r="K558" s="469">
        <v>1.21</v>
      </c>
    </row>
    <row r="559" spans="2:11" x14ac:dyDescent="0.35">
      <c r="B559" s="62">
        <v>17.5</v>
      </c>
      <c r="C559" s="471">
        <v>575</v>
      </c>
      <c r="D559" s="471">
        <v>575</v>
      </c>
      <c r="E559" s="469">
        <v>61.32</v>
      </c>
      <c r="F559" s="469">
        <v>7.6</v>
      </c>
      <c r="G559" s="469">
        <v>7</v>
      </c>
      <c r="H559" s="470">
        <v>188</v>
      </c>
      <c r="I559" s="470">
        <v>915</v>
      </c>
      <c r="J559" s="470">
        <v>2120.1</v>
      </c>
      <c r="K559" s="469">
        <v>1.21</v>
      </c>
    </row>
    <row r="560" spans="2:11" x14ac:dyDescent="0.35">
      <c r="B560" s="62">
        <v>17.5</v>
      </c>
      <c r="C560" s="471">
        <v>576</v>
      </c>
      <c r="D560" s="471">
        <v>576</v>
      </c>
      <c r="E560" s="469">
        <v>58.74</v>
      </c>
      <c r="F560" s="469">
        <v>6.6</v>
      </c>
      <c r="G560" s="469">
        <v>7</v>
      </c>
      <c r="H560" s="470">
        <v>187</v>
      </c>
      <c r="I560" s="470">
        <v>915</v>
      </c>
      <c r="J560" s="470">
        <v>2012.6</v>
      </c>
      <c r="K560" s="469">
        <v>1.21</v>
      </c>
    </row>
    <row r="561" spans="2:11" x14ac:dyDescent="0.35">
      <c r="B561" s="62">
        <v>17.5</v>
      </c>
      <c r="C561" s="471">
        <v>577</v>
      </c>
      <c r="D561" s="471">
        <v>577</v>
      </c>
      <c r="E561" s="469">
        <v>49.65</v>
      </c>
      <c r="F561" s="469">
        <v>6.1</v>
      </c>
      <c r="G561" s="469">
        <v>6.1</v>
      </c>
      <c r="H561" s="470">
        <v>188</v>
      </c>
      <c r="I561" s="470">
        <v>917</v>
      </c>
      <c r="J561" s="470">
        <v>1969.9</v>
      </c>
      <c r="K561" s="469">
        <v>1.21</v>
      </c>
    </row>
    <row r="562" spans="2:11" x14ac:dyDescent="0.35">
      <c r="B562" s="62">
        <v>17.5</v>
      </c>
      <c r="C562" s="471">
        <v>578</v>
      </c>
      <c r="D562" s="471">
        <v>578</v>
      </c>
      <c r="E562" s="469">
        <v>50.7</v>
      </c>
      <c r="F562" s="469">
        <v>5.8</v>
      </c>
      <c r="G562" s="469">
        <v>6.6</v>
      </c>
      <c r="H562" s="470">
        <v>188</v>
      </c>
      <c r="I562" s="470">
        <v>915</v>
      </c>
      <c r="J562" s="470">
        <v>1978.2</v>
      </c>
      <c r="K562" s="469">
        <v>1.21</v>
      </c>
    </row>
    <row r="563" spans="2:11" x14ac:dyDescent="0.35">
      <c r="B563" s="62">
        <v>17.5</v>
      </c>
      <c r="C563" s="471">
        <v>579</v>
      </c>
      <c r="D563" s="471">
        <v>579</v>
      </c>
      <c r="E563" s="469">
        <v>76.31</v>
      </c>
      <c r="F563" s="469">
        <v>7.8</v>
      </c>
      <c r="G563" s="469">
        <v>8.6999999999999993</v>
      </c>
      <c r="H563" s="470">
        <v>187</v>
      </c>
      <c r="I563" s="470">
        <v>909</v>
      </c>
      <c r="J563" s="470">
        <v>2171.1</v>
      </c>
      <c r="K563" s="469">
        <v>1.21</v>
      </c>
    </row>
    <row r="564" spans="2:11" x14ac:dyDescent="0.35">
      <c r="B564" s="62">
        <v>17.5</v>
      </c>
      <c r="C564" s="471">
        <v>580</v>
      </c>
      <c r="D564" s="471">
        <v>580</v>
      </c>
      <c r="E564" s="469">
        <v>49.14</v>
      </c>
      <c r="F564" s="469">
        <v>4.5</v>
      </c>
      <c r="G564" s="469">
        <v>5.6</v>
      </c>
      <c r="H564" s="470">
        <v>188</v>
      </c>
      <c r="I564" s="470">
        <v>918</v>
      </c>
      <c r="J564" s="470">
        <v>1912.1</v>
      </c>
      <c r="K564" s="469">
        <v>1.21</v>
      </c>
    </row>
    <row r="565" spans="2:11" x14ac:dyDescent="0.35">
      <c r="B565" s="62">
        <v>17.5</v>
      </c>
      <c r="C565" s="471">
        <v>581</v>
      </c>
      <c r="D565" s="471">
        <v>581</v>
      </c>
      <c r="E565" s="469">
        <v>40.82</v>
      </c>
      <c r="F565" s="469">
        <v>6.3</v>
      </c>
      <c r="G565" s="469">
        <v>6.7</v>
      </c>
      <c r="H565" s="470">
        <v>188</v>
      </c>
      <c r="I565" s="470">
        <v>917</v>
      </c>
      <c r="J565" s="470">
        <v>1998.9</v>
      </c>
      <c r="K565" s="469">
        <v>1.21</v>
      </c>
    </row>
    <row r="566" spans="2:11" x14ac:dyDescent="0.35">
      <c r="B566" s="62">
        <v>17.5</v>
      </c>
      <c r="C566" s="471">
        <v>582</v>
      </c>
      <c r="D566" s="471">
        <v>582</v>
      </c>
      <c r="E566" s="469">
        <v>15.6</v>
      </c>
      <c r="F566" s="469">
        <v>4.2</v>
      </c>
      <c r="G566" s="469">
        <v>4.4000000000000004</v>
      </c>
      <c r="H566" s="470">
        <v>189</v>
      </c>
      <c r="I566" s="470">
        <v>920</v>
      </c>
      <c r="J566" s="470">
        <v>1871.4</v>
      </c>
      <c r="K566" s="469">
        <v>1.21</v>
      </c>
    </row>
    <row r="567" spans="2:11" x14ac:dyDescent="0.35">
      <c r="B567" s="62">
        <v>17.5</v>
      </c>
      <c r="C567" s="471">
        <v>583</v>
      </c>
      <c r="D567" s="471">
        <v>583</v>
      </c>
      <c r="E567" s="469">
        <v>46.58</v>
      </c>
      <c r="F567" s="469">
        <v>6.7</v>
      </c>
      <c r="G567" s="469">
        <v>7.4</v>
      </c>
      <c r="H567" s="470">
        <v>190</v>
      </c>
      <c r="I567" s="470">
        <v>917</v>
      </c>
      <c r="J567" s="470">
        <v>2045</v>
      </c>
      <c r="K567" s="469">
        <v>1.21</v>
      </c>
    </row>
    <row r="568" spans="2:11" x14ac:dyDescent="0.35">
      <c r="B568" s="62">
        <v>17.5</v>
      </c>
      <c r="C568" s="471">
        <v>584</v>
      </c>
      <c r="D568" s="471">
        <v>584</v>
      </c>
      <c r="E568" s="469">
        <v>50.01</v>
      </c>
      <c r="F568" s="469">
        <v>5</v>
      </c>
      <c r="G568" s="469">
        <v>5.9</v>
      </c>
      <c r="H568" s="470">
        <v>190</v>
      </c>
      <c r="I568" s="470">
        <v>917</v>
      </c>
      <c r="J568" s="470">
        <v>1972.6</v>
      </c>
      <c r="K568" s="469">
        <v>1.21</v>
      </c>
    </row>
    <row r="569" spans="2:11" x14ac:dyDescent="0.35">
      <c r="B569" s="62">
        <v>17.5</v>
      </c>
      <c r="C569" s="471">
        <v>585</v>
      </c>
      <c r="D569" s="471">
        <v>585</v>
      </c>
      <c r="E569" s="469">
        <v>55.29</v>
      </c>
      <c r="F569" s="469">
        <v>6.3</v>
      </c>
      <c r="G569" s="469">
        <v>6.8</v>
      </c>
      <c r="H569" s="470">
        <v>189</v>
      </c>
      <c r="I569" s="470">
        <v>917</v>
      </c>
      <c r="J569" s="470">
        <v>2074.5</v>
      </c>
      <c r="K569" s="469">
        <v>1.21</v>
      </c>
    </row>
    <row r="570" spans="2:11" x14ac:dyDescent="0.35">
      <c r="B570" s="62">
        <v>17.5</v>
      </c>
      <c r="C570" s="471">
        <v>586</v>
      </c>
      <c r="D570" s="471">
        <v>586</v>
      </c>
      <c r="E570" s="469">
        <v>36.85</v>
      </c>
      <c r="F570" s="469">
        <v>4.9000000000000004</v>
      </c>
      <c r="G570" s="469">
        <v>4.7</v>
      </c>
      <c r="H570" s="470">
        <v>189</v>
      </c>
      <c r="I570" s="470">
        <v>917</v>
      </c>
      <c r="J570" s="470">
        <v>1929.3</v>
      </c>
      <c r="K570" s="469">
        <v>1.21</v>
      </c>
    </row>
    <row r="571" spans="2:11" x14ac:dyDescent="0.35">
      <c r="B571" s="62">
        <v>17.5</v>
      </c>
      <c r="C571" s="471">
        <v>587</v>
      </c>
      <c r="D571" s="471">
        <v>587</v>
      </c>
      <c r="E571" s="469">
        <v>36.92</v>
      </c>
      <c r="F571" s="469">
        <v>5.0999999999999996</v>
      </c>
      <c r="G571" s="469">
        <v>5.7</v>
      </c>
      <c r="H571" s="470">
        <v>189</v>
      </c>
      <c r="I571" s="470">
        <v>919</v>
      </c>
      <c r="J571" s="470">
        <v>1972.3</v>
      </c>
      <c r="K571" s="469">
        <v>1.21</v>
      </c>
    </row>
    <row r="572" spans="2:11" x14ac:dyDescent="0.35">
      <c r="B572" s="62">
        <v>17.5</v>
      </c>
      <c r="C572" s="471">
        <v>588</v>
      </c>
      <c r="D572" s="471">
        <v>588</v>
      </c>
      <c r="E572" s="469">
        <v>64.040000000000006</v>
      </c>
      <c r="F572" s="469">
        <v>7</v>
      </c>
      <c r="G572" s="469">
        <v>7.7</v>
      </c>
      <c r="H572" s="470">
        <v>190</v>
      </c>
      <c r="I572" s="470">
        <v>915</v>
      </c>
      <c r="J572" s="470">
        <v>2135.3000000000002</v>
      </c>
      <c r="K572" s="469">
        <v>1.21</v>
      </c>
    </row>
    <row r="573" spans="2:11" x14ac:dyDescent="0.35">
      <c r="B573" s="62">
        <v>17.5</v>
      </c>
      <c r="C573" s="471">
        <v>589</v>
      </c>
      <c r="D573" s="471">
        <v>589</v>
      </c>
      <c r="E573" s="469">
        <v>62.63</v>
      </c>
      <c r="F573" s="469">
        <v>5.8</v>
      </c>
      <c r="G573" s="469">
        <v>7.4</v>
      </c>
      <c r="H573" s="470">
        <v>187</v>
      </c>
      <c r="I573" s="470">
        <v>918</v>
      </c>
      <c r="J573" s="470">
        <v>2137</v>
      </c>
      <c r="K573" s="469">
        <v>1.21</v>
      </c>
    </row>
    <row r="574" spans="2:11" x14ac:dyDescent="0.35">
      <c r="B574" s="62">
        <v>17.5</v>
      </c>
      <c r="C574" s="471">
        <v>590</v>
      </c>
      <c r="D574" s="471">
        <v>590</v>
      </c>
      <c r="E574" s="469">
        <v>55.72</v>
      </c>
      <c r="F574" s="469">
        <v>6.9</v>
      </c>
      <c r="G574" s="469">
        <v>7</v>
      </c>
      <c r="H574" s="470">
        <v>189</v>
      </c>
      <c r="I574" s="470">
        <v>916</v>
      </c>
      <c r="J574" s="470">
        <v>2161.8000000000002</v>
      </c>
      <c r="K574" s="469">
        <v>1.21</v>
      </c>
    </row>
    <row r="575" spans="2:11" x14ac:dyDescent="0.35">
      <c r="B575" s="62">
        <v>17.5</v>
      </c>
      <c r="C575" s="471">
        <v>591</v>
      </c>
      <c r="D575" s="471">
        <v>591</v>
      </c>
      <c r="E575" s="469">
        <v>57.23</v>
      </c>
      <c r="F575" s="469">
        <v>6.3</v>
      </c>
      <c r="G575" s="469">
        <v>7.6</v>
      </c>
      <c r="H575" s="470">
        <v>190</v>
      </c>
      <c r="I575" s="470">
        <v>917</v>
      </c>
      <c r="J575" s="470">
        <v>2157.8000000000002</v>
      </c>
      <c r="K575" s="469">
        <v>1.21</v>
      </c>
    </row>
    <row r="576" spans="2:11" x14ac:dyDescent="0.35">
      <c r="B576" s="62">
        <v>17.5</v>
      </c>
      <c r="C576" s="471">
        <v>592</v>
      </c>
      <c r="D576" s="471">
        <v>592</v>
      </c>
      <c r="E576" s="469">
        <v>51.71</v>
      </c>
      <c r="F576" s="469">
        <v>6.1</v>
      </c>
      <c r="G576" s="469">
        <v>6.9</v>
      </c>
      <c r="H576" s="470">
        <v>190</v>
      </c>
      <c r="I576" s="470">
        <v>919</v>
      </c>
      <c r="J576" s="470">
        <v>2080.9</v>
      </c>
      <c r="K576" s="469">
        <v>1.21</v>
      </c>
    </row>
    <row r="577" spans="2:11" x14ac:dyDescent="0.35">
      <c r="B577" s="62">
        <v>17.5</v>
      </c>
      <c r="C577" s="471">
        <v>593</v>
      </c>
      <c r="D577" s="471">
        <v>593</v>
      </c>
      <c r="E577" s="469">
        <v>57.55</v>
      </c>
      <c r="F577" s="469">
        <v>5.8</v>
      </c>
      <c r="G577" s="469">
        <v>6.6</v>
      </c>
      <c r="H577" s="470">
        <v>190</v>
      </c>
      <c r="I577" s="470">
        <v>917</v>
      </c>
      <c r="J577" s="470">
        <v>2060.4</v>
      </c>
      <c r="K577" s="469">
        <v>1.21</v>
      </c>
    </row>
    <row r="578" spans="2:11" x14ac:dyDescent="0.35">
      <c r="B578" s="62">
        <v>17.5</v>
      </c>
      <c r="C578" s="471">
        <v>594</v>
      </c>
      <c r="D578" s="471">
        <v>594</v>
      </c>
      <c r="E578" s="469">
        <v>67.290000000000006</v>
      </c>
      <c r="F578" s="469">
        <v>5.5</v>
      </c>
      <c r="G578" s="469">
        <v>7.7</v>
      </c>
      <c r="H578" s="470">
        <v>189</v>
      </c>
      <c r="I578" s="470">
        <v>918</v>
      </c>
      <c r="J578" s="470">
        <v>2073.4</v>
      </c>
      <c r="K578" s="469">
        <v>1.21</v>
      </c>
    </row>
    <row r="579" spans="2:11" x14ac:dyDescent="0.35">
      <c r="B579" s="62">
        <v>17.5</v>
      </c>
      <c r="C579" s="471">
        <v>595</v>
      </c>
      <c r="D579" s="471">
        <v>595</v>
      </c>
      <c r="E579" s="469">
        <v>67.12</v>
      </c>
      <c r="F579" s="469">
        <v>5.2</v>
      </c>
      <c r="G579" s="469">
        <v>7</v>
      </c>
      <c r="H579" s="470">
        <v>189</v>
      </c>
      <c r="I579" s="470">
        <v>916</v>
      </c>
      <c r="J579" s="470">
        <v>2035.1</v>
      </c>
      <c r="K579" s="469">
        <v>1.21</v>
      </c>
    </row>
    <row r="580" spans="2:11" x14ac:dyDescent="0.35">
      <c r="B580" s="62">
        <v>17.5</v>
      </c>
      <c r="C580" s="471">
        <v>596</v>
      </c>
      <c r="D580" s="471">
        <v>596</v>
      </c>
      <c r="E580" s="469">
        <v>69.95</v>
      </c>
      <c r="F580" s="469">
        <v>7</v>
      </c>
      <c r="G580" s="469">
        <v>8</v>
      </c>
      <c r="H580" s="470">
        <v>190</v>
      </c>
      <c r="I580" s="470">
        <v>919</v>
      </c>
      <c r="J580" s="470">
        <v>2121.8000000000002</v>
      </c>
      <c r="K580" s="469">
        <v>1.21</v>
      </c>
    </row>
    <row r="581" spans="2:11" x14ac:dyDescent="0.35">
      <c r="B581" s="62">
        <v>17.5</v>
      </c>
      <c r="C581" s="471">
        <v>597</v>
      </c>
      <c r="D581" s="471">
        <v>597</v>
      </c>
      <c r="E581" s="469">
        <v>73.97</v>
      </c>
      <c r="F581" s="469">
        <v>7.7</v>
      </c>
      <c r="G581" s="469">
        <v>8.1999999999999993</v>
      </c>
      <c r="H581" s="470">
        <v>190</v>
      </c>
      <c r="I581" s="470">
        <v>916</v>
      </c>
      <c r="J581" s="470">
        <v>2191.9</v>
      </c>
      <c r="K581" s="469">
        <v>1.21</v>
      </c>
    </row>
    <row r="582" spans="2:11" x14ac:dyDescent="0.35">
      <c r="B582" s="62">
        <v>17.5</v>
      </c>
      <c r="C582" s="471">
        <v>598</v>
      </c>
      <c r="D582" s="471">
        <v>598</v>
      </c>
      <c r="E582" s="469">
        <v>87.84</v>
      </c>
      <c r="F582" s="469">
        <v>8</v>
      </c>
      <c r="G582" s="469">
        <v>8.5</v>
      </c>
      <c r="H582" s="470">
        <v>189</v>
      </c>
      <c r="I582" s="470">
        <v>912</v>
      </c>
      <c r="J582" s="470">
        <v>2213.4</v>
      </c>
      <c r="K582" s="469">
        <v>1.21</v>
      </c>
    </row>
    <row r="583" spans="2:11" x14ac:dyDescent="0.35">
      <c r="B583" s="62">
        <v>17.5</v>
      </c>
      <c r="C583" s="471">
        <v>599</v>
      </c>
      <c r="D583" s="471">
        <v>599</v>
      </c>
      <c r="E583" s="469">
        <v>67.98</v>
      </c>
      <c r="F583" s="469">
        <v>7.5</v>
      </c>
      <c r="G583" s="469">
        <v>7.9</v>
      </c>
      <c r="H583" s="470">
        <v>189</v>
      </c>
      <c r="I583" s="470">
        <v>915</v>
      </c>
      <c r="J583" s="470">
        <v>2125</v>
      </c>
      <c r="K583" s="469">
        <v>1.21</v>
      </c>
    </row>
    <row r="584" spans="2:11" x14ac:dyDescent="0.35">
      <c r="B584" s="62">
        <v>17.5</v>
      </c>
      <c r="C584" s="471">
        <v>600</v>
      </c>
      <c r="D584" s="471">
        <v>600</v>
      </c>
      <c r="E584" s="469">
        <v>58.74</v>
      </c>
      <c r="F584" s="469">
        <v>7.6</v>
      </c>
      <c r="G584" s="469">
        <v>7.7</v>
      </c>
      <c r="H584" s="470">
        <v>190</v>
      </c>
      <c r="I584" s="470">
        <v>917</v>
      </c>
      <c r="J584" s="470">
        <v>2131.6</v>
      </c>
      <c r="K584" s="469">
        <v>1.21</v>
      </c>
    </row>
    <row r="585" spans="2:11" x14ac:dyDescent="0.35">
      <c r="B585" s="62">
        <v>17.5</v>
      </c>
      <c r="C585" s="471">
        <v>601</v>
      </c>
      <c r="D585" s="471">
        <v>601</v>
      </c>
      <c r="E585" s="469">
        <v>61.54</v>
      </c>
      <c r="F585" s="469">
        <v>6.1</v>
      </c>
      <c r="G585" s="469">
        <v>7.6</v>
      </c>
      <c r="H585" s="470">
        <v>189</v>
      </c>
      <c r="I585" s="470">
        <v>918</v>
      </c>
      <c r="J585" s="470">
        <v>2042.3</v>
      </c>
      <c r="K585" s="469">
        <v>1.21</v>
      </c>
    </row>
    <row r="586" spans="2:11" x14ac:dyDescent="0.35">
      <c r="B586" s="62">
        <v>17.5</v>
      </c>
      <c r="C586" s="471">
        <v>602</v>
      </c>
      <c r="D586" s="471">
        <v>602</v>
      </c>
      <c r="E586" s="469">
        <v>81.08</v>
      </c>
      <c r="F586" s="469">
        <v>5.8</v>
      </c>
      <c r="G586" s="469">
        <v>6.2</v>
      </c>
      <c r="H586" s="470">
        <v>190</v>
      </c>
      <c r="I586" s="470">
        <v>917</v>
      </c>
      <c r="J586" s="470">
        <v>2062.1</v>
      </c>
      <c r="K586" s="469">
        <v>1.21</v>
      </c>
    </row>
    <row r="587" spans="2:11" x14ac:dyDescent="0.35">
      <c r="B587" s="62">
        <v>17.5</v>
      </c>
      <c r="C587" s="471">
        <v>603</v>
      </c>
      <c r="D587" s="471">
        <v>603</v>
      </c>
      <c r="E587" s="469">
        <v>47.69</v>
      </c>
      <c r="F587" s="469">
        <v>5.5</v>
      </c>
      <c r="G587" s="469">
        <v>6.2</v>
      </c>
      <c r="H587" s="470">
        <v>190</v>
      </c>
      <c r="I587" s="470">
        <v>917</v>
      </c>
      <c r="J587" s="470">
        <v>1975.1</v>
      </c>
      <c r="K587" s="469">
        <v>1.21</v>
      </c>
    </row>
    <row r="588" spans="2:11" x14ac:dyDescent="0.35">
      <c r="B588" s="62">
        <v>17.5</v>
      </c>
      <c r="C588" s="471">
        <v>604</v>
      </c>
      <c r="D588" s="471">
        <v>604</v>
      </c>
      <c r="E588" s="469">
        <v>80.37</v>
      </c>
      <c r="F588" s="469">
        <v>6</v>
      </c>
      <c r="G588" s="469">
        <v>6.4</v>
      </c>
      <c r="H588" s="470">
        <v>190</v>
      </c>
      <c r="I588" s="470">
        <v>919</v>
      </c>
      <c r="J588" s="470">
        <v>2029.4</v>
      </c>
      <c r="K588" s="469">
        <v>1.21</v>
      </c>
    </row>
    <row r="589" spans="2:11" x14ac:dyDescent="0.35">
      <c r="B589" s="62">
        <v>17.5</v>
      </c>
      <c r="C589" s="471">
        <v>605</v>
      </c>
      <c r="D589" s="471">
        <v>605</v>
      </c>
      <c r="E589" s="469">
        <v>63.59</v>
      </c>
      <c r="F589" s="469">
        <v>7.2</v>
      </c>
      <c r="G589" s="469">
        <v>6.9</v>
      </c>
      <c r="H589" s="470">
        <v>190</v>
      </c>
      <c r="I589" s="470">
        <v>918</v>
      </c>
      <c r="J589" s="470">
        <v>2064.6</v>
      </c>
      <c r="K589" s="469">
        <v>1.21</v>
      </c>
    </row>
    <row r="590" spans="2:11" x14ac:dyDescent="0.35">
      <c r="B590" s="62">
        <v>17.5</v>
      </c>
      <c r="C590" s="471">
        <v>606</v>
      </c>
      <c r="D590" s="471">
        <v>606</v>
      </c>
      <c r="E590" s="469">
        <v>60.79</v>
      </c>
      <c r="F590" s="469">
        <v>6.9</v>
      </c>
      <c r="G590" s="469">
        <v>6.7</v>
      </c>
      <c r="H590" s="470">
        <v>190</v>
      </c>
      <c r="I590" s="470">
        <v>917</v>
      </c>
      <c r="J590" s="470">
        <v>2004.7</v>
      </c>
      <c r="K590" s="469">
        <v>1.21</v>
      </c>
    </row>
    <row r="591" spans="2:11" x14ac:dyDescent="0.35">
      <c r="B591" s="62">
        <v>17.5</v>
      </c>
      <c r="C591" s="471">
        <v>607</v>
      </c>
      <c r="D591" s="471">
        <v>607</v>
      </c>
      <c r="E591" s="469">
        <v>52.69</v>
      </c>
      <c r="F591" s="469">
        <v>6.8</v>
      </c>
      <c r="G591" s="469">
        <v>6.6</v>
      </c>
      <c r="H591" s="470">
        <v>190</v>
      </c>
      <c r="I591" s="470">
        <v>919</v>
      </c>
      <c r="J591" s="470">
        <v>2010.8</v>
      </c>
      <c r="K591" s="469">
        <v>1.21</v>
      </c>
    </row>
    <row r="592" spans="2:11" x14ac:dyDescent="0.35">
      <c r="B592" s="62">
        <v>17.5</v>
      </c>
      <c r="C592" s="471">
        <v>608</v>
      </c>
      <c r="D592" s="471">
        <v>608</v>
      </c>
      <c r="E592" s="469">
        <v>50.14</v>
      </c>
      <c r="F592" s="469">
        <v>6.2</v>
      </c>
      <c r="G592" s="469">
        <v>6.7</v>
      </c>
      <c r="H592" s="470">
        <v>190</v>
      </c>
      <c r="I592" s="470">
        <v>921</v>
      </c>
      <c r="J592" s="470">
        <v>1981.9</v>
      </c>
      <c r="K592" s="469">
        <v>1.21</v>
      </c>
    </row>
    <row r="593" spans="2:11" x14ac:dyDescent="0.35">
      <c r="B593" s="62">
        <v>17.5</v>
      </c>
      <c r="C593" s="471">
        <v>609</v>
      </c>
      <c r="D593" s="471">
        <v>609</v>
      </c>
      <c r="E593" s="469">
        <v>51.59</v>
      </c>
      <c r="F593" s="469">
        <v>6.3</v>
      </c>
      <c r="G593" s="469">
        <v>7.2</v>
      </c>
      <c r="H593" s="470">
        <v>190</v>
      </c>
      <c r="I593" s="470">
        <v>918</v>
      </c>
      <c r="J593" s="470">
        <v>2004.6</v>
      </c>
      <c r="K593" s="469">
        <v>1.21</v>
      </c>
    </row>
    <row r="594" spans="2:11" x14ac:dyDescent="0.35">
      <c r="B594" s="62">
        <v>17.5</v>
      </c>
      <c r="C594" s="471">
        <v>610</v>
      </c>
      <c r="D594" s="471">
        <v>610</v>
      </c>
      <c r="E594" s="469">
        <v>56</v>
      </c>
      <c r="F594" s="469">
        <v>6.3</v>
      </c>
      <c r="G594" s="469">
        <v>6.4</v>
      </c>
      <c r="H594" s="470">
        <v>190</v>
      </c>
      <c r="I594" s="470">
        <v>919</v>
      </c>
      <c r="J594" s="470">
        <v>1966.5</v>
      </c>
      <c r="K594" s="469">
        <v>1.21</v>
      </c>
    </row>
    <row r="595" spans="2:11" x14ac:dyDescent="0.35">
      <c r="B595" s="62">
        <v>17.5</v>
      </c>
      <c r="C595" s="471">
        <v>611</v>
      </c>
      <c r="D595" s="471">
        <v>611</v>
      </c>
      <c r="E595" s="469">
        <v>16.57</v>
      </c>
      <c r="F595" s="469">
        <v>5.2</v>
      </c>
      <c r="G595" s="469">
        <v>6.4</v>
      </c>
      <c r="H595" s="470">
        <v>192</v>
      </c>
      <c r="I595" s="470">
        <v>935</v>
      </c>
      <c r="J595" s="470">
        <v>2084.1999999999998</v>
      </c>
      <c r="K595" s="469">
        <v>1.21</v>
      </c>
    </row>
    <row r="596" spans="2:11" x14ac:dyDescent="0.35">
      <c r="B596" s="62">
        <v>17.5</v>
      </c>
      <c r="C596" s="471">
        <v>612</v>
      </c>
      <c r="D596" s="471">
        <v>612</v>
      </c>
      <c r="E596" s="469">
        <v>29.26</v>
      </c>
      <c r="F596" s="469">
        <v>5.5</v>
      </c>
      <c r="G596" s="469">
        <v>4.9000000000000004</v>
      </c>
      <c r="H596" s="470">
        <v>193</v>
      </c>
      <c r="I596" s="470">
        <v>941</v>
      </c>
      <c r="J596" s="470">
        <v>2124.6999999999998</v>
      </c>
      <c r="K596" s="469">
        <v>1.21</v>
      </c>
    </row>
    <row r="597" spans="2:11" x14ac:dyDescent="0.35">
      <c r="B597" s="62">
        <v>17.5</v>
      </c>
      <c r="C597" s="471">
        <v>613</v>
      </c>
      <c r="D597" s="471">
        <v>613</v>
      </c>
      <c r="E597" s="469">
        <v>45</v>
      </c>
      <c r="F597" s="469">
        <v>6.8</v>
      </c>
      <c r="G597" s="469">
        <v>7</v>
      </c>
      <c r="H597" s="470">
        <v>193</v>
      </c>
      <c r="I597" s="470">
        <v>940</v>
      </c>
      <c r="J597" s="470">
        <v>2212.5</v>
      </c>
      <c r="K597" s="469">
        <v>1.21</v>
      </c>
    </row>
    <row r="598" spans="2:11" x14ac:dyDescent="0.35">
      <c r="B598" s="62">
        <v>17.5</v>
      </c>
      <c r="C598" s="471">
        <v>614</v>
      </c>
      <c r="D598" s="471">
        <v>614</v>
      </c>
      <c r="E598" s="469">
        <v>52.07</v>
      </c>
      <c r="F598" s="469">
        <v>6.1</v>
      </c>
      <c r="G598" s="469">
        <v>6.2</v>
      </c>
      <c r="H598" s="470">
        <v>193</v>
      </c>
      <c r="I598" s="470">
        <v>937</v>
      </c>
      <c r="J598" s="470">
        <v>2198</v>
      </c>
      <c r="K598" s="469">
        <v>1.21</v>
      </c>
    </row>
    <row r="599" spans="2:11" x14ac:dyDescent="0.35">
      <c r="B599" s="62">
        <v>17.5</v>
      </c>
      <c r="C599" s="471">
        <v>615</v>
      </c>
      <c r="D599" s="471">
        <v>615</v>
      </c>
      <c r="E599" s="469">
        <v>31.5</v>
      </c>
      <c r="F599" s="469">
        <v>4.5999999999999996</v>
      </c>
      <c r="G599" s="469">
        <v>5.5</v>
      </c>
      <c r="H599" s="470">
        <v>193</v>
      </c>
      <c r="I599" s="470">
        <v>943</v>
      </c>
      <c r="J599" s="470">
        <v>2103.1</v>
      </c>
      <c r="K599" s="469">
        <v>1.21</v>
      </c>
    </row>
    <row r="600" spans="2:11" x14ac:dyDescent="0.35">
      <c r="B600" s="62">
        <v>17.5</v>
      </c>
      <c r="C600" s="471">
        <v>616</v>
      </c>
      <c r="D600" s="471">
        <v>616</v>
      </c>
      <c r="E600" s="469">
        <v>51.06</v>
      </c>
      <c r="F600" s="469">
        <v>6.9</v>
      </c>
      <c r="G600" s="469">
        <v>6.3</v>
      </c>
      <c r="H600" s="470">
        <v>193</v>
      </c>
      <c r="I600" s="470">
        <v>941</v>
      </c>
      <c r="J600" s="470">
        <v>2216.6999999999998</v>
      </c>
      <c r="K600" s="469">
        <v>1.21</v>
      </c>
    </row>
    <row r="601" spans="2:11" x14ac:dyDescent="0.35">
      <c r="B601" s="62">
        <v>17.5</v>
      </c>
      <c r="C601" s="471">
        <v>617</v>
      </c>
      <c r="D601" s="471">
        <v>617</v>
      </c>
      <c r="E601" s="469">
        <v>46.85</v>
      </c>
      <c r="F601" s="469">
        <v>7.8</v>
      </c>
      <c r="G601" s="469">
        <v>7</v>
      </c>
      <c r="H601" s="470">
        <v>192</v>
      </c>
      <c r="I601" s="470">
        <v>937</v>
      </c>
      <c r="J601" s="470">
        <v>2246.3000000000002</v>
      </c>
      <c r="K601" s="469">
        <v>1.21</v>
      </c>
    </row>
    <row r="602" spans="2:11" x14ac:dyDescent="0.35">
      <c r="B602" s="62">
        <v>17.5</v>
      </c>
      <c r="C602" s="471">
        <v>618</v>
      </c>
      <c r="D602" s="471">
        <v>618</v>
      </c>
      <c r="E602" s="469">
        <v>61.83</v>
      </c>
      <c r="F602" s="469">
        <v>8.5</v>
      </c>
      <c r="G602" s="469">
        <v>8.5</v>
      </c>
      <c r="H602" s="470">
        <v>191</v>
      </c>
      <c r="I602" s="470">
        <v>932</v>
      </c>
      <c r="J602" s="470">
        <v>2331.4</v>
      </c>
      <c r="K602" s="469">
        <v>1.21</v>
      </c>
    </row>
    <row r="603" spans="2:11" x14ac:dyDescent="0.35">
      <c r="B603" s="62">
        <v>17.5</v>
      </c>
      <c r="C603" s="471">
        <v>619</v>
      </c>
      <c r="D603" s="471">
        <v>619</v>
      </c>
      <c r="E603" s="469">
        <v>51.62</v>
      </c>
      <c r="F603" s="469">
        <v>7.3</v>
      </c>
      <c r="G603" s="469">
        <v>6.7</v>
      </c>
      <c r="H603" s="470">
        <v>192</v>
      </c>
      <c r="I603" s="470">
        <v>934</v>
      </c>
      <c r="J603" s="470">
        <v>2248.5</v>
      </c>
      <c r="K603" s="469">
        <v>1.22</v>
      </c>
    </row>
    <row r="604" spans="2:11" x14ac:dyDescent="0.35">
      <c r="B604" s="62">
        <v>17.5</v>
      </c>
      <c r="C604" s="471">
        <v>620</v>
      </c>
      <c r="D604" s="471">
        <v>620</v>
      </c>
      <c r="E604" s="469">
        <v>47.19</v>
      </c>
      <c r="F604" s="469">
        <v>6.5</v>
      </c>
      <c r="G604" s="469">
        <v>5.9</v>
      </c>
      <c r="H604" s="470">
        <v>193</v>
      </c>
      <c r="I604" s="470">
        <v>943</v>
      </c>
      <c r="J604" s="470">
        <v>2170.8000000000002</v>
      </c>
      <c r="K604" s="469">
        <v>1.22</v>
      </c>
    </row>
    <row r="605" spans="2:11" x14ac:dyDescent="0.35">
      <c r="B605" s="62">
        <v>17.5</v>
      </c>
      <c r="C605" s="471">
        <v>621</v>
      </c>
      <c r="D605" s="471">
        <v>621</v>
      </c>
      <c r="E605" s="469">
        <v>52.53</v>
      </c>
      <c r="F605" s="469">
        <v>7.3</v>
      </c>
      <c r="G605" s="469">
        <v>7</v>
      </c>
      <c r="H605" s="470">
        <v>192</v>
      </c>
      <c r="I605" s="470">
        <v>933</v>
      </c>
      <c r="J605" s="470">
        <v>2270.3000000000002</v>
      </c>
      <c r="K605" s="469">
        <v>1.22</v>
      </c>
    </row>
    <row r="606" spans="2:11" x14ac:dyDescent="0.35">
      <c r="B606" s="62">
        <v>17.5</v>
      </c>
      <c r="C606" s="471">
        <v>622</v>
      </c>
      <c r="D606" s="471">
        <v>622</v>
      </c>
      <c r="E606" s="469">
        <v>64.040000000000006</v>
      </c>
      <c r="F606" s="469">
        <v>7</v>
      </c>
      <c r="G606" s="469">
        <v>7.6</v>
      </c>
      <c r="H606" s="470">
        <v>192</v>
      </c>
      <c r="I606" s="470">
        <v>931</v>
      </c>
      <c r="J606" s="470">
        <v>2279.6999999999998</v>
      </c>
      <c r="K606" s="469">
        <v>1.22</v>
      </c>
    </row>
    <row r="607" spans="2:11" x14ac:dyDescent="0.35">
      <c r="B607" s="62">
        <v>17.5</v>
      </c>
      <c r="C607" s="471">
        <v>623</v>
      </c>
      <c r="D607" s="471">
        <v>623</v>
      </c>
      <c r="E607" s="469">
        <v>60.21</v>
      </c>
      <c r="F607" s="469">
        <v>8.1999999999999993</v>
      </c>
      <c r="G607" s="469">
        <v>8.4</v>
      </c>
      <c r="H607" s="470">
        <v>192</v>
      </c>
      <c r="I607" s="470">
        <v>928</v>
      </c>
      <c r="J607" s="470">
        <v>2345.5</v>
      </c>
      <c r="K607" s="469">
        <v>1.22</v>
      </c>
    </row>
    <row r="608" spans="2:11" x14ac:dyDescent="0.35">
      <c r="B608" s="62">
        <v>17.5</v>
      </c>
      <c r="C608" s="471">
        <v>624</v>
      </c>
      <c r="D608" s="471">
        <v>624</v>
      </c>
      <c r="E608" s="469">
        <v>66.23</v>
      </c>
      <c r="F608" s="469">
        <v>7.6</v>
      </c>
      <c r="G608" s="469">
        <v>7.1</v>
      </c>
      <c r="H608" s="470">
        <v>192</v>
      </c>
      <c r="I608" s="470">
        <v>932</v>
      </c>
      <c r="J608" s="470">
        <v>2291.6999999999998</v>
      </c>
      <c r="K608" s="469">
        <v>1.22</v>
      </c>
    </row>
    <row r="609" spans="2:11" x14ac:dyDescent="0.35">
      <c r="B609" s="62">
        <v>17.5</v>
      </c>
      <c r="C609" s="471">
        <v>625</v>
      </c>
      <c r="D609" s="471">
        <v>625</v>
      </c>
      <c r="E609" s="469">
        <v>71.27</v>
      </c>
      <c r="F609" s="469">
        <v>7.9</v>
      </c>
      <c r="G609" s="469">
        <v>8.1999999999999993</v>
      </c>
      <c r="H609" s="470">
        <v>192</v>
      </c>
      <c r="I609" s="470">
        <v>931</v>
      </c>
      <c r="J609" s="470">
        <v>2326.9</v>
      </c>
      <c r="K609" s="469">
        <v>1.22</v>
      </c>
    </row>
    <row r="610" spans="2:11" x14ac:dyDescent="0.35">
      <c r="B610" s="62">
        <v>17.5</v>
      </c>
      <c r="C610" s="471">
        <v>626</v>
      </c>
      <c r="D610" s="471">
        <v>626</v>
      </c>
      <c r="E610" s="469">
        <v>67.67</v>
      </c>
      <c r="F610" s="469">
        <v>8</v>
      </c>
      <c r="G610" s="469">
        <v>8.1999999999999993</v>
      </c>
      <c r="H610" s="470">
        <v>192</v>
      </c>
      <c r="I610" s="470">
        <v>929</v>
      </c>
      <c r="J610" s="470">
        <v>2360</v>
      </c>
      <c r="K610" s="469">
        <v>1.22</v>
      </c>
    </row>
    <row r="611" spans="2:11" x14ac:dyDescent="0.35">
      <c r="B611" s="62">
        <v>17.5</v>
      </c>
      <c r="C611" s="471">
        <v>627</v>
      </c>
      <c r="D611" s="471">
        <v>627</v>
      </c>
      <c r="E611" s="469">
        <v>35.93</v>
      </c>
      <c r="F611" s="469">
        <v>10.1</v>
      </c>
      <c r="G611" s="469">
        <v>8.6999999999999993</v>
      </c>
      <c r="H611" s="470">
        <v>176</v>
      </c>
      <c r="I611" s="470">
        <v>923</v>
      </c>
      <c r="J611" s="470">
        <v>2424.6</v>
      </c>
      <c r="K611" s="469">
        <v>1.22</v>
      </c>
    </row>
    <row r="612" spans="2:11" x14ac:dyDescent="0.35">
      <c r="B612" s="62">
        <v>17.5</v>
      </c>
      <c r="C612" s="471">
        <v>628</v>
      </c>
      <c r="D612" s="471">
        <v>628</v>
      </c>
      <c r="E612" s="469">
        <v>62.25</v>
      </c>
      <c r="F612" s="469">
        <v>7.4</v>
      </c>
      <c r="G612" s="469">
        <v>8.3000000000000007</v>
      </c>
      <c r="H612" s="470">
        <v>191</v>
      </c>
      <c r="I612" s="470">
        <v>918</v>
      </c>
      <c r="J612" s="470">
        <v>2236.6999999999998</v>
      </c>
      <c r="K612" s="469">
        <v>1.22</v>
      </c>
    </row>
    <row r="613" spans="2:11" x14ac:dyDescent="0.35">
      <c r="B613" s="62">
        <v>17.5</v>
      </c>
      <c r="C613" s="471">
        <v>629</v>
      </c>
      <c r="D613" s="471">
        <v>629</v>
      </c>
      <c r="E613" s="469">
        <v>66.61</v>
      </c>
      <c r="F613" s="469">
        <v>8.4</v>
      </c>
      <c r="G613" s="469">
        <v>8.4</v>
      </c>
      <c r="H613" s="470">
        <v>190</v>
      </c>
      <c r="I613" s="470">
        <v>907</v>
      </c>
      <c r="J613" s="470">
        <v>2298.5</v>
      </c>
      <c r="K613" s="469">
        <v>1.22</v>
      </c>
    </row>
    <row r="614" spans="2:11" x14ac:dyDescent="0.35">
      <c r="B614" s="62">
        <v>17.5</v>
      </c>
      <c r="C614" s="471">
        <v>630</v>
      </c>
      <c r="D614" s="471">
        <v>630</v>
      </c>
      <c r="E614" s="469">
        <v>29.16</v>
      </c>
      <c r="F614" s="469">
        <v>7.7</v>
      </c>
      <c r="G614" s="469">
        <v>8.1999999999999993</v>
      </c>
      <c r="H614" s="470">
        <v>183</v>
      </c>
      <c r="I614" s="470">
        <v>911</v>
      </c>
      <c r="J614" s="470">
        <v>2236.6</v>
      </c>
      <c r="K614" s="469">
        <v>1.22</v>
      </c>
    </row>
    <row r="615" spans="2:11" x14ac:dyDescent="0.35">
      <c r="B615" s="62">
        <v>17.5</v>
      </c>
      <c r="C615" s="471">
        <v>631</v>
      </c>
      <c r="D615" s="471">
        <v>631</v>
      </c>
      <c r="E615" s="469">
        <v>54.1</v>
      </c>
      <c r="F615" s="469">
        <v>8.3000000000000007</v>
      </c>
      <c r="G615" s="469">
        <v>8.1999999999999993</v>
      </c>
      <c r="H615" s="470">
        <v>190</v>
      </c>
      <c r="I615" s="470">
        <v>910</v>
      </c>
      <c r="J615" s="470">
        <v>2228.5</v>
      </c>
      <c r="K615" s="469">
        <v>1.22</v>
      </c>
    </row>
    <row r="616" spans="2:11" x14ac:dyDescent="0.35">
      <c r="B616" s="62">
        <v>17.5</v>
      </c>
      <c r="C616" s="471">
        <v>632</v>
      </c>
      <c r="D616" s="471">
        <v>632</v>
      </c>
      <c r="E616" s="469">
        <v>39</v>
      </c>
      <c r="F616" s="469">
        <v>6.9</v>
      </c>
      <c r="G616" s="469">
        <v>7.1</v>
      </c>
      <c r="H616" s="470">
        <v>191</v>
      </c>
      <c r="I616" s="470">
        <v>923</v>
      </c>
      <c r="J616" s="470">
        <v>2158.3000000000002</v>
      </c>
      <c r="K616" s="469">
        <v>1.22</v>
      </c>
    </row>
    <row r="617" spans="2:11" x14ac:dyDescent="0.35">
      <c r="B617" s="62">
        <v>17.5</v>
      </c>
      <c r="C617" s="471">
        <v>633</v>
      </c>
      <c r="D617" s="471">
        <v>633</v>
      </c>
      <c r="E617" s="469">
        <v>80.45</v>
      </c>
      <c r="F617" s="469">
        <v>9.3000000000000007</v>
      </c>
      <c r="G617" s="469">
        <v>8.9</v>
      </c>
      <c r="H617" s="470">
        <v>193</v>
      </c>
      <c r="I617" s="470">
        <v>936</v>
      </c>
      <c r="J617" s="470">
        <v>2461.9</v>
      </c>
      <c r="K617" s="469">
        <v>1.22</v>
      </c>
    </row>
    <row r="618" spans="2:11" x14ac:dyDescent="0.35">
      <c r="B618" s="62">
        <v>17.5</v>
      </c>
      <c r="C618" s="471">
        <v>634</v>
      </c>
      <c r="D618" s="471">
        <v>634</v>
      </c>
      <c r="E618" s="469">
        <v>66.23</v>
      </c>
      <c r="F618" s="469">
        <v>8.1</v>
      </c>
      <c r="G618" s="469">
        <v>8.1</v>
      </c>
      <c r="H618" s="470">
        <v>193</v>
      </c>
      <c r="I618" s="470">
        <v>940</v>
      </c>
      <c r="J618" s="470">
        <v>2358.4</v>
      </c>
      <c r="K618" s="469">
        <v>1.22</v>
      </c>
    </row>
    <row r="619" spans="2:11" x14ac:dyDescent="0.35">
      <c r="B619" s="62">
        <v>17.5</v>
      </c>
      <c r="C619" s="471">
        <v>635</v>
      </c>
      <c r="D619" s="471">
        <v>635</v>
      </c>
      <c r="E619" s="469">
        <v>70.319999999999993</v>
      </c>
      <c r="F619" s="469">
        <v>6.9</v>
      </c>
      <c r="G619" s="469">
        <v>6.9</v>
      </c>
      <c r="H619" s="470">
        <v>194</v>
      </c>
      <c r="I619" s="470">
        <v>943</v>
      </c>
      <c r="J619" s="470">
        <v>2253.9</v>
      </c>
      <c r="K619" s="469">
        <v>1.22</v>
      </c>
    </row>
    <row r="620" spans="2:11" x14ac:dyDescent="0.35">
      <c r="B620" s="62">
        <v>17.5</v>
      </c>
      <c r="C620" s="471">
        <v>636</v>
      </c>
      <c r="D620" s="471">
        <v>636</v>
      </c>
      <c r="E620" s="469">
        <v>77.14</v>
      </c>
      <c r="F620" s="469">
        <v>6.4</v>
      </c>
      <c r="G620" s="469">
        <v>7.4</v>
      </c>
      <c r="H620" s="470">
        <v>194</v>
      </c>
      <c r="I620" s="470">
        <v>943</v>
      </c>
      <c r="J620" s="470">
        <v>2291.1</v>
      </c>
      <c r="K620" s="469">
        <v>1.22</v>
      </c>
    </row>
    <row r="621" spans="2:11" x14ac:dyDescent="0.35">
      <c r="B621" s="62">
        <v>17.5</v>
      </c>
      <c r="C621" s="471">
        <v>637</v>
      </c>
      <c r="D621" s="471">
        <v>637</v>
      </c>
      <c r="E621" s="469">
        <v>60.67</v>
      </c>
      <c r="F621" s="469">
        <v>6</v>
      </c>
      <c r="G621" s="469">
        <v>6.2</v>
      </c>
      <c r="H621" s="470">
        <v>193</v>
      </c>
      <c r="I621" s="470">
        <v>945</v>
      </c>
      <c r="J621" s="470">
        <v>2249.5</v>
      </c>
      <c r="K621" s="469">
        <v>1.22</v>
      </c>
    </row>
    <row r="622" spans="2:11" x14ac:dyDescent="0.35">
      <c r="B622" s="62">
        <v>17.5</v>
      </c>
      <c r="C622" s="471">
        <v>638</v>
      </c>
      <c r="D622" s="471">
        <v>638</v>
      </c>
      <c r="E622" s="469">
        <v>60.24</v>
      </c>
      <c r="F622" s="469">
        <v>6.2</v>
      </c>
      <c r="G622" s="469">
        <v>5.9</v>
      </c>
      <c r="H622" s="470">
        <v>194</v>
      </c>
      <c r="I622" s="470">
        <v>942</v>
      </c>
      <c r="J622" s="470">
        <v>2256.1999999999998</v>
      </c>
      <c r="K622" s="469">
        <v>1.22</v>
      </c>
    </row>
    <row r="623" spans="2:11" x14ac:dyDescent="0.35">
      <c r="B623" s="62">
        <v>17.5</v>
      </c>
      <c r="C623" s="471">
        <v>639</v>
      </c>
      <c r="D623" s="471">
        <v>639</v>
      </c>
      <c r="E623" s="469">
        <v>60.14</v>
      </c>
      <c r="F623" s="469">
        <v>6.1</v>
      </c>
      <c r="G623" s="469">
        <v>6.6</v>
      </c>
      <c r="H623" s="470">
        <v>194</v>
      </c>
      <c r="I623" s="470">
        <v>946</v>
      </c>
      <c r="J623" s="470">
        <v>2207.8000000000002</v>
      </c>
      <c r="K623" s="469">
        <v>1.22</v>
      </c>
    </row>
    <row r="624" spans="2:11" x14ac:dyDescent="0.35">
      <c r="B624" s="62">
        <v>17.5</v>
      </c>
      <c r="C624" s="471">
        <v>640</v>
      </c>
      <c r="D624" s="471">
        <v>640</v>
      </c>
      <c r="E624" s="469">
        <v>13.35</v>
      </c>
      <c r="F624" s="469">
        <v>2.2999999999999998</v>
      </c>
      <c r="G624" s="469">
        <v>3.5</v>
      </c>
      <c r="H624" s="470">
        <v>195</v>
      </c>
      <c r="I624" s="470">
        <v>938</v>
      </c>
      <c r="J624" s="470">
        <v>1879.4</v>
      </c>
      <c r="K624" s="469">
        <v>1.22</v>
      </c>
    </row>
    <row r="625" spans="2:11" x14ac:dyDescent="0.35">
      <c r="B625" s="62">
        <v>17.5</v>
      </c>
      <c r="C625" s="471">
        <v>641</v>
      </c>
      <c r="D625" s="471">
        <v>641</v>
      </c>
      <c r="E625" s="469">
        <v>31.98</v>
      </c>
      <c r="F625" s="469">
        <v>4.9000000000000004</v>
      </c>
      <c r="G625" s="469">
        <v>5.3</v>
      </c>
      <c r="H625" s="470">
        <v>195</v>
      </c>
      <c r="I625" s="470">
        <v>925</v>
      </c>
      <c r="J625" s="470">
        <v>2016.2</v>
      </c>
      <c r="K625" s="469">
        <v>1.22</v>
      </c>
    </row>
    <row r="626" spans="2:11" x14ac:dyDescent="0.35">
      <c r="B626" s="62">
        <v>17.5</v>
      </c>
      <c r="C626" s="471">
        <v>642</v>
      </c>
      <c r="D626" s="471">
        <v>642</v>
      </c>
      <c r="E626" s="469">
        <v>36.950000000000003</v>
      </c>
      <c r="F626" s="469">
        <v>6.2</v>
      </c>
      <c r="G626" s="469">
        <v>6.5</v>
      </c>
      <c r="H626" s="470">
        <v>189</v>
      </c>
      <c r="I626" s="470">
        <v>919</v>
      </c>
      <c r="J626" s="470">
        <v>2089.9</v>
      </c>
      <c r="K626" s="469">
        <v>1.22</v>
      </c>
    </row>
    <row r="627" spans="2:11" x14ac:dyDescent="0.35">
      <c r="B627" s="62">
        <v>17.5</v>
      </c>
      <c r="C627" s="471">
        <v>643</v>
      </c>
      <c r="D627" s="471">
        <v>643</v>
      </c>
      <c r="E627" s="469">
        <v>38.93</v>
      </c>
      <c r="F627" s="469">
        <v>5.5</v>
      </c>
      <c r="G627" s="469">
        <v>7</v>
      </c>
      <c r="H627" s="470">
        <v>192</v>
      </c>
      <c r="I627" s="470">
        <v>920</v>
      </c>
      <c r="J627" s="470">
        <v>2079.6999999999998</v>
      </c>
      <c r="K627" s="469">
        <v>1.22</v>
      </c>
    </row>
    <row r="628" spans="2:11" x14ac:dyDescent="0.35">
      <c r="B628" s="62">
        <v>17.5</v>
      </c>
      <c r="C628" s="471">
        <v>644</v>
      </c>
      <c r="D628" s="471">
        <v>644</v>
      </c>
      <c r="E628" s="469">
        <v>42.59</v>
      </c>
      <c r="F628" s="469">
        <v>6</v>
      </c>
      <c r="G628" s="469">
        <v>7.1</v>
      </c>
      <c r="H628" s="470">
        <v>200</v>
      </c>
      <c r="I628" s="470">
        <v>918</v>
      </c>
      <c r="J628" s="470">
        <v>2106.3000000000002</v>
      </c>
      <c r="K628" s="469">
        <v>1.22</v>
      </c>
    </row>
    <row r="629" spans="2:11" x14ac:dyDescent="0.35">
      <c r="B629" s="62">
        <v>17.5</v>
      </c>
      <c r="C629" s="471">
        <v>645</v>
      </c>
      <c r="D629" s="471">
        <v>645</v>
      </c>
      <c r="E629" s="469">
        <v>51.62</v>
      </c>
      <c r="F629" s="469">
        <v>6.5</v>
      </c>
      <c r="G629" s="469">
        <v>6.6</v>
      </c>
      <c r="H629" s="470">
        <v>200</v>
      </c>
      <c r="I629" s="470">
        <v>914</v>
      </c>
      <c r="J629" s="470">
        <v>2160.4</v>
      </c>
      <c r="K629" s="469">
        <v>1.22</v>
      </c>
    </row>
    <row r="630" spans="2:11" x14ac:dyDescent="0.35">
      <c r="B630" s="62">
        <v>17.5</v>
      </c>
      <c r="C630" s="471">
        <v>646</v>
      </c>
      <c r="D630" s="471">
        <v>646</v>
      </c>
      <c r="E630" s="469">
        <v>52.39</v>
      </c>
      <c r="F630" s="469">
        <v>5.9</v>
      </c>
      <c r="G630" s="469">
        <v>6.4</v>
      </c>
      <c r="H630" s="470">
        <v>201</v>
      </c>
      <c r="I630" s="470">
        <v>919</v>
      </c>
      <c r="J630" s="470">
        <v>2124.6</v>
      </c>
      <c r="K630" s="469">
        <v>1.22</v>
      </c>
    </row>
    <row r="631" spans="2:11" x14ac:dyDescent="0.35">
      <c r="B631" s="62">
        <v>17.5</v>
      </c>
      <c r="C631" s="471">
        <v>647</v>
      </c>
      <c r="D631" s="471">
        <v>647</v>
      </c>
      <c r="E631" s="469">
        <v>61.34</v>
      </c>
      <c r="F631" s="469">
        <v>6.5</v>
      </c>
      <c r="G631" s="469">
        <v>7.1</v>
      </c>
      <c r="H631" s="470">
        <v>200</v>
      </c>
      <c r="I631" s="470">
        <v>913</v>
      </c>
      <c r="J631" s="470">
        <v>2205.9</v>
      </c>
      <c r="K631" s="469">
        <v>1.22</v>
      </c>
    </row>
    <row r="632" spans="2:11" x14ac:dyDescent="0.35">
      <c r="B632" s="62">
        <v>17.5</v>
      </c>
      <c r="C632" s="471">
        <v>648</v>
      </c>
      <c r="D632" s="471">
        <v>648</v>
      </c>
      <c r="E632" s="469">
        <v>72.16</v>
      </c>
      <c r="F632" s="469">
        <v>7</v>
      </c>
      <c r="G632" s="469">
        <v>8.1</v>
      </c>
      <c r="H632" s="470">
        <v>199</v>
      </c>
      <c r="I632" s="470">
        <v>910</v>
      </c>
      <c r="J632" s="470">
        <v>2243</v>
      </c>
      <c r="K632" s="469">
        <v>1.22</v>
      </c>
    </row>
    <row r="633" spans="2:11" x14ac:dyDescent="0.35">
      <c r="B633" s="62">
        <v>17.5</v>
      </c>
      <c r="C633" s="471">
        <v>649</v>
      </c>
      <c r="D633" s="471">
        <v>649</v>
      </c>
      <c r="E633" s="469">
        <v>61.3</v>
      </c>
      <c r="F633" s="469">
        <v>6.8</v>
      </c>
      <c r="G633" s="469">
        <v>6.6</v>
      </c>
      <c r="H633" s="470">
        <v>200</v>
      </c>
      <c r="I633" s="470">
        <v>911</v>
      </c>
      <c r="J633" s="470">
        <v>2217.8000000000002</v>
      </c>
      <c r="K633" s="469">
        <v>1.22</v>
      </c>
    </row>
    <row r="634" spans="2:11" x14ac:dyDescent="0.35">
      <c r="B634" s="62">
        <v>17.5</v>
      </c>
      <c r="C634" s="471">
        <v>650</v>
      </c>
      <c r="D634" s="471">
        <v>650</v>
      </c>
      <c r="E634" s="469">
        <v>74.680000000000007</v>
      </c>
      <c r="F634" s="469">
        <v>7.4</v>
      </c>
      <c r="G634" s="469">
        <v>8.6999999999999993</v>
      </c>
      <c r="H634" s="470">
        <v>199</v>
      </c>
      <c r="I634" s="470">
        <v>906</v>
      </c>
      <c r="J634" s="470">
        <v>2266.8000000000002</v>
      </c>
      <c r="K634" s="469">
        <v>1.22</v>
      </c>
    </row>
    <row r="635" spans="2:11" x14ac:dyDescent="0.35">
      <c r="B635" s="62">
        <v>17.5</v>
      </c>
      <c r="C635" s="471">
        <v>651</v>
      </c>
      <c r="D635" s="471">
        <v>651</v>
      </c>
      <c r="E635" s="469">
        <v>53.74</v>
      </c>
      <c r="F635" s="469">
        <v>5.6</v>
      </c>
      <c r="G635" s="469">
        <v>4.2</v>
      </c>
      <c r="H635" s="470">
        <v>201</v>
      </c>
      <c r="I635" s="470">
        <v>914</v>
      </c>
      <c r="J635" s="470">
        <v>2117.8000000000002</v>
      </c>
      <c r="K635" s="469">
        <v>1.22</v>
      </c>
    </row>
    <row r="636" spans="2:11" x14ac:dyDescent="0.35">
      <c r="B636" s="62">
        <v>17.5</v>
      </c>
      <c r="C636" s="471">
        <v>652</v>
      </c>
      <c r="D636" s="471">
        <v>652</v>
      </c>
      <c r="E636" s="469">
        <v>59.08</v>
      </c>
      <c r="F636" s="469">
        <v>7.1</v>
      </c>
      <c r="G636" s="469">
        <v>8.3000000000000007</v>
      </c>
      <c r="H636" s="470">
        <v>199</v>
      </c>
      <c r="I636" s="470">
        <v>912</v>
      </c>
      <c r="J636" s="470">
        <v>2218.8000000000002</v>
      </c>
      <c r="K636" s="469">
        <v>1.22</v>
      </c>
    </row>
    <row r="637" spans="2:11" x14ac:dyDescent="0.35">
      <c r="B637" s="62">
        <v>17.5</v>
      </c>
      <c r="C637" s="471">
        <v>653</v>
      </c>
      <c r="D637" s="471">
        <v>653</v>
      </c>
      <c r="E637" s="469">
        <v>59.02</v>
      </c>
      <c r="F637" s="469">
        <v>6.3</v>
      </c>
      <c r="G637" s="469">
        <v>7.7</v>
      </c>
      <c r="H637" s="470">
        <v>199</v>
      </c>
      <c r="I637" s="470">
        <v>912</v>
      </c>
      <c r="J637" s="470">
        <v>2158</v>
      </c>
      <c r="K637" s="469">
        <v>1.22</v>
      </c>
    </row>
    <row r="638" spans="2:11" x14ac:dyDescent="0.35">
      <c r="B638" s="62">
        <v>17.5</v>
      </c>
      <c r="C638" s="471">
        <v>654</v>
      </c>
      <c r="D638" s="471">
        <v>654</v>
      </c>
      <c r="E638" s="469">
        <v>64.510000000000005</v>
      </c>
      <c r="F638" s="469">
        <v>6.6</v>
      </c>
      <c r="G638" s="469">
        <v>6.6</v>
      </c>
      <c r="H638" s="470">
        <v>200</v>
      </c>
      <c r="I638" s="470">
        <v>913</v>
      </c>
      <c r="J638" s="470">
        <v>2178.1</v>
      </c>
      <c r="K638" s="469">
        <v>1.22</v>
      </c>
    </row>
    <row r="639" spans="2:11" x14ac:dyDescent="0.35">
      <c r="B639" s="62">
        <v>17.5</v>
      </c>
      <c r="C639" s="471">
        <v>655</v>
      </c>
      <c r="D639" s="471">
        <v>655</v>
      </c>
      <c r="E639" s="469">
        <v>55.61</v>
      </c>
      <c r="F639" s="469">
        <v>8.1999999999999993</v>
      </c>
      <c r="G639" s="469">
        <v>7.4</v>
      </c>
      <c r="H639" s="470">
        <v>199</v>
      </c>
      <c r="I639" s="470">
        <v>906</v>
      </c>
      <c r="J639" s="470">
        <v>2253.9</v>
      </c>
      <c r="K639" s="469">
        <v>1.23</v>
      </c>
    </row>
    <row r="640" spans="2:11" x14ac:dyDescent="0.35">
      <c r="B640" s="62">
        <v>17.5</v>
      </c>
      <c r="C640" s="471">
        <v>656</v>
      </c>
      <c r="D640" s="471">
        <v>656</v>
      </c>
      <c r="E640" s="469">
        <v>58.9</v>
      </c>
      <c r="F640" s="469">
        <v>6.6</v>
      </c>
      <c r="G640" s="469">
        <v>6.8</v>
      </c>
      <c r="H640" s="470">
        <v>199</v>
      </c>
      <c r="I640" s="470">
        <v>911</v>
      </c>
      <c r="J640" s="470">
        <v>2176</v>
      </c>
      <c r="K640" s="469">
        <v>1.23</v>
      </c>
    </row>
    <row r="641" spans="2:11" x14ac:dyDescent="0.35">
      <c r="B641" s="62">
        <v>17.5</v>
      </c>
      <c r="C641" s="471">
        <v>657</v>
      </c>
      <c r="D641" s="471">
        <v>657</v>
      </c>
      <c r="E641" s="469">
        <v>54.42</v>
      </c>
      <c r="F641" s="469">
        <v>5</v>
      </c>
      <c r="G641" s="469">
        <v>4.8</v>
      </c>
      <c r="H641" s="470">
        <v>201</v>
      </c>
      <c r="I641" s="470">
        <v>918</v>
      </c>
      <c r="J641" s="470">
        <v>2061.8000000000002</v>
      </c>
      <c r="K641" s="469">
        <v>1.23</v>
      </c>
    </row>
    <row r="642" spans="2:11" x14ac:dyDescent="0.35">
      <c r="B642" s="62">
        <v>17.5</v>
      </c>
      <c r="C642" s="471">
        <v>658</v>
      </c>
      <c r="D642" s="471">
        <v>658</v>
      </c>
      <c r="E642" s="469">
        <v>47.69</v>
      </c>
      <c r="F642" s="469">
        <v>5.2</v>
      </c>
      <c r="G642" s="469">
        <v>5.8</v>
      </c>
      <c r="H642" s="470">
        <v>200</v>
      </c>
      <c r="I642" s="470">
        <v>919</v>
      </c>
      <c r="J642" s="470">
        <v>2093.6</v>
      </c>
      <c r="K642" s="469">
        <v>1.23</v>
      </c>
    </row>
    <row r="643" spans="2:11" x14ac:dyDescent="0.35">
      <c r="B643" s="62">
        <v>17.5</v>
      </c>
      <c r="C643" s="471">
        <v>659</v>
      </c>
      <c r="D643" s="471">
        <v>659</v>
      </c>
      <c r="E643" s="469">
        <v>66.09</v>
      </c>
      <c r="F643" s="469">
        <v>6.9</v>
      </c>
      <c r="G643" s="469">
        <v>8</v>
      </c>
      <c r="H643" s="470">
        <v>199</v>
      </c>
      <c r="I643" s="470">
        <v>911</v>
      </c>
      <c r="J643" s="470">
        <v>2221.4</v>
      </c>
      <c r="K643" s="469">
        <v>1.23</v>
      </c>
    </row>
    <row r="644" spans="2:11" x14ac:dyDescent="0.35">
      <c r="B644" s="62">
        <v>17.5</v>
      </c>
      <c r="C644" s="471">
        <v>660</v>
      </c>
      <c r="D644" s="471">
        <v>660</v>
      </c>
      <c r="E644" s="469">
        <v>68.39</v>
      </c>
      <c r="F644" s="469">
        <v>7.9</v>
      </c>
      <c r="G644" s="469">
        <v>8</v>
      </c>
      <c r="H644" s="470">
        <v>200</v>
      </c>
      <c r="I644" s="470">
        <v>910</v>
      </c>
      <c r="J644" s="470">
        <v>2266.5</v>
      </c>
      <c r="K644" s="469">
        <v>1.23</v>
      </c>
    </row>
    <row r="645" spans="2:11" x14ac:dyDescent="0.35">
      <c r="B645" s="62">
        <v>17.5</v>
      </c>
      <c r="C645" s="471">
        <v>661</v>
      </c>
      <c r="D645" s="471">
        <v>661</v>
      </c>
      <c r="E645" s="469">
        <v>51.06</v>
      </c>
      <c r="F645" s="469">
        <v>5.5</v>
      </c>
      <c r="G645" s="469">
        <v>5.7</v>
      </c>
      <c r="H645" s="470">
        <v>200</v>
      </c>
      <c r="I645" s="470">
        <v>916</v>
      </c>
      <c r="J645" s="470">
        <v>2090.9</v>
      </c>
      <c r="K645" s="469">
        <v>1.23</v>
      </c>
    </row>
    <row r="646" spans="2:11" x14ac:dyDescent="0.35">
      <c r="B646" s="62">
        <v>17.5</v>
      </c>
      <c r="C646" s="471">
        <v>662</v>
      </c>
      <c r="D646" s="471">
        <v>662</v>
      </c>
      <c r="E646" s="469">
        <v>60.31</v>
      </c>
      <c r="F646" s="469">
        <v>7.6</v>
      </c>
      <c r="G646" s="469">
        <v>7.4</v>
      </c>
      <c r="H646" s="470">
        <v>200</v>
      </c>
      <c r="I646" s="470">
        <v>913</v>
      </c>
      <c r="J646" s="470">
        <v>2211.5</v>
      </c>
      <c r="K646" s="469">
        <v>1.23</v>
      </c>
    </row>
    <row r="647" spans="2:11" x14ac:dyDescent="0.35">
      <c r="B647" s="62">
        <v>17.5</v>
      </c>
      <c r="C647" s="471">
        <v>663</v>
      </c>
      <c r="D647" s="471">
        <v>663</v>
      </c>
      <c r="E647" s="469">
        <v>69.44</v>
      </c>
      <c r="F647" s="469">
        <v>6.7</v>
      </c>
      <c r="G647" s="469">
        <v>6.8</v>
      </c>
      <c r="H647" s="470">
        <v>199</v>
      </c>
      <c r="I647" s="470">
        <v>911</v>
      </c>
      <c r="J647" s="470">
        <v>2194.6</v>
      </c>
      <c r="K647" s="469">
        <v>1.23</v>
      </c>
    </row>
    <row r="648" spans="2:11" x14ac:dyDescent="0.35">
      <c r="B648" s="62">
        <v>17.5</v>
      </c>
      <c r="C648" s="471">
        <v>664</v>
      </c>
      <c r="D648" s="471">
        <v>664</v>
      </c>
      <c r="E648" s="469">
        <v>77.86</v>
      </c>
      <c r="F648" s="469">
        <v>8</v>
      </c>
      <c r="G648" s="469">
        <v>7.8</v>
      </c>
      <c r="H648" s="470">
        <v>199</v>
      </c>
      <c r="I648" s="470">
        <v>906</v>
      </c>
      <c r="J648" s="470">
        <v>2256.9</v>
      </c>
      <c r="K648" s="469">
        <v>1.23</v>
      </c>
    </row>
    <row r="649" spans="2:11" x14ac:dyDescent="0.35">
      <c r="B649" s="62">
        <v>17.5</v>
      </c>
      <c r="C649" s="471">
        <v>665</v>
      </c>
      <c r="D649" s="471">
        <v>665</v>
      </c>
      <c r="E649" s="469">
        <v>61.68</v>
      </c>
      <c r="F649" s="469">
        <v>7.5</v>
      </c>
      <c r="G649" s="469">
        <v>6.9</v>
      </c>
      <c r="H649" s="470">
        <v>199</v>
      </c>
      <c r="I649" s="470">
        <v>912</v>
      </c>
      <c r="J649" s="470">
        <v>2184.3000000000002</v>
      </c>
      <c r="K649" s="469">
        <v>1.23</v>
      </c>
    </row>
    <row r="650" spans="2:11" x14ac:dyDescent="0.35">
      <c r="B650" s="62">
        <v>17.5</v>
      </c>
      <c r="C650" s="471">
        <v>666</v>
      </c>
      <c r="D650" s="471">
        <v>666</v>
      </c>
      <c r="E650" s="469">
        <v>74.680000000000007</v>
      </c>
      <c r="F650" s="469">
        <v>6.5</v>
      </c>
      <c r="G650" s="469">
        <v>6.7</v>
      </c>
      <c r="H650" s="470">
        <v>199</v>
      </c>
      <c r="I650" s="470">
        <v>912</v>
      </c>
      <c r="J650" s="470">
        <v>2157.6</v>
      </c>
      <c r="K650" s="469">
        <v>1.23</v>
      </c>
    </row>
    <row r="651" spans="2:11" x14ac:dyDescent="0.35">
      <c r="B651" s="62">
        <v>17.5</v>
      </c>
      <c r="C651" s="471">
        <v>667</v>
      </c>
      <c r="D651" s="471">
        <v>667</v>
      </c>
      <c r="E651" s="469">
        <v>40.119999999999997</v>
      </c>
      <c r="F651" s="469">
        <v>7.6</v>
      </c>
      <c r="G651" s="469">
        <v>7.8</v>
      </c>
      <c r="H651" s="470">
        <v>199</v>
      </c>
      <c r="I651" s="470">
        <v>910</v>
      </c>
      <c r="J651" s="470">
        <v>2191.3000000000002</v>
      </c>
      <c r="K651" s="469">
        <v>1.23</v>
      </c>
    </row>
    <row r="652" spans="2:11" x14ac:dyDescent="0.35">
      <c r="B652" s="62">
        <v>17.5</v>
      </c>
      <c r="C652" s="471">
        <v>668</v>
      </c>
      <c r="D652" s="471">
        <v>668</v>
      </c>
      <c r="E652" s="469">
        <v>55.04</v>
      </c>
      <c r="F652" s="469">
        <v>6.4</v>
      </c>
      <c r="G652" s="469">
        <v>6.8</v>
      </c>
      <c r="H652" s="470">
        <v>200</v>
      </c>
      <c r="I652" s="470">
        <v>917</v>
      </c>
      <c r="J652" s="470">
        <v>2113.8000000000002</v>
      </c>
      <c r="K652" s="469">
        <v>1.24</v>
      </c>
    </row>
    <row r="653" spans="2:11" x14ac:dyDescent="0.35">
      <c r="B653" s="62">
        <v>17.5</v>
      </c>
      <c r="C653" s="471">
        <v>669</v>
      </c>
      <c r="D653" s="471">
        <v>669</v>
      </c>
      <c r="E653" s="469">
        <v>17.88</v>
      </c>
      <c r="F653" s="469">
        <v>4.0999999999999996</v>
      </c>
      <c r="G653" s="469">
        <v>5</v>
      </c>
      <c r="H653" s="470">
        <v>200</v>
      </c>
      <c r="I653" s="470">
        <v>926</v>
      </c>
      <c r="J653" s="470">
        <v>1968.3</v>
      </c>
      <c r="K653" s="469">
        <v>1.25</v>
      </c>
    </row>
    <row r="654" spans="2:11" x14ac:dyDescent="0.35">
      <c r="B654" s="62">
        <v>17.5</v>
      </c>
      <c r="C654" s="471">
        <v>670</v>
      </c>
      <c r="D654" s="471">
        <v>670</v>
      </c>
      <c r="E654" s="469">
        <v>22.42</v>
      </c>
      <c r="F654" s="469">
        <v>3.9</v>
      </c>
      <c r="G654" s="469">
        <v>4.0999999999999996</v>
      </c>
      <c r="H654" s="470">
        <v>201</v>
      </c>
      <c r="I654" s="470">
        <v>939</v>
      </c>
      <c r="J654" s="470">
        <v>1968.2</v>
      </c>
      <c r="K654" s="469">
        <v>1.25</v>
      </c>
    </row>
    <row r="655" spans="2:11" x14ac:dyDescent="0.35">
      <c r="B655" s="62">
        <v>17.5</v>
      </c>
      <c r="C655" s="471">
        <v>671</v>
      </c>
      <c r="D655" s="471">
        <v>671</v>
      </c>
      <c r="E655" s="469">
        <v>34.270000000000003</v>
      </c>
      <c r="F655" s="469">
        <v>6</v>
      </c>
      <c r="G655" s="469">
        <v>6.2</v>
      </c>
      <c r="H655" s="470">
        <v>201</v>
      </c>
      <c r="I655" s="470">
        <v>942</v>
      </c>
      <c r="J655" s="470">
        <v>2018.7</v>
      </c>
      <c r="K655" s="469">
        <v>1.25</v>
      </c>
    </row>
    <row r="656" spans="2:11" x14ac:dyDescent="0.35">
      <c r="B656" s="62">
        <v>17.5</v>
      </c>
      <c r="C656" s="471">
        <v>672</v>
      </c>
      <c r="D656" s="471">
        <v>672</v>
      </c>
      <c r="E656" s="469">
        <v>65.97</v>
      </c>
      <c r="F656" s="469">
        <v>5.5</v>
      </c>
      <c r="G656" s="469">
        <v>5.8</v>
      </c>
      <c r="H656" s="470">
        <v>201</v>
      </c>
      <c r="I656" s="470">
        <v>936</v>
      </c>
      <c r="J656" s="470">
        <v>2025.9</v>
      </c>
      <c r="K656" s="469">
        <v>1.25</v>
      </c>
    </row>
    <row r="657" spans="2:11" x14ac:dyDescent="0.35">
      <c r="B657" s="62">
        <v>17.5</v>
      </c>
      <c r="C657" s="471">
        <v>673</v>
      </c>
      <c r="D657" s="471">
        <v>673</v>
      </c>
      <c r="E657" s="469">
        <v>42.81</v>
      </c>
      <c r="F657" s="469">
        <v>7.8</v>
      </c>
      <c r="G657" s="469">
        <v>7.6</v>
      </c>
      <c r="H657" s="470">
        <v>200</v>
      </c>
      <c r="I657" s="470">
        <v>938</v>
      </c>
      <c r="J657" s="470">
        <v>2014.1</v>
      </c>
      <c r="K657" s="469">
        <v>1.25</v>
      </c>
    </row>
    <row r="658" spans="2:11" x14ac:dyDescent="0.35">
      <c r="B658" s="62">
        <v>17.5</v>
      </c>
      <c r="C658" s="471">
        <v>674</v>
      </c>
      <c r="D658" s="471">
        <v>674</v>
      </c>
      <c r="E658" s="469">
        <v>48.75</v>
      </c>
      <c r="F658" s="469">
        <v>7.6</v>
      </c>
      <c r="G658" s="469">
        <v>6.6</v>
      </c>
      <c r="H658" s="470">
        <v>201</v>
      </c>
      <c r="I658" s="470">
        <v>940</v>
      </c>
      <c r="J658" s="470">
        <v>1997.6</v>
      </c>
      <c r="K658" s="469">
        <v>1.25</v>
      </c>
    </row>
    <row r="659" spans="2:11" x14ac:dyDescent="0.35">
      <c r="B659" s="62">
        <v>17.5</v>
      </c>
      <c r="C659" s="471">
        <v>675</v>
      </c>
      <c r="D659" s="471">
        <v>675</v>
      </c>
      <c r="E659" s="469">
        <v>57.91</v>
      </c>
      <c r="F659" s="469">
        <v>6.4</v>
      </c>
      <c r="G659" s="469">
        <v>7.1</v>
      </c>
      <c r="H659" s="470">
        <v>201</v>
      </c>
      <c r="I659" s="470">
        <v>940</v>
      </c>
      <c r="J659" s="470">
        <v>1932.1</v>
      </c>
      <c r="K659" s="469">
        <v>1.25</v>
      </c>
    </row>
    <row r="660" spans="2:11" x14ac:dyDescent="0.35">
      <c r="B660" s="62">
        <v>17.5</v>
      </c>
      <c r="C660" s="471">
        <v>676</v>
      </c>
      <c r="D660" s="471">
        <v>676</v>
      </c>
      <c r="E660" s="469">
        <v>55.56</v>
      </c>
      <c r="F660" s="469">
        <v>7.3</v>
      </c>
      <c r="G660" s="469">
        <v>6.8</v>
      </c>
      <c r="H660" s="470">
        <v>201</v>
      </c>
      <c r="I660" s="470">
        <v>938</v>
      </c>
      <c r="J660" s="470">
        <v>1924.7</v>
      </c>
      <c r="K660" s="469">
        <v>1.25</v>
      </c>
    </row>
    <row r="661" spans="2:11" x14ac:dyDescent="0.35">
      <c r="B661" s="62">
        <v>17.5</v>
      </c>
      <c r="C661" s="471">
        <v>677</v>
      </c>
      <c r="D661" s="471">
        <v>677</v>
      </c>
      <c r="E661" s="469">
        <v>45.98</v>
      </c>
      <c r="F661" s="469">
        <v>7.5</v>
      </c>
      <c r="G661" s="469">
        <v>7</v>
      </c>
      <c r="H661" s="470">
        <v>201</v>
      </c>
      <c r="I661" s="470">
        <v>948</v>
      </c>
      <c r="J661" s="470">
        <v>1825.6</v>
      </c>
      <c r="K661" s="469">
        <v>1.25</v>
      </c>
    </row>
    <row r="662" spans="2:11" x14ac:dyDescent="0.35">
      <c r="B662" s="62">
        <v>17.5</v>
      </c>
      <c r="C662" s="471">
        <v>678</v>
      </c>
      <c r="D662" s="471">
        <v>678</v>
      </c>
      <c r="E662" s="469">
        <v>15.06</v>
      </c>
      <c r="F662" s="469">
        <v>6</v>
      </c>
      <c r="G662" s="469">
        <v>5.7</v>
      </c>
      <c r="H662" s="470">
        <v>202</v>
      </c>
      <c r="I662" s="470">
        <v>952</v>
      </c>
      <c r="J662" s="470">
        <v>1651.9</v>
      </c>
      <c r="K662" s="469">
        <v>1.25</v>
      </c>
    </row>
    <row r="663" spans="2:11" x14ac:dyDescent="0.35">
      <c r="B663" s="62">
        <v>17.5</v>
      </c>
      <c r="C663" s="471">
        <v>679</v>
      </c>
      <c r="D663" s="471">
        <v>679</v>
      </c>
      <c r="E663" s="469">
        <v>21.53</v>
      </c>
      <c r="F663" s="469">
        <v>5.2</v>
      </c>
      <c r="G663" s="469">
        <v>4.7</v>
      </c>
      <c r="H663" s="470">
        <v>202</v>
      </c>
      <c r="I663" s="470">
        <v>955</v>
      </c>
      <c r="J663" s="470">
        <v>1480</v>
      </c>
      <c r="K663" s="469">
        <v>1.25</v>
      </c>
    </row>
    <row r="664" spans="2:11" x14ac:dyDescent="0.35">
      <c r="B664" s="62">
        <v>17.5</v>
      </c>
      <c r="C664" s="471">
        <v>680</v>
      </c>
      <c r="D664" s="471">
        <v>680</v>
      </c>
      <c r="E664" s="469">
        <v>34.119999999999997</v>
      </c>
      <c r="F664" s="469">
        <v>4.7</v>
      </c>
      <c r="G664" s="469">
        <v>4.3</v>
      </c>
      <c r="H664" s="470">
        <v>203</v>
      </c>
      <c r="I664" s="470">
        <v>955</v>
      </c>
      <c r="J664" s="470">
        <v>1391.9</v>
      </c>
      <c r="K664" s="469">
        <v>1.25</v>
      </c>
    </row>
    <row r="665" spans="2:11" x14ac:dyDescent="0.35">
      <c r="B665" s="62">
        <v>17.5</v>
      </c>
      <c r="C665" s="471">
        <v>681</v>
      </c>
      <c r="D665" s="471">
        <v>681</v>
      </c>
      <c r="E665" s="469">
        <v>42.3</v>
      </c>
      <c r="F665" s="469">
        <v>5.3</v>
      </c>
      <c r="G665" s="469">
        <v>5</v>
      </c>
      <c r="H665" s="470">
        <v>203</v>
      </c>
      <c r="I665" s="470">
        <v>956</v>
      </c>
      <c r="J665" s="470">
        <v>1427.5</v>
      </c>
      <c r="K665" s="469">
        <v>1.25</v>
      </c>
    </row>
    <row r="666" spans="2:11" x14ac:dyDescent="0.35">
      <c r="B666" s="62">
        <v>17.5</v>
      </c>
      <c r="C666" s="471">
        <v>682</v>
      </c>
      <c r="D666" s="471">
        <v>682</v>
      </c>
      <c r="E666" s="469">
        <v>17.079999999999998</v>
      </c>
      <c r="F666" s="469">
        <v>4.7</v>
      </c>
      <c r="G666" s="469">
        <v>4.8</v>
      </c>
      <c r="H666" s="470">
        <v>202</v>
      </c>
      <c r="I666" s="470">
        <v>955</v>
      </c>
      <c r="J666" s="470">
        <v>1326</v>
      </c>
      <c r="K666" s="469">
        <v>1.25</v>
      </c>
    </row>
    <row r="667" spans="2:11" x14ac:dyDescent="0.35">
      <c r="B667" s="62">
        <v>17.5</v>
      </c>
      <c r="C667" s="471">
        <v>683</v>
      </c>
      <c r="D667" s="471">
        <v>683</v>
      </c>
      <c r="E667" s="469">
        <v>21.1</v>
      </c>
      <c r="F667" s="469">
        <v>4</v>
      </c>
      <c r="G667" s="469">
        <v>4.2</v>
      </c>
      <c r="H667" s="470">
        <v>198</v>
      </c>
      <c r="I667" s="470">
        <v>953</v>
      </c>
      <c r="J667" s="470">
        <v>1911.2</v>
      </c>
      <c r="K667" s="469">
        <v>1.25</v>
      </c>
    </row>
    <row r="668" spans="2:11" x14ac:dyDescent="0.35">
      <c r="B668" s="62">
        <v>17.5</v>
      </c>
      <c r="C668" s="471">
        <v>684</v>
      </c>
      <c r="D668" s="471">
        <v>684</v>
      </c>
      <c r="E668" s="469">
        <v>28.77</v>
      </c>
      <c r="F668" s="469">
        <v>3.9</v>
      </c>
      <c r="G668" s="469">
        <v>4</v>
      </c>
      <c r="H668" s="470">
        <v>198</v>
      </c>
      <c r="I668" s="470">
        <v>954</v>
      </c>
      <c r="J668" s="470">
        <v>2126.5</v>
      </c>
      <c r="K668" s="469">
        <v>1.25</v>
      </c>
    </row>
    <row r="669" spans="2:11" x14ac:dyDescent="0.35">
      <c r="B669" s="62">
        <v>17.5</v>
      </c>
      <c r="C669" s="471">
        <v>685</v>
      </c>
      <c r="D669" s="471">
        <v>685</v>
      </c>
      <c r="E669" s="469">
        <v>35.51</v>
      </c>
      <c r="F669" s="469">
        <v>5.3</v>
      </c>
      <c r="G669" s="469">
        <v>5</v>
      </c>
      <c r="H669" s="470">
        <v>197</v>
      </c>
      <c r="I669" s="470">
        <v>949</v>
      </c>
      <c r="J669" s="470">
        <v>2179.3000000000002</v>
      </c>
      <c r="K669" s="469">
        <v>1.25</v>
      </c>
    </row>
    <row r="670" spans="2:11" x14ac:dyDescent="0.35">
      <c r="B670" s="62">
        <v>17.5</v>
      </c>
      <c r="C670" s="471">
        <v>686</v>
      </c>
      <c r="D670" s="471">
        <v>686</v>
      </c>
      <c r="E670" s="469">
        <v>32.200000000000003</v>
      </c>
      <c r="F670" s="469">
        <v>4.5999999999999996</v>
      </c>
      <c r="G670" s="469">
        <v>4.8</v>
      </c>
      <c r="H670" s="470">
        <v>197</v>
      </c>
      <c r="I670" s="470">
        <v>949</v>
      </c>
      <c r="J670" s="470">
        <v>2156.1</v>
      </c>
      <c r="K670" s="469">
        <v>1.25</v>
      </c>
    </row>
    <row r="671" spans="2:11" x14ac:dyDescent="0.35">
      <c r="B671" s="62">
        <v>17.5</v>
      </c>
      <c r="C671" s="471">
        <v>687</v>
      </c>
      <c r="D671" s="471">
        <v>687</v>
      </c>
      <c r="E671" s="469">
        <v>38.15</v>
      </c>
      <c r="F671" s="469">
        <v>6.1</v>
      </c>
      <c r="G671" s="469">
        <v>5.6</v>
      </c>
      <c r="H671" s="470">
        <v>196</v>
      </c>
      <c r="I671" s="470">
        <v>943</v>
      </c>
      <c r="J671" s="470">
        <v>2248</v>
      </c>
      <c r="K671" s="469">
        <v>1.25</v>
      </c>
    </row>
    <row r="672" spans="2:11" x14ac:dyDescent="0.35">
      <c r="B672" s="62">
        <v>17.5</v>
      </c>
      <c r="C672" s="471">
        <v>688</v>
      </c>
      <c r="D672" s="471">
        <v>688</v>
      </c>
      <c r="E672" s="469">
        <v>53.9</v>
      </c>
      <c r="F672" s="469">
        <v>7.1</v>
      </c>
      <c r="G672" s="469">
        <v>6.3</v>
      </c>
      <c r="H672" s="470">
        <v>196</v>
      </c>
      <c r="I672" s="470">
        <v>937</v>
      </c>
      <c r="J672" s="470">
        <v>2305.8000000000002</v>
      </c>
      <c r="K672" s="469">
        <v>1.25</v>
      </c>
    </row>
    <row r="673" spans="2:11" x14ac:dyDescent="0.35">
      <c r="B673" s="62">
        <v>17.5</v>
      </c>
      <c r="C673" s="471">
        <v>689</v>
      </c>
      <c r="D673" s="471">
        <v>689</v>
      </c>
      <c r="E673" s="469">
        <v>39.85</v>
      </c>
      <c r="F673" s="469">
        <v>6.5</v>
      </c>
      <c r="G673" s="469">
        <v>5.3</v>
      </c>
      <c r="H673" s="470">
        <v>196</v>
      </c>
      <c r="I673" s="470">
        <v>940</v>
      </c>
      <c r="J673" s="470">
        <v>2246.1999999999998</v>
      </c>
      <c r="K673" s="469">
        <v>1.25</v>
      </c>
    </row>
    <row r="674" spans="2:11" x14ac:dyDescent="0.35">
      <c r="B674" s="62">
        <v>17.5</v>
      </c>
      <c r="C674" s="471">
        <v>690</v>
      </c>
      <c r="D674" s="471">
        <v>690</v>
      </c>
      <c r="E674" s="469">
        <v>40.82</v>
      </c>
      <c r="F674" s="469">
        <v>6.3</v>
      </c>
      <c r="G674" s="469">
        <v>5.7</v>
      </c>
      <c r="H674" s="470">
        <v>196</v>
      </c>
      <c r="I674" s="470">
        <v>938</v>
      </c>
      <c r="J674" s="470">
        <v>2263.3000000000002</v>
      </c>
      <c r="K674" s="469">
        <v>1.25</v>
      </c>
    </row>
    <row r="675" spans="2:11" x14ac:dyDescent="0.35">
      <c r="B675" s="62">
        <v>17.5</v>
      </c>
      <c r="C675" s="471">
        <v>691</v>
      </c>
      <c r="D675" s="471">
        <v>691</v>
      </c>
      <c r="E675" s="469">
        <v>21.2</v>
      </c>
      <c r="F675" s="469">
        <v>5.3</v>
      </c>
      <c r="G675" s="469">
        <v>5.3</v>
      </c>
      <c r="H675" s="470">
        <v>196</v>
      </c>
      <c r="I675" s="470">
        <v>942</v>
      </c>
      <c r="J675" s="470">
        <v>2235</v>
      </c>
      <c r="K675" s="469">
        <v>1.26</v>
      </c>
    </row>
    <row r="676" spans="2:11" x14ac:dyDescent="0.35">
      <c r="B676" s="62">
        <v>17.5</v>
      </c>
      <c r="C676" s="471">
        <v>692</v>
      </c>
      <c r="D676" s="471">
        <v>692</v>
      </c>
      <c r="E676" s="469">
        <v>27.72</v>
      </c>
      <c r="F676" s="469">
        <v>3.8</v>
      </c>
      <c r="G676" s="469">
        <v>4</v>
      </c>
      <c r="H676" s="470">
        <v>197</v>
      </c>
      <c r="I676" s="470">
        <v>946</v>
      </c>
      <c r="J676" s="470">
        <v>2109.3000000000002</v>
      </c>
      <c r="K676" s="469">
        <v>1.26</v>
      </c>
    </row>
    <row r="677" spans="2:11" x14ac:dyDescent="0.35">
      <c r="B677" s="62">
        <v>17.5</v>
      </c>
      <c r="C677" s="471">
        <v>693</v>
      </c>
      <c r="D677" s="471">
        <v>693</v>
      </c>
      <c r="E677" s="469">
        <v>36.25</v>
      </c>
      <c r="F677" s="469">
        <v>4.0999999999999996</v>
      </c>
      <c r="G677" s="469">
        <v>4.2</v>
      </c>
      <c r="H677" s="470">
        <v>197</v>
      </c>
      <c r="I677" s="470">
        <v>945</v>
      </c>
      <c r="J677" s="470">
        <v>2146.9</v>
      </c>
      <c r="K677" s="469">
        <v>1.26</v>
      </c>
    </row>
    <row r="678" spans="2:11" x14ac:dyDescent="0.35">
      <c r="B678" s="62">
        <v>17.5</v>
      </c>
      <c r="C678" s="471">
        <v>694</v>
      </c>
      <c r="D678" s="471">
        <v>694</v>
      </c>
      <c r="E678" s="469">
        <v>25.87</v>
      </c>
      <c r="F678" s="469">
        <v>4.5999999999999996</v>
      </c>
      <c r="G678" s="469">
        <v>4</v>
      </c>
      <c r="H678" s="470">
        <v>197</v>
      </c>
      <c r="I678" s="470">
        <v>944</v>
      </c>
      <c r="J678" s="470">
        <v>2127.5</v>
      </c>
      <c r="K678" s="469">
        <v>1.26</v>
      </c>
    </row>
    <row r="679" spans="2:11" x14ac:dyDescent="0.35">
      <c r="B679" s="62">
        <v>17.5</v>
      </c>
      <c r="C679" s="471">
        <v>695</v>
      </c>
      <c r="D679" s="471">
        <v>695</v>
      </c>
      <c r="E679" s="469">
        <v>22.03</v>
      </c>
      <c r="F679" s="469">
        <v>3.9</v>
      </c>
      <c r="G679" s="469">
        <v>3.7</v>
      </c>
      <c r="H679" s="470">
        <v>197</v>
      </c>
      <c r="I679" s="470">
        <v>945</v>
      </c>
      <c r="J679" s="470">
        <v>2123.1999999999998</v>
      </c>
      <c r="K679" s="469">
        <v>1.26</v>
      </c>
    </row>
    <row r="680" spans="2:11" x14ac:dyDescent="0.35">
      <c r="B680" s="62">
        <v>17.5</v>
      </c>
      <c r="C680" s="471">
        <v>696</v>
      </c>
      <c r="D680" s="471">
        <v>696</v>
      </c>
      <c r="E680" s="469">
        <v>23.72</v>
      </c>
      <c r="F680" s="469">
        <v>4.2</v>
      </c>
      <c r="G680" s="469">
        <v>4.5</v>
      </c>
      <c r="H680" s="470">
        <v>196</v>
      </c>
      <c r="I680" s="470">
        <v>945</v>
      </c>
      <c r="J680" s="470">
        <v>2148.5</v>
      </c>
      <c r="K680" s="469">
        <v>1.26</v>
      </c>
    </row>
    <row r="681" spans="2:11" x14ac:dyDescent="0.35">
      <c r="B681" s="62">
        <v>17.5</v>
      </c>
      <c r="C681" s="471">
        <v>697</v>
      </c>
      <c r="D681" s="471">
        <v>697</v>
      </c>
      <c r="E681" s="469">
        <v>24.76</v>
      </c>
      <c r="F681" s="469">
        <v>4.4000000000000004</v>
      </c>
      <c r="G681" s="469">
        <v>4.2</v>
      </c>
      <c r="H681" s="470">
        <v>197</v>
      </c>
      <c r="I681" s="470">
        <v>945</v>
      </c>
      <c r="J681" s="470">
        <v>2136.6</v>
      </c>
      <c r="K681" s="469">
        <v>1.26</v>
      </c>
    </row>
    <row r="682" spans="2:11" x14ac:dyDescent="0.35">
      <c r="B682" s="62">
        <v>17.5</v>
      </c>
      <c r="C682" s="471">
        <v>698</v>
      </c>
      <c r="D682" s="471">
        <v>698</v>
      </c>
      <c r="E682" s="469">
        <v>20.350000000000001</v>
      </c>
      <c r="F682" s="469">
        <v>5.2</v>
      </c>
      <c r="G682" s="469">
        <v>5.0999999999999996</v>
      </c>
      <c r="H682" s="470">
        <v>194</v>
      </c>
      <c r="I682" s="470">
        <v>909</v>
      </c>
      <c r="J682" s="470">
        <v>2106.1999999999998</v>
      </c>
      <c r="K682" s="469">
        <v>1.26</v>
      </c>
    </row>
    <row r="683" spans="2:11" x14ac:dyDescent="0.35">
      <c r="B683" s="62">
        <v>17.5</v>
      </c>
      <c r="C683" s="471">
        <v>699</v>
      </c>
      <c r="D683" s="471">
        <v>699</v>
      </c>
      <c r="E683" s="469">
        <v>33.64</v>
      </c>
      <c r="F683" s="469">
        <v>5.9</v>
      </c>
      <c r="G683" s="469">
        <v>4.4000000000000004</v>
      </c>
      <c r="H683" s="470">
        <v>198</v>
      </c>
      <c r="I683" s="470">
        <v>922</v>
      </c>
      <c r="J683" s="470">
        <v>2187.4</v>
      </c>
      <c r="K683" s="469">
        <v>1.26</v>
      </c>
    </row>
    <row r="684" spans="2:11" x14ac:dyDescent="0.35">
      <c r="B684" s="62">
        <v>17.5</v>
      </c>
      <c r="C684" s="471">
        <v>700</v>
      </c>
      <c r="D684" s="471">
        <v>700</v>
      </c>
      <c r="E684" s="469">
        <v>44.43</v>
      </c>
      <c r="F684" s="469">
        <v>5.5</v>
      </c>
      <c r="G684" s="469">
        <v>5.7</v>
      </c>
      <c r="H684" s="470">
        <v>198</v>
      </c>
      <c r="I684" s="470">
        <v>917</v>
      </c>
      <c r="J684" s="470">
        <v>2199.1</v>
      </c>
      <c r="K684" s="469">
        <v>1.26</v>
      </c>
    </row>
    <row r="685" spans="2:11" x14ac:dyDescent="0.35">
      <c r="B685" s="62">
        <v>17.5</v>
      </c>
      <c r="C685" s="471">
        <v>701</v>
      </c>
      <c r="D685" s="471">
        <v>701</v>
      </c>
      <c r="E685" s="469">
        <v>45.18</v>
      </c>
      <c r="F685" s="469">
        <v>5.9</v>
      </c>
      <c r="G685" s="469">
        <v>5.9</v>
      </c>
      <c r="H685" s="470">
        <v>198</v>
      </c>
      <c r="I685" s="470">
        <v>918</v>
      </c>
      <c r="J685" s="470">
        <v>2217.1999999999998</v>
      </c>
      <c r="K685" s="469">
        <v>1.27</v>
      </c>
    </row>
    <row r="686" spans="2:11" x14ac:dyDescent="0.35">
      <c r="B686" s="62">
        <v>17.5</v>
      </c>
      <c r="C686" s="471">
        <v>702</v>
      </c>
      <c r="D686" s="471">
        <v>702</v>
      </c>
      <c r="E686" s="469">
        <v>58.11</v>
      </c>
      <c r="F686" s="469">
        <v>6.2</v>
      </c>
      <c r="G686" s="469">
        <v>5.9</v>
      </c>
      <c r="H686" s="470">
        <v>198</v>
      </c>
      <c r="I686" s="470">
        <v>918</v>
      </c>
      <c r="J686" s="470">
        <v>2215.8000000000002</v>
      </c>
      <c r="K686" s="469">
        <v>1.27</v>
      </c>
    </row>
    <row r="687" spans="2:11" x14ac:dyDescent="0.35">
      <c r="B687" s="62">
        <v>17.5</v>
      </c>
      <c r="C687" s="471">
        <v>703</v>
      </c>
      <c r="D687" s="471">
        <v>703</v>
      </c>
      <c r="E687" s="469">
        <v>59.86</v>
      </c>
      <c r="F687" s="469">
        <v>7.4</v>
      </c>
      <c r="G687" s="469">
        <v>8.6</v>
      </c>
      <c r="H687" s="470">
        <v>197</v>
      </c>
      <c r="I687" s="470">
        <v>916</v>
      </c>
      <c r="J687" s="470">
        <v>2372.6999999999998</v>
      </c>
      <c r="K687" s="469">
        <v>1.27</v>
      </c>
    </row>
    <row r="688" spans="2:11" x14ac:dyDescent="0.35">
      <c r="B688" s="62">
        <v>17.5</v>
      </c>
      <c r="C688" s="471">
        <v>704</v>
      </c>
      <c r="D688" s="471">
        <v>704</v>
      </c>
      <c r="E688" s="469">
        <v>51.25</v>
      </c>
      <c r="F688" s="469">
        <v>6.7</v>
      </c>
      <c r="G688" s="469">
        <v>6.4</v>
      </c>
      <c r="H688" s="470">
        <v>198</v>
      </c>
      <c r="I688" s="470">
        <v>919</v>
      </c>
      <c r="J688" s="470">
        <v>2220.4</v>
      </c>
      <c r="K688" s="469">
        <v>1.27</v>
      </c>
    </row>
    <row r="689" spans="2:11" x14ac:dyDescent="0.35">
      <c r="B689" s="62">
        <v>17.5</v>
      </c>
      <c r="C689" s="471">
        <v>705</v>
      </c>
      <c r="D689" s="471">
        <v>705</v>
      </c>
      <c r="E689" s="469">
        <v>78.739999999999995</v>
      </c>
      <c r="F689" s="469">
        <v>6.8</v>
      </c>
      <c r="G689" s="469">
        <v>6.8</v>
      </c>
      <c r="H689" s="470">
        <v>198</v>
      </c>
      <c r="I689" s="470">
        <v>920</v>
      </c>
      <c r="J689" s="470">
        <v>2306.6</v>
      </c>
      <c r="K689" s="469">
        <v>1.27</v>
      </c>
    </row>
    <row r="690" spans="2:11" x14ac:dyDescent="0.35">
      <c r="B690" s="62">
        <v>17.5</v>
      </c>
      <c r="C690" s="471">
        <v>706</v>
      </c>
      <c r="D690" s="471">
        <v>706</v>
      </c>
      <c r="E690" s="469">
        <v>59.77</v>
      </c>
      <c r="F690" s="469">
        <v>8.6999999999999993</v>
      </c>
      <c r="G690" s="469">
        <v>7.7</v>
      </c>
      <c r="H690" s="470">
        <v>197</v>
      </c>
      <c r="I690" s="470">
        <v>915</v>
      </c>
      <c r="J690" s="470">
        <v>2377.5</v>
      </c>
      <c r="K690" s="469">
        <v>1.27</v>
      </c>
    </row>
    <row r="691" spans="2:11" x14ac:dyDescent="0.35">
      <c r="B691" s="62">
        <v>17.5</v>
      </c>
      <c r="C691" s="471">
        <v>707</v>
      </c>
      <c r="D691" s="471">
        <v>707</v>
      </c>
      <c r="E691" s="469">
        <v>87.47</v>
      </c>
      <c r="F691" s="469">
        <v>7.5</v>
      </c>
      <c r="G691" s="469">
        <v>8.3000000000000007</v>
      </c>
      <c r="H691" s="470">
        <v>197</v>
      </c>
      <c r="I691" s="470">
        <v>915</v>
      </c>
      <c r="J691" s="470">
        <v>2368.9</v>
      </c>
      <c r="K691" s="469">
        <v>1.27</v>
      </c>
    </row>
    <row r="692" spans="2:11" x14ac:dyDescent="0.35">
      <c r="B692" s="62">
        <v>17.5</v>
      </c>
      <c r="C692" s="471">
        <v>708</v>
      </c>
      <c r="D692" s="471">
        <v>708</v>
      </c>
      <c r="E692" s="469">
        <v>65</v>
      </c>
      <c r="F692" s="469">
        <v>9.4</v>
      </c>
      <c r="G692" s="469">
        <v>9.6999999999999993</v>
      </c>
      <c r="H692" s="470">
        <v>197</v>
      </c>
      <c r="I692" s="470">
        <v>914</v>
      </c>
      <c r="J692" s="470">
        <v>2442</v>
      </c>
      <c r="K692" s="469">
        <v>1.27</v>
      </c>
    </row>
    <row r="693" spans="2:11" x14ac:dyDescent="0.35">
      <c r="B693" s="62">
        <v>17.5</v>
      </c>
      <c r="C693" s="471">
        <v>709</v>
      </c>
      <c r="D693" s="471">
        <v>709</v>
      </c>
      <c r="E693" s="469">
        <v>67.56</v>
      </c>
      <c r="F693" s="469">
        <v>6.8</v>
      </c>
      <c r="G693" s="469">
        <v>7.3</v>
      </c>
      <c r="H693" s="470">
        <v>198</v>
      </c>
      <c r="I693" s="470">
        <v>918</v>
      </c>
      <c r="J693" s="470">
        <v>2288.3000000000002</v>
      </c>
      <c r="K693" s="469">
        <v>1.27</v>
      </c>
    </row>
    <row r="694" spans="2:11" x14ac:dyDescent="0.35">
      <c r="B694" s="62">
        <v>17.5</v>
      </c>
      <c r="C694" s="471">
        <v>710</v>
      </c>
      <c r="D694" s="471">
        <v>710</v>
      </c>
      <c r="E694" s="469">
        <v>63.35</v>
      </c>
      <c r="F694" s="469">
        <v>7.4</v>
      </c>
      <c r="G694" s="469">
        <v>6.8</v>
      </c>
      <c r="H694" s="470">
        <v>197</v>
      </c>
      <c r="I694" s="470">
        <v>916</v>
      </c>
      <c r="J694" s="470">
        <v>2283.9</v>
      </c>
      <c r="K694" s="469">
        <v>1.27</v>
      </c>
    </row>
    <row r="695" spans="2:11" x14ac:dyDescent="0.35">
      <c r="B695" s="62">
        <v>17.5</v>
      </c>
      <c r="C695" s="471">
        <v>711</v>
      </c>
      <c r="D695" s="471">
        <v>711</v>
      </c>
      <c r="E695" s="469">
        <v>77.209999999999994</v>
      </c>
      <c r="F695" s="469">
        <v>6.3</v>
      </c>
      <c r="G695" s="469">
        <v>6.7</v>
      </c>
      <c r="H695" s="470">
        <v>198</v>
      </c>
      <c r="I695" s="470">
        <v>918</v>
      </c>
      <c r="J695" s="470">
        <v>2288.9</v>
      </c>
      <c r="K695" s="469">
        <v>1.27</v>
      </c>
    </row>
    <row r="696" spans="2:11" x14ac:dyDescent="0.35">
      <c r="B696" s="62">
        <v>17.5</v>
      </c>
      <c r="C696" s="471">
        <v>712</v>
      </c>
      <c r="D696" s="471">
        <v>712</v>
      </c>
      <c r="E696" s="469">
        <v>83.57</v>
      </c>
      <c r="F696" s="469">
        <v>8.1</v>
      </c>
      <c r="G696" s="469">
        <v>9.1999999999999993</v>
      </c>
      <c r="H696" s="470">
        <v>196</v>
      </c>
      <c r="I696" s="470">
        <v>914</v>
      </c>
      <c r="J696" s="470">
        <v>2401.6999999999998</v>
      </c>
      <c r="K696" s="469">
        <v>1.27</v>
      </c>
    </row>
    <row r="697" spans="2:11" x14ac:dyDescent="0.35">
      <c r="B697" s="62">
        <v>17.5</v>
      </c>
      <c r="C697" s="471">
        <v>713</v>
      </c>
      <c r="D697" s="471">
        <v>713</v>
      </c>
      <c r="E697" s="469">
        <v>75.510000000000005</v>
      </c>
      <c r="F697" s="469">
        <v>7.9</v>
      </c>
      <c r="G697" s="469">
        <v>7.3</v>
      </c>
      <c r="H697" s="470">
        <v>197</v>
      </c>
      <c r="I697" s="470">
        <v>915</v>
      </c>
      <c r="J697" s="470">
        <v>2361.4</v>
      </c>
      <c r="K697" s="469">
        <v>1.27</v>
      </c>
    </row>
    <row r="698" spans="2:11" x14ac:dyDescent="0.35">
      <c r="B698" s="62">
        <v>17.5</v>
      </c>
      <c r="C698" s="471">
        <v>714</v>
      </c>
      <c r="D698" s="471">
        <v>714</v>
      </c>
      <c r="E698" s="469">
        <v>71.099999999999994</v>
      </c>
      <c r="F698" s="469">
        <v>8.4</v>
      </c>
      <c r="G698" s="469">
        <v>8</v>
      </c>
      <c r="H698" s="470">
        <v>197</v>
      </c>
      <c r="I698" s="470">
        <v>916</v>
      </c>
      <c r="J698" s="470">
        <v>2352.8000000000002</v>
      </c>
      <c r="K698" s="469">
        <v>1.27</v>
      </c>
    </row>
    <row r="699" spans="2:11" x14ac:dyDescent="0.35">
      <c r="B699" s="62">
        <v>17.5</v>
      </c>
      <c r="C699" s="471">
        <v>715</v>
      </c>
      <c r="D699" s="471">
        <v>715</v>
      </c>
      <c r="E699" s="469">
        <v>68.08</v>
      </c>
      <c r="F699" s="469">
        <v>9.9</v>
      </c>
      <c r="G699" s="469">
        <v>8.3000000000000007</v>
      </c>
      <c r="H699" s="470">
        <v>197</v>
      </c>
      <c r="I699" s="470">
        <v>914</v>
      </c>
      <c r="J699" s="470">
        <v>2401</v>
      </c>
      <c r="K699" s="469">
        <v>1.27</v>
      </c>
    </row>
    <row r="700" spans="2:11" x14ac:dyDescent="0.35">
      <c r="B700" s="62">
        <v>17.5</v>
      </c>
      <c r="C700" s="471">
        <v>716</v>
      </c>
      <c r="D700" s="471">
        <v>716</v>
      </c>
      <c r="E700" s="469">
        <v>71.63</v>
      </c>
      <c r="F700" s="469">
        <v>8.9</v>
      </c>
      <c r="G700" s="469">
        <v>7.9</v>
      </c>
      <c r="H700" s="470">
        <v>198</v>
      </c>
      <c r="I700" s="470">
        <v>918</v>
      </c>
      <c r="J700" s="470">
        <v>2378.4</v>
      </c>
      <c r="K700" s="469">
        <v>1.27</v>
      </c>
    </row>
    <row r="701" spans="2:11" x14ac:dyDescent="0.35">
      <c r="B701" s="62">
        <v>17.5</v>
      </c>
      <c r="C701" s="471">
        <v>717</v>
      </c>
      <c r="D701" s="471">
        <v>717</v>
      </c>
      <c r="E701" s="469">
        <v>100.68</v>
      </c>
      <c r="F701" s="469">
        <v>8.1</v>
      </c>
      <c r="G701" s="469">
        <v>8.1999999999999993</v>
      </c>
      <c r="H701" s="470">
        <v>198</v>
      </c>
      <c r="I701" s="470">
        <v>918</v>
      </c>
      <c r="J701" s="470">
        <v>2429.8000000000002</v>
      </c>
      <c r="K701" s="469">
        <v>1.27</v>
      </c>
    </row>
    <row r="702" spans="2:11" x14ac:dyDescent="0.35">
      <c r="B702" s="62">
        <v>17.5</v>
      </c>
      <c r="C702" s="471">
        <v>718</v>
      </c>
      <c r="D702" s="471">
        <v>718</v>
      </c>
      <c r="E702" s="469">
        <v>80.55</v>
      </c>
      <c r="F702" s="469">
        <v>8.6999999999999993</v>
      </c>
      <c r="G702" s="469">
        <v>9.9</v>
      </c>
      <c r="H702" s="470">
        <v>195</v>
      </c>
      <c r="I702" s="470">
        <v>911</v>
      </c>
      <c r="J702" s="470">
        <v>2438.9</v>
      </c>
      <c r="K702" s="469">
        <v>1.27</v>
      </c>
    </row>
    <row r="703" spans="2:11" x14ac:dyDescent="0.35">
      <c r="B703" s="62">
        <v>17.5</v>
      </c>
      <c r="C703" s="471">
        <v>719</v>
      </c>
      <c r="D703" s="471">
        <v>719</v>
      </c>
      <c r="E703" s="469">
        <v>111.83</v>
      </c>
      <c r="F703" s="469">
        <v>8</v>
      </c>
      <c r="G703" s="469">
        <v>8.1</v>
      </c>
      <c r="H703" s="470">
        <v>197</v>
      </c>
      <c r="I703" s="470">
        <v>915</v>
      </c>
      <c r="J703" s="470">
        <v>2435.5</v>
      </c>
      <c r="K703" s="469">
        <v>1.27</v>
      </c>
    </row>
    <row r="704" spans="2:11" x14ac:dyDescent="0.35">
      <c r="B704" s="62">
        <v>17.5</v>
      </c>
      <c r="C704" s="471">
        <v>720</v>
      </c>
      <c r="D704" s="471">
        <v>720</v>
      </c>
      <c r="E704" s="469">
        <v>103.24</v>
      </c>
      <c r="F704" s="469">
        <v>7.7</v>
      </c>
      <c r="G704" s="469">
        <v>8.3000000000000007</v>
      </c>
      <c r="H704" s="470">
        <v>197</v>
      </c>
      <c r="I704" s="470">
        <v>916</v>
      </c>
      <c r="J704" s="470">
        <v>2392.9</v>
      </c>
      <c r="K704" s="469">
        <v>1.27</v>
      </c>
    </row>
    <row r="705" spans="2:11" x14ac:dyDescent="0.35">
      <c r="B705" s="62">
        <v>17.5</v>
      </c>
      <c r="C705" s="471">
        <v>721</v>
      </c>
      <c r="D705" s="471">
        <v>721</v>
      </c>
      <c r="E705" s="469">
        <v>95.38</v>
      </c>
      <c r="F705" s="469">
        <v>7.6</v>
      </c>
      <c r="G705" s="469">
        <v>8.3000000000000007</v>
      </c>
      <c r="H705" s="470">
        <v>197</v>
      </c>
      <c r="I705" s="470">
        <v>916</v>
      </c>
      <c r="J705" s="470">
        <v>2378.1999999999998</v>
      </c>
      <c r="K705" s="469">
        <v>1.27</v>
      </c>
    </row>
    <row r="706" spans="2:11" x14ac:dyDescent="0.35">
      <c r="B706" s="62">
        <v>17.5</v>
      </c>
      <c r="C706" s="471">
        <v>722</v>
      </c>
      <c r="D706" s="471">
        <v>722</v>
      </c>
      <c r="E706" s="469">
        <v>84.89</v>
      </c>
      <c r="F706" s="469">
        <v>5.5</v>
      </c>
      <c r="G706" s="469">
        <v>8.3000000000000007</v>
      </c>
      <c r="H706" s="470">
        <v>197</v>
      </c>
      <c r="I706" s="470">
        <v>918</v>
      </c>
      <c r="J706" s="470">
        <v>2265.6999999999998</v>
      </c>
      <c r="K706" s="469">
        <v>1.27</v>
      </c>
    </row>
    <row r="707" spans="2:11" x14ac:dyDescent="0.35">
      <c r="B707" s="62">
        <v>17.5</v>
      </c>
      <c r="C707" s="471">
        <v>723</v>
      </c>
      <c r="D707" s="471">
        <v>723</v>
      </c>
      <c r="E707" s="469">
        <v>74.78</v>
      </c>
      <c r="F707" s="469">
        <v>8.1</v>
      </c>
      <c r="G707" s="469">
        <v>8.1</v>
      </c>
      <c r="H707" s="470">
        <v>197</v>
      </c>
      <c r="I707" s="470">
        <v>915</v>
      </c>
      <c r="J707" s="470">
        <v>2414.1999999999998</v>
      </c>
      <c r="K707" s="469">
        <v>1.27</v>
      </c>
    </row>
    <row r="708" spans="2:11" x14ac:dyDescent="0.35">
      <c r="B708" s="62">
        <v>17.5</v>
      </c>
      <c r="C708" s="471">
        <v>724</v>
      </c>
      <c r="D708" s="471">
        <v>724</v>
      </c>
      <c r="E708" s="469">
        <v>90.08</v>
      </c>
      <c r="F708" s="469">
        <v>8.6999999999999993</v>
      </c>
      <c r="G708" s="469">
        <v>8.6999999999999993</v>
      </c>
      <c r="H708" s="470">
        <v>197</v>
      </c>
      <c r="I708" s="470">
        <v>913</v>
      </c>
      <c r="J708" s="470">
        <v>2456.1</v>
      </c>
      <c r="K708" s="469">
        <v>1.27</v>
      </c>
    </row>
    <row r="709" spans="2:11" x14ac:dyDescent="0.35">
      <c r="B709" s="62">
        <v>17.5</v>
      </c>
      <c r="C709" s="471">
        <v>725</v>
      </c>
      <c r="D709" s="471">
        <v>725</v>
      </c>
      <c r="E709" s="469">
        <v>43.47</v>
      </c>
      <c r="F709" s="469">
        <v>7.1</v>
      </c>
      <c r="G709" s="469">
        <v>7.6</v>
      </c>
      <c r="H709" s="470">
        <v>197</v>
      </c>
      <c r="I709" s="470">
        <v>916</v>
      </c>
      <c r="J709" s="470">
        <v>2300.6999999999998</v>
      </c>
      <c r="K709" s="469">
        <v>1.27</v>
      </c>
    </row>
    <row r="710" spans="2:11" x14ac:dyDescent="0.35">
      <c r="B710" s="62">
        <v>17.5</v>
      </c>
      <c r="C710" s="471">
        <v>726</v>
      </c>
      <c r="D710" s="471">
        <v>726</v>
      </c>
      <c r="E710" s="469">
        <v>79.7</v>
      </c>
      <c r="F710" s="469">
        <v>8.8000000000000007</v>
      </c>
      <c r="G710" s="469">
        <v>7.1</v>
      </c>
      <c r="H710" s="470">
        <v>198</v>
      </c>
      <c r="I710" s="470">
        <v>917</v>
      </c>
      <c r="J710" s="470">
        <v>2388.3000000000002</v>
      </c>
      <c r="K710" s="469">
        <v>1.27</v>
      </c>
    </row>
    <row r="711" spans="2:11" x14ac:dyDescent="0.35">
      <c r="B711" s="62">
        <v>17.5</v>
      </c>
      <c r="C711" s="471">
        <v>727</v>
      </c>
      <c r="D711" s="471">
        <v>727</v>
      </c>
      <c r="E711" s="469">
        <v>38.15</v>
      </c>
      <c r="F711" s="469">
        <v>7.6</v>
      </c>
      <c r="G711" s="469">
        <v>7.6</v>
      </c>
      <c r="H711" s="470">
        <v>196</v>
      </c>
      <c r="I711" s="470">
        <v>911</v>
      </c>
      <c r="J711" s="470">
        <v>2272.6999999999998</v>
      </c>
      <c r="K711" s="469">
        <v>1.28</v>
      </c>
    </row>
    <row r="712" spans="2:11" x14ac:dyDescent="0.35">
      <c r="B712" s="62">
        <v>17.5</v>
      </c>
      <c r="C712" s="471">
        <v>728</v>
      </c>
      <c r="D712" s="471">
        <v>728</v>
      </c>
      <c r="E712" s="469">
        <v>62.25</v>
      </c>
      <c r="F712" s="469">
        <v>7</v>
      </c>
      <c r="G712" s="469">
        <v>6.6</v>
      </c>
      <c r="H712" s="470">
        <v>197</v>
      </c>
      <c r="I712" s="470">
        <v>917</v>
      </c>
      <c r="J712" s="470">
        <v>2334.8000000000002</v>
      </c>
      <c r="K712" s="469">
        <v>1.29</v>
      </c>
    </row>
    <row r="713" spans="2:11" x14ac:dyDescent="0.35">
      <c r="B713" s="62">
        <v>17.5</v>
      </c>
      <c r="C713" s="471">
        <v>729</v>
      </c>
      <c r="D713" s="471">
        <v>729</v>
      </c>
      <c r="E713" s="469">
        <v>78.040000000000006</v>
      </c>
      <c r="F713" s="469">
        <v>6.2</v>
      </c>
      <c r="G713" s="469">
        <v>6.3</v>
      </c>
      <c r="H713" s="470">
        <v>197</v>
      </c>
      <c r="I713" s="470">
        <v>924</v>
      </c>
      <c r="J713" s="470">
        <v>2268.5</v>
      </c>
      <c r="K713" s="469">
        <v>1.29</v>
      </c>
    </row>
    <row r="714" spans="2:11" x14ac:dyDescent="0.35">
      <c r="B714" s="62">
        <v>17.5</v>
      </c>
      <c r="C714" s="471">
        <v>730</v>
      </c>
      <c r="D714" s="471">
        <v>730</v>
      </c>
      <c r="E714" s="469">
        <v>94.87</v>
      </c>
      <c r="F714" s="469">
        <v>5.9</v>
      </c>
      <c r="G714" s="469">
        <v>6.8</v>
      </c>
      <c r="H714" s="470">
        <v>197</v>
      </c>
      <c r="I714" s="470">
        <v>925</v>
      </c>
      <c r="J714" s="470">
        <v>2252.6</v>
      </c>
      <c r="K714" s="469">
        <v>1.29</v>
      </c>
    </row>
    <row r="715" spans="2:11" x14ac:dyDescent="0.35">
      <c r="B715" s="62">
        <v>17.5</v>
      </c>
      <c r="C715" s="471">
        <v>731</v>
      </c>
      <c r="D715" s="471">
        <v>731</v>
      </c>
      <c r="E715" s="469">
        <v>74.680000000000007</v>
      </c>
      <c r="F715" s="469">
        <v>6.2</v>
      </c>
      <c r="G715" s="469">
        <v>8.3000000000000007</v>
      </c>
      <c r="H715" s="470">
        <v>197</v>
      </c>
      <c r="I715" s="470">
        <v>928</v>
      </c>
      <c r="J715" s="470">
        <v>2262.1</v>
      </c>
      <c r="K715" s="469">
        <v>1.29</v>
      </c>
    </row>
    <row r="716" spans="2:11" x14ac:dyDescent="0.35">
      <c r="B716" s="62">
        <v>17.5</v>
      </c>
      <c r="C716" s="471">
        <v>732</v>
      </c>
      <c r="D716" s="471">
        <v>732</v>
      </c>
      <c r="E716" s="469">
        <v>68.680000000000007</v>
      </c>
      <c r="F716" s="469">
        <v>7.5</v>
      </c>
      <c r="G716" s="469">
        <v>7.9</v>
      </c>
      <c r="H716" s="470">
        <v>197</v>
      </c>
      <c r="I716" s="470">
        <v>929</v>
      </c>
      <c r="J716" s="470">
        <v>2254.3000000000002</v>
      </c>
      <c r="K716" s="469">
        <v>1.29</v>
      </c>
    </row>
    <row r="717" spans="2:11" x14ac:dyDescent="0.35">
      <c r="B717" s="62">
        <v>17.5</v>
      </c>
      <c r="C717" s="471">
        <v>733</v>
      </c>
      <c r="D717" s="471">
        <v>733</v>
      </c>
      <c r="E717" s="469">
        <v>82.24</v>
      </c>
      <c r="F717" s="469">
        <v>9.4</v>
      </c>
      <c r="G717" s="469">
        <v>8.8000000000000007</v>
      </c>
      <c r="H717" s="470">
        <v>196</v>
      </c>
      <c r="I717" s="470">
        <v>918</v>
      </c>
      <c r="J717" s="470">
        <v>2387.8000000000002</v>
      </c>
      <c r="K717" s="469">
        <v>1.29</v>
      </c>
    </row>
    <row r="718" spans="2:11" x14ac:dyDescent="0.35">
      <c r="B718" s="62">
        <v>17.5</v>
      </c>
      <c r="C718" s="471">
        <v>734</v>
      </c>
      <c r="D718" s="471">
        <v>734</v>
      </c>
      <c r="E718" s="469">
        <v>76.31</v>
      </c>
      <c r="F718" s="469">
        <v>8.6999999999999993</v>
      </c>
      <c r="G718" s="469">
        <v>8.4</v>
      </c>
      <c r="H718" s="470">
        <v>198</v>
      </c>
      <c r="I718" s="470">
        <v>922</v>
      </c>
      <c r="J718" s="470">
        <v>2334.4</v>
      </c>
      <c r="K718" s="469">
        <v>1.29</v>
      </c>
    </row>
    <row r="719" spans="2:11" x14ac:dyDescent="0.35">
      <c r="B719" s="62">
        <v>17.5</v>
      </c>
      <c r="C719" s="471">
        <v>735</v>
      </c>
      <c r="D719" s="471">
        <v>735</v>
      </c>
      <c r="E719" s="469">
        <v>82.11</v>
      </c>
      <c r="F719" s="469">
        <v>7.5</v>
      </c>
      <c r="G719" s="469">
        <v>8.5</v>
      </c>
      <c r="H719" s="470">
        <v>197</v>
      </c>
      <c r="I719" s="470">
        <v>925</v>
      </c>
      <c r="J719" s="470">
        <v>2270.6999999999998</v>
      </c>
      <c r="K719" s="469">
        <v>1.29</v>
      </c>
    </row>
    <row r="720" spans="2:11" x14ac:dyDescent="0.35">
      <c r="B720" s="62">
        <v>17.5</v>
      </c>
      <c r="C720" s="471">
        <v>736</v>
      </c>
      <c r="D720" s="471">
        <v>736</v>
      </c>
      <c r="E720" s="469">
        <v>71.17</v>
      </c>
      <c r="F720" s="469">
        <v>7.4</v>
      </c>
      <c r="G720" s="469">
        <v>7.8</v>
      </c>
      <c r="H720" s="470">
        <v>198</v>
      </c>
      <c r="I720" s="470">
        <v>930</v>
      </c>
      <c r="J720" s="470">
        <v>2209.1999999999998</v>
      </c>
      <c r="K720" s="469">
        <v>1.29</v>
      </c>
    </row>
    <row r="721" spans="2:11" x14ac:dyDescent="0.35">
      <c r="B721" s="62">
        <v>17.5</v>
      </c>
      <c r="C721" s="471">
        <v>737</v>
      </c>
      <c r="D721" s="471">
        <v>737</v>
      </c>
      <c r="E721" s="469">
        <v>61.58</v>
      </c>
      <c r="F721" s="469">
        <v>5.4</v>
      </c>
      <c r="G721" s="469">
        <v>7.5</v>
      </c>
      <c r="H721" s="470">
        <v>197</v>
      </c>
      <c r="I721" s="470">
        <v>930</v>
      </c>
      <c r="J721" s="470">
        <v>2033.3</v>
      </c>
      <c r="K721" s="469">
        <v>1.29</v>
      </c>
    </row>
    <row r="722" spans="2:11" x14ac:dyDescent="0.35">
      <c r="B722" s="62">
        <v>17.5</v>
      </c>
      <c r="C722" s="471">
        <v>738</v>
      </c>
      <c r="D722" s="471">
        <v>738</v>
      </c>
      <c r="E722" s="469">
        <v>60.41</v>
      </c>
      <c r="F722" s="469">
        <v>4.3</v>
      </c>
      <c r="G722" s="469">
        <v>6.2</v>
      </c>
      <c r="H722" s="470">
        <v>197</v>
      </c>
      <c r="I722" s="470">
        <v>919</v>
      </c>
      <c r="J722" s="470">
        <v>1933.7</v>
      </c>
      <c r="K722" s="469">
        <v>1.29</v>
      </c>
    </row>
    <row r="723" spans="2:11" x14ac:dyDescent="0.35">
      <c r="B723" s="62">
        <v>17.5</v>
      </c>
      <c r="C723" s="471">
        <v>739</v>
      </c>
      <c r="D723" s="471">
        <v>739</v>
      </c>
      <c r="E723" s="469">
        <v>69.7</v>
      </c>
      <c r="F723" s="469">
        <v>4.4000000000000004</v>
      </c>
      <c r="G723" s="469">
        <v>6</v>
      </c>
      <c r="H723" s="470">
        <v>196</v>
      </c>
      <c r="I723" s="470">
        <v>915</v>
      </c>
      <c r="J723" s="470">
        <v>1985.9</v>
      </c>
      <c r="K723" s="469">
        <v>1.29</v>
      </c>
    </row>
    <row r="724" spans="2:11" x14ac:dyDescent="0.35">
      <c r="B724" s="62">
        <v>17.5</v>
      </c>
      <c r="C724" s="471">
        <v>740</v>
      </c>
      <c r="D724" s="471">
        <v>740</v>
      </c>
      <c r="E724" s="469">
        <v>89.02</v>
      </c>
      <c r="F724" s="469">
        <v>6.4</v>
      </c>
      <c r="G724" s="469">
        <v>8.6999999999999993</v>
      </c>
      <c r="H724" s="470">
        <v>195</v>
      </c>
      <c r="I724" s="470">
        <v>909</v>
      </c>
      <c r="J724" s="470">
        <v>2150.9</v>
      </c>
      <c r="K724" s="469">
        <v>1.29</v>
      </c>
    </row>
    <row r="725" spans="2:11" x14ac:dyDescent="0.35">
      <c r="B725" s="62">
        <v>17.5</v>
      </c>
      <c r="C725" s="471">
        <v>741</v>
      </c>
      <c r="D725" s="471">
        <v>741</v>
      </c>
      <c r="E725" s="469">
        <v>60.21</v>
      </c>
      <c r="F725" s="469">
        <v>5.4</v>
      </c>
      <c r="G725" s="469">
        <v>6.2</v>
      </c>
      <c r="H725" s="470">
        <v>196</v>
      </c>
      <c r="I725" s="470">
        <v>913</v>
      </c>
      <c r="J725" s="470">
        <v>1976.5</v>
      </c>
      <c r="K725" s="469">
        <v>1.29</v>
      </c>
    </row>
    <row r="726" spans="2:11" x14ac:dyDescent="0.35">
      <c r="B726" s="62">
        <v>17.5</v>
      </c>
      <c r="C726" s="471">
        <v>742</v>
      </c>
      <c r="D726" s="471">
        <v>742</v>
      </c>
      <c r="E726" s="469">
        <v>87.96</v>
      </c>
      <c r="F726" s="469">
        <v>6.5</v>
      </c>
      <c r="G726" s="469">
        <v>7.1</v>
      </c>
      <c r="H726" s="470">
        <v>196</v>
      </c>
      <c r="I726" s="470">
        <v>907</v>
      </c>
      <c r="J726" s="470">
        <v>2150.1999999999998</v>
      </c>
      <c r="K726" s="469">
        <v>1.29</v>
      </c>
    </row>
    <row r="727" spans="2:11" x14ac:dyDescent="0.35">
      <c r="B727" s="62">
        <v>17.5</v>
      </c>
      <c r="C727" s="471">
        <v>743</v>
      </c>
      <c r="D727" s="471">
        <v>743</v>
      </c>
      <c r="E727" s="469">
        <v>78.97</v>
      </c>
      <c r="F727" s="469">
        <v>7.4</v>
      </c>
      <c r="G727" s="469">
        <v>9.3000000000000007</v>
      </c>
      <c r="H727" s="470">
        <v>195</v>
      </c>
      <c r="I727" s="470">
        <v>906</v>
      </c>
      <c r="J727" s="470">
        <v>2202</v>
      </c>
      <c r="K727" s="469">
        <v>1.29</v>
      </c>
    </row>
    <row r="728" spans="2:11" x14ac:dyDescent="0.35">
      <c r="B728" s="62">
        <v>17.5</v>
      </c>
      <c r="C728" s="471">
        <v>744</v>
      </c>
      <c r="D728" s="471">
        <v>744</v>
      </c>
      <c r="E728" s="469">
        <v>75.53</v>
      </c>
      <c r="F728" s="469">
        <v>8.6</v>
      </c>
      <c r="G728" s="469">
        <v>8.8000000000000007</v>
      </c>
      <c r="H728" s="470">
        <v>195</v>
      </c>
      <c r="I728" s="470">
        <v>901</v>
      </c>
      <c r="J728" s="470">
        <v>2283.5</v>
      </c>
      <c r="K728" s="469">
        <v>1.29</v>
      </c>
    </row>
    <row r="729" spans="2:11" x14ac:dyDescent="0.35">
      <c r="B729" s="62">
        <v>17.5</v>
      </c>
      <c r="C729" s="471">
        <v>745</v>
      </c>
      <c r="D729" s="471">
        <v>745</v>
      </c>
      <c r="E729" s="469">
        <v>78</v>
      </c>
      <c r="F729" s="469">
        <v>8.5</v>
      </c>
      <c r="G729" s="469">
        <v>9.6</v>
      </c>
      <c r="H729" s="470">
        <v>195</v>
      </c>
      <c r="I729" s="470">
        <v>902</v>
      </c>
      <c r="J729" s="470">
        <v>2279.8000000000002</v>
      </c>
      <c r="K729" s="469">
        <v>1.29</v>
      </c>
    </row>
    <row r="730" spans="2:11" x14ac:dyDescent="0.35">
      <c r="B730" s="62">
        <v>17.5</v>
      </c>
      <c r="C730" s="471">
        <v>746</v>
      </c>
      <c r="D730" s="471">
        <v>746</v>
      </c>
      <c r="E730" s="469">
        <v>77.86</v>
      </c>
      <c r="F730" s="469">
        <v>7.3</v>
      </c>
      <c r="G730" s="469">
        <v>6.3</v>
      </c>
      <c r="H730" s="470">
        <v>195</v>
      </c>
      <c r="I730" s="470">
        <v>903</v>
      </c>
      <c r="J730" s="470">
        <v>2205.1999999999998</v>
      </c>
      <c r="K730" s="469">
        <v>1.29</v>
      </c>
    </row>
    <row r="731" spans="2:11" x14ac:dyDescent="0.35">
      <c r="B731" s="62">
        <v>17.5</v>
      </c>
      <c r="C731" s="471">
        <v>747</v>
      </c>
      <c r="D731" s="471">
        <v>747</v>
      </c>
      <c r="E731" s="469">
        <v>84.29</v>
      </c>
      <c r="F731" s="469">
        <v>7</v>
      </c>
      <c r="G731" s="469">
        <v>7.3</v>
      </c>
      <c r="H731" s="470">
        <v>195</v>
      </c>
      <c r="I731" s="470">
        <v>903</v>
      </c>
      <c r="J731" s="470">
        <v>2210.5</v>
      </c>
      <c r="K731" s="469">
        <v>1.29</v>
      </c>
    </row>
    <row r="732" spans="2:11" x14ac:dyDescent="0.35">
      <c r="B732" s="62">
        <v>17.5</v>
      </c>
      <c r="C732" s="471">
        <v>748</v>
      </c>
      <c r="D732" s="471">
        <v>748</v>
      </c>
      <c r="E732" s="469">
        <v>75.53</v>
      </c>
      <c r="F732" s="469">
        <v>6.8</v>
      </c>
      <c r="G732" s="469">
        <v>7.5</v>
      </c>
      <c r="H732" s="470">
        <v>195</v>
      </c>
      <c r="I732" s="470">
        <v>904</v>
      </c>
      <c r="J732" s="470">
        <v>2181.9</v>
      </c>
      <c r="K732" s="469">
        <v>1.29</v>
      </c>
    </row>
    <row r="733" spans="2:11" x14ac:dyDescent="0.35">
      <c r="B733" s="62">
        <v>17.5</v>
      </c>
      <c r="C733" s="471">
        <v>749</v>
      </c>
      <c r="D733" s="471">
        <v>749</v>
      </c>
      <c r="E733" s="469">
        <v>76.31</v>
      </c>
      <c r="F733" s="469">
        <v>5.9</v>
      </c>
      <c r="G733" s="469">
        <v>6</v>
      </c>
      <c r="H733" s="470">
        <v>195</v>
      </c>
      <c r="I733" s="470">
        <v>906</v>
      </c>
      <c r="J733" s="470">
        <v>2122.6999999999998</v>
      </c>
      <c r="K733" s="469">
        <v>1.29</v>
      </c>
    </row>
    <row r="734" spans="2:11" x14ac:dyDescent="0.35">
      <c r="B734" s="62">
        <v>17.5</v>
      </c>
      <c r="C734" s="471">
        <v>750</v>
      </c>
      <c r="D734" s="471">
        <v>750</v>
      </c>
      <c r="E734" s="469">
        <v>89.02</v>
      </c>
      <c r="F734" s="469">
        <v>5.8</v>
      </c>
      <c r="G734" s="469">
        <v>6.7</v>
      </c>
      <c r="H734" s="470">
        <v>196</v>
      </c>
      <c r="I734" s="470">
        <v>908</v>
      </c>
      <c r="J734" s="470">
        <v>2119.4</v>
      </c>
      <c r="K734" s="469">
        <v>1.29</v>
      </c>
    </row>
    <row r="735" spans="2:11" x14ac:dyDescent="0.35">
      <c r="B735" s="62">
        <v>17.5</v>
      </c>
      <c r="C735" s="471">
        <v>751</v>
      </c>
      <c r="D735" s="471">
        <v>751</v>
      </c>
      <c r="E735" s="469">
        <v>80.22</v>
      </c>
      <c r="F735" s="469">
        <v>5.9</v>
      </c>
      <c r="G735" s="469">
        <v>5.3</v>
      </c>
      <c r="H735" s="470">
        <v>195</v>
      </c>
      <c r="I735" s="470">
        <v>907</v>
      </c>
      <c r="J735" s="470">
        <v>2119.5</v>
      </c>
      <c r="K735" s="469">
        <v>1.29</v>
      </c>
    </row>
    <row r="736" spans="2:11" x14ac:dyDescent="0.35">
      <c r="B736" s="62">
        <v>17.5</v>
      </c>
      <c r="C736" s="471">
        <v>752</v>
      </c>
      <c r="D736" s="471">
        <v>752</v>
      </c>
      <c r="E736" s="469">
        <v>66.23</v>
      </c>
      <c r="F736" s="469">
        <v>5.4</v>
      </c>
      <c r="G736" s="469">
        <v>3.6</v>
      </c>
      <c r="H736" s="470">
        <v>195</v>
      </c>
      <c r="I736" s="470">
        <v>902</v>
      </c>
      <c r="J736" s="470">
        <v>2044.6</v>
      </c>
      <c r="K736" s="469">
        <v>1.29</v>
      </c>
    </row>
    <row r="737" spans="2:11" x14ac:dyDescent="0.35">
      <c r="B737" s="62">
        <v>17.5</v>
      </c>
      <c r="C737" s="471">
        <v>753</v>
      </c>
      <c r="D737" s="471">
        <v>753</v>
      </c>
      <c r="E737" s="469">
        <v>66.180000000000007</v>
      </c>
      <c r="F737" s="469">
        <v>6.2</v>
      </c>
      <c r="G737" s="469">
        <v>6.9</v>
      </c>
      <c r="H737" s="470">
        <v>184</v>
      </c>
      <c r="I737" s="470">
        <v>797</v>
      </c>
      <c r="J737" s="470">
        <v>1743.6</v>
      </c>
      <c r="K737" s="469">
        <v>1.29</v>
      </c>
    </row>
    <row r="738" spans="2:11" x14ac:dyDescent="0.35">
      <c r="B738" s="62">
        <v>17.5</v>
      </c>
      <c r="C738" s="471">
        <v>754</v>
      </c>
      <c r="D738" s="471">
        <v>754</v>
      </c>
      <c r="E738" s="469">
        <v>63.59</v>
      </c>
      <c r="F738" s="469">
        <v>5.3</v>
      </c>
      <c r="G738" s="469">
        <v>5.9</v>
      </c>
      <c r="H738" s="470">
        <v>186</v>
      </c>
      <c r="I738" s="470">
        <v>820</v>
      </c>
      <c r="J738" s="470">
        <v>1790.4</v>
      </c>
      <c r="K738" s="469">
        <v>1.29</v>
      </c>
    </row>
    <row r="739" spans="2:11" x14ac:dyDescent="0.35">
      <c r="B739" s="62">
        <v>17.5</v>
      </c>
      <c r="C739" s="471">
        <v>755</v>
      </c>
      <c r="D739" s="471">
        <v>755</v>
      </c>
      <c r="E739" s="469">
        <v>70.650000000000006</v>
      </c>
      <c r="F739" s="469">
        <v>4.8</v>
      </c>
      <c r="G739" s="469">
        <v>5.7</v>
      </c>
      <c r="H739" s="470">
        <v>186</v>
      </c>
      <c r="I739" s="470">
        <v>824</v>
      </c>
      <c r="J739" s="470">
        <v>1738.5</v>
      </c>
      <c r="K739" s="469">
        <v>1.29</v>
      </c>
    </row>
    <row r="740" spans="2:11" x14ac:dyDescent="0.35">
      <c r="B740" s="62">
        <v>17.5</v>
      </c>
      <c r="C740" s="471">
        <v>756</v>
      </c>
      <c r="D740" s="471">
        <v>756</v>
      </c>
      <c r="E740" s="469">
        <v>20.56</v>
      </c>
      <c r="F740" s="469">
        <v>4.0999999999999996</v>
      </c>
      <c r="G740" s="469">
        <v>6.2</v>
      </c>
      <c r="H740" s="470">
        <v>175</v>
      </c>
      <c r="I740" s="470">
        <v>832</v>
      </c>
      <c r="J740" s="470">
        <v>1881.5</v>
      </c>
      <c r="K740" s="469">
        <v>1.29</v>
      </c>
    </row>
    <row r="741" spans="2:11" x14ac:dyDescent="0.35">
      <c r="B741" s="62">
        <v>17.5</v>
      </c>
      <c r="C741" s="471">
        <v>757</v>
      </c>
      <c r="D741" s="471">
        <v>757</v>
      </c>
      <c r="E741" s="469">
        <v>40.18</v>
      </c>
      <c r="F741" s="469">
        <v>6.4</v>
      </c>
      <c r="G741" s="469">
        <v>7.8</v>
      </c>
      <c r="H741" s="470">
        <v>186</v>
      </c>
      <c r="I741" s="470">
        <v>824</v>
      </c>
      <c r="J741" s="470">
        <v>1953.7</v>
      </c>
      <c r="K741" s="469">
        <v>1.3</v>
      </c>
    </row>
    <row r="742" spans="2:11" x14ac:dyDescent="0.35">
      <c r="B742" s="62">
        <v>17.5</v>
      </c>
      <c r="C742" s="471">
        <v>758</v>
      </c>
      <c r="D742" s="471">
        <v>758</v>
      </c>
      <c r="E742" s="469">
        <v>54.99</v>
      </c>
      <c r="F742" s="469">
        <v>6.5</v>
      </c>
      <c r="G742" s="469">
        <v>7.2</v>
      </c>
      <c r="H742" s="470">
        <v>186</v>
      </c>
      <c r="I742" s="470">
        <v>827</v>
      </c>
      <c r="J742" s="470">
        <v>1946.1</v>
      </c>
      <c r="K742" s="469">
        <v>1.3</v>
      </c>
    </row>
    <row r="743" spans="2:11" x14ac:dyDescent="0.35">
      <c r="B743" s="62">
        <v>17.5</v>
      </c>
      <c r="C743" s="471">
        <v>759</v>
      </c>
      <c r="D743" s="471">
        <v>759</v>
      </c>
      <c r="E743" s="469">
        <v>67.290000000000006</v>
      </c>
      <c r="F743" s="469">
        <v>6.4</v>
      </c>
      <c r="G743" s="469">
        <v>7.6</v>
      </c>
      <c r="H743" s="470">
        <v>186</v>
      </c>
      <c r="I743" s="470">
        <v>829</v>
      </c>
      <c r="J743" s="470">
        <v>1930.9</v>
      </c>
      <c r="K743" s="469">
        <v>1.3</v>
      </c>
    </row>
    <row r="744" spans="2:11" x14ac:dyDescent="0.35">
      <c r="B744" s="62">
        <v>17.5</v>
      </c>
      <c r="C744" s="471">
        <v>760</v>
      </c>
      <c r="D744" s="471">
        <v>760</v>
      </c>
      <c r="E744" s="469">
        <v>81.28</v>
      </c>
      <c r="F744" s="469">
        <v>6.5</v>
      </c>
      <c r="G744" s="469">
        <v>7.7</v>
      </c>
      <c r="H744" s="470">
        <v>186</v>
      </c>
      <c r="I744" s="470">
        <v>825</v>
      </c>
      <c r="J744" s="470">
        <v>1979</v>
      </c>
      <c r="K744" s="469">
        <v>1.3</v>
      </c>
    </row>
    <row r="745" spans="2:11" x14ac:dyDescent="0.35">
      <c r="B745" s="62">
        <v>17.5</v>
      </c>
      <c r="C745" s="471">
        <v>761</v>
      </c>
      <c r="D745" s="471">
        <v>761</v>
      </c>
      <c r="E745" s="469">
        <v>59.69</v>
      </c>
      <c r="F745" s="469">
        <v>7.7</v>
      </c>
      <c r="G745" s="469">
        <v>7.4</v>
      </c>
      <c r="H745" s="470">
        <v>186</v>
      </c>
      <c r="I745" s="470">
        <v>828</v>
      </c>
      <c r="J745" s="470">
        <v>1929.1</v>
      </c>
      <c r="K745" s="469">
        <v>1.3</v>
      </c>
    </row>
    <row r="746" spans="2:11" x14ac:dyDescent="0.35">
      <c r="B746" s="62">
        <v>17.5</v>
      </c>
      <c r="C746" s="471">
        <v>762</v>
      </c>
      <c r="D746" s="471">
        <v>762</v>
      </c>
      <c r="E746" s="469">
        <v>56</v>
      </c>
      <c r="F746" s="469">
        <v>7.2</v>
      </c>
      <c r="G746" s="469">
        <v>7</v>
      </c>
      <c r="H746" s="470">
        <v>186</v>
      </c>
      <c r="I746" s="470">
        <v>828</v>
      </c>
      <c r="J746" s="470">
        <v>1931.6</v>
      </c>
      <c r="K746" s="469">
        <v>1.3</v>
      </c>
    </row>
    <row r="747" spans="2:11" x14ac:dyDescent="0.35">
      <c r="B747" s="62">
        <v>17.5</v>
      </c>
      <c r="C747" s="471">
        <v>763</v>
      </c>
      <c r="D747" s="471">
        <v>763</v>
      </c>
      <c r="E747" s="469">
        <v>60.41</v>
      </c>
      <c r="F747" s="469">
        <v>6.1</v>
      </c>
      <c r="G747" s="469">
        <v>7.9</v>
      </c>
      <c r="H747" s="470">
        <v>186</v>
      </c>
      <c r="I747" s="470">
        <v>829</v>
      </c>
      <c r="J747" s="470">
        <v>1881.8</v>
      </c>
      <c r="K747" s="469">
        <v>1.3</v>
      </c>
    </row>
    <row r="748" spans="2:11" x14ac:dyDescent="0.35">
      <c r="B748" s="62">
        <v>17.5</v>
      </c>
      <c r="C748" s="471">
        <v>764</v>
      </c>
      <c r="D748" s="471">
        <v>764</v>
      </c>
      <c r="E748" s="469">
        <v>57.23</v>
      </c>
      <c r="F748" s="469">
        <v>5.8</v>
      </c>
      <c r="G748" s="469">
        <v>6.2</v>
      </c>
      <c r="H748" s="470">
        <v>187</v>
      </c>
      <c r="I748" s="470">
        <v>834</v>
      </c>
      <c r="J748" s="470">
        <v>1856.7</v>
      </c>
      <c r="K748" s="469">
        <v>1.3</v>
      </c>
    </row>
    <row r="749" spans="2:11" x14ac:dyDescent="0.35">
      <c r="B749" s="62">
        <v>17.5</v>
      </c>
      <c r="C749" s="471">
        <v>765</v>
      </c>
      <c r="D749" s="471">
        <v>765</v>
      </c>
      <c r="E749" s="469">
        <v>58.55</v>
      </c>
      <c r="F749" s="469">
        <v>5.6</v>
      </c>
      <c r="G749" s="469">
        <v>6.4</v>
      </c>
      <c r="H749" s="470">
        <v>187</v>
      </c>
      <c r="I749" s="470">
        <v>830</v>
      </c>
      <c r="J749" s="470">
        <v>1843.4</v>
      </c>
      <c r="K749" s="469">
        <v>1.3</v>
      </c>
    </row>
    <row r="750" spans="2:11" x14ac:dyDescent="0.35">
      <c r="B750" s="62">
        <v>17.5</v>
      </c>
      <c r="C750" s="471">
        <v>766</v>
      </c>
      <c r="D750" s="471">
        <v>766</v>
      </c>
      <c r="E750" s="469">
        <v>49.65</v>
      </c>
      <c r="F750" s="469">
        <v>5.7</v>
      </c>
      <c r="G750" s="469">
        <v>6.2</v>
      </c>
      <c r="H750" s="470">
        <v>186</v>
      </c>
      <c r="I750" s="470">
        <v>829</v>
      </c>
      <c r="J750" s="470">
        <v>1844.8</v>
      </c>
      <c r="K750" s="469">
        <v>1.3</v>
      </c>
    </row>
    <row r="751" spans="2:11" x14ac:dyDescent="0.35">
      <c r="B751" s="62">
        <v>17.5</v>
      </c>
      <c r="C751" s="471">
        <v>767</v>
      </c>
      <c r="D751" s="471">
        <v>767</v>
      </c>
      <c r="E751" s="469">
        <v>65.900000000000006</v>
      </c>
      <c r="F751" s="469">
        <v>4.9000000000000004</v>
      </c>
      <c r="G751" s="469">
        <v>6.5</v>
      </c>
      <c r="H751" s="470">
        <v>187</v>
      </c>
      <c r="I751" s="470">
        <v>831</v>
      </c>
      <c r="J751" s="470">
        <v>1836.7</v>
      </c>
      <c r="K751" s="469">
        <v>1.3</v>
      </c>
    </row>
    <row r="752" spans="2:11" x14ac:dyDescent="0.35">
      <c r="B752" s="62">
        <v>17.5</v>
      </c>
      <c r="C752" s="471">
        <v>768</v>
      </c>
      <c r="D752" s="471">
        <v>768</v>
      </c>
      <c r="E752" s="469">
        <v>66.59</v>
      </c>
      <c r="F752" s="469">
        <v>4.7</v>
      </c>
      <c r="G752" s="469">
        <v>6.3</v>
      </c>
      <c r="H752" s="470">
        <v>187</v>
      </c>
      <c r="I752" s="470">
        <v>833</v>
      </c>
      <c r="J752" s="470">
        <v>1853.7</v>
      </c>
      <c r="K752" s="469">
        <v>1.3</v>
      </c>
    </row>
    <row r="753" spans="2:11" x14ac:dyDescent="0.35">
      <c r="B753" s="62">
        <v>17.5</v>
      </c>
      <c r="C753" s="471">
        <v>769</v>
      </c>
      <c r="D753" s="471">
        <v>769</v>
      </c>
      <c r="E753" s="469">
        <v>48.98</v>
      </c>
      <c r="F753" s="469">
        <v>5.5</v>
      </c>
      <c r="G753" s="469">
        <v>5.8</v>
      </c>
      <c r="H753" s="470">
        <v>187</v>
      </c>
      <c r="I753" s="470">
        <v>828</v>
      </c>
      <c r="J753" s="470">
        <v>1876.6</v>
      </c>
      <c r="K753" s="469">
        <v>1.3</v>
      </c>
    </row>
    <row r="754" spans="2:11" x14ac:dyDescent="0.35">
      <c r="B754" s="62">
        <v>17.5</v>
      </c>
      <c r="C754" s="471">
        <v>770</v>
      </c>
      <c r="D754" s="471">
        <v>770</v>
      </c>
      <c r="E754" s="469">
        <v>63.59</v>
      </c>
      <c r="F754" s="469">
        <v>6.7</v>
      </c>
      <c r="G754" s="469">
        <v>6.4</v>
      </c>
      <c r="H754" s="470">
        <v>187</v>
      </c>
      <c r="I754" s="470">
        <v>831</v>
      </c>
      <c r="J754" s="470">
        <v>1934</v>
      </c>
      <c r="K754" s="469">
        <v>1.3</v>
      </c>
    </row>
    <row r="755" spans="2:11" x14ac:dyDescent="0.35">
      <c r="B755" s="62">
        <v>17.5</v>
      </c>
      <c r="C755" s="471">
        <v>771</v>
      </c>
      <c r="D755" s="471">
        <v>771</v>
      </c>
      <c r="E755" s="469">
        <v>63.83</v>
      </c>
      <c r="F755" s="469">
        <v>6</v>
      </c>
      <c r="G755" s="469">
        <v>6.7</v>
      </c>
      <c r="H755" s="470">
        <v>186</v>
      </c>
      <c r="I755" s="470">
        <v>828</v>
      </c>
      <c r="J755" s="470">
        <v>1897.8</v>
      </c>
      <c r="K755" s="469">
        <v>1.3</v>
      </c>
    </row>
    <row r="756" spans="2:11" x14ac:dyDescent="0.35">
      <c r="B756" s="62">
        <v>17.5</v>
      </c>
      <c r="C756" s="471">
        <v>772</v>
      </c>
      <c r="D756" s="471">
        <v>772</v>
      </c>
      <c r="E756" s="469">
        <v>62.25</v>
      </c>
      <c r="F756" s="469">
        <v>5.7</v>
      </c>
      <c r="G756" s="469">
        <v>6.7</v>
      </c>
      <c r="H756" s="470">
        <v>186</v>
      </c>
      <c r="I756" s="470">
        <v>826</v>
      </c>
      <c r="J756" s="470">
        <v>1904.7</v>
      </c>
      <c r="K756" s="469">
        <v>1.3</v>
      </c>
    </row>
    <row r="757" spans="2:11" x14ac:dyDescent="0.35">
      <c r="B757" s="62">
        <v>17.5</v>
      </c>
      <c r="C757" s="471">
        <v>773</v>
      </c>
      <c r="D757" s="471">
        <v>773</v>
      </c>
      <c r="E757" s="469">
        <v>59.86</v>
      </c>
      <c r="F757" s="469">
        <v>7.4</v>
      </c>
      <c r="G757" s="469">
        <v>8.3000000000000007</v>
      </c>
      <c r="H757" s="470">
        <v>186</v>
      </c>
      <c r="I757" s="470">
        <v>825</v>
      </c>
      <c r="J757" s="470">
        <v>2034.3</v>
      </c>
      <c r="K757" s="469">
        <v>1.3</v>
      </c>
    </row>
    <row r="758" spans="2:11" x14ac:dyDescent="0.35">
      <c r="B758" s="62">
        <v>17.5</v>
      </c>
      <c r="C758" s="471">
        <v>774</v>
      </c>
      <c r="D758" s="471">
        <v>774</v>
      </c>
      <c r="E758" s="469">
        <v>63.17</v>
      </c>
      <c r="F758" s="469">
        <v>6.2</v>
      </c>
      <c r="G758" s="469">
        <v>7.1</v>
      </c>
      <c r="H758" s="470">
        <v>186</v>
      </c>
      <c r="I758" s="470">
        <v>825</v>
      </c>
      <c r="J758" s="470">
        <v>1928.1</v>
      </c>
      <c r="K758" s="469">
        <v>1.3</v>
      </c>
    </row>
    <row r="759" spans="2:11" x14ac:dyDescent="0.35">
      <c r="B759" s="62">
        <v>17.5</v>
      </c>
      <c r="C759" s="471">
        <v>775</v>
      </c>
      <c r="D759" s="471">
        <v>775</v>
      </c>
      <c r="E759" s="469">
        <v>72.489999999999995</v>
      </c>
      <c r="F759" s="469">
        <v>8</v>
      </c>
      <c r="G759" s="469">
        <v>9.6</v>
      </c>
      <c r="H759" s="470">
        <v>183</v>
      </c>
      <c r="I759" s="470">
        <v>817</v>
      </c>
      <c r="J759" s="470">
        <v>2121.3000000000002</v>
      </c>
      <c r="K759" s="469">
        <v>1.3</v>
      </c>
    </row>
    <row r="760" spans="2:11" x14ac:dyDescent="0.35">
      <c r="B760" s="62">
        <v>17.5</v>
      </c>
      <c r="C760" s="471">
        <v>776</v>
      </c>
      <c r="D760" s="471">
        <v>776</v>
      </c>
      <c r="E760" s="469">
        <v>59.49</v>
      </c>
      <c r="F760" s="469">
        <v>6.3</v>
      </c>
      <c r="G760" s="469">
        <v>6.9</v>
      </c>
      <c r="H760" s="470">
        <v>187</v>
      </c>
      <c r="I760" s="470">
        <v>827</v>
      </c>
      <c r="J760" s="470">
        <v>1942.7</v>
      </c>
      <c r="K760" s="469">
        <v>1.3</v>
      </c>
    </row>
    <row r="761" spans="2:11" x14ac:dyDescent="0.35">
      <c r="B761" s="62">
        <v>17.5</v>
      </c>
      <c r="C761" s="471">
        <v>777</v>
      </c>
      <c r="D761" s="471">
        <v>777</v>
      </c>
      <c r="E761" s="469">
        <v>60.67</v>
      </c>
      <c r="F761" s="469">
        <v>6.3</v>
      </c>
      <c r="G761" s="469">
        <v>7.2</v>
      </c>
      <c r="H761" s="470">
        <v>186</v>
      </c>
      <c r="I761" s="470">
        <v>830</v>
      </c>
      <c r="J761" s="470">
        <v>1933.1</v>
      </c>
      <c r="K761" s="469">
        <v>1.3</v>
      </c>
    </row>
    <row r="762" spans="2:11" x14ac:dyDescent="0.35">
      <c r="B762" s="62">
        <v>17.5</v>
      </c>
      <c r="C762" s="471">
        <v>778</v>
      </c>
      <c r="D762" s="471">
        <v>778</v>
      </c>
      <c r="E762" s="469">
        <v>76.31</v>
      </c>
      <c r="F762" s="469">
        <v>7.1</v>
      </c>
      <c r="G762" s="469">
        <v>6.7</v>
      </c>
      <c r="H762" s="470">
        <v>186</v>
      </c>
      <c r="I762" s="470">
        <v>825</v>
      </c>
      <c r="J762" s="470">
        <v>1976.4</v>
      </c>
      <c r="K762" s="469">
        <v>1.3</v>
      </c>
    </row>
    <row r="763" spans="2:11" x14ac:dyDescent="0.35">
      <c r="B763" s="62">
        <v>17.5</v>
      </c>
      <c r="C763" s="471">
        <v>779</v>
      </c>
      <c r="D763" s="471">
        <v>779</v>
      </c>
      <c r="E763" s="469">
        <v>67.150000000000006</v>
      </c>
      <c r="F763" s="469">
        <v>7.7</v>
      </c>
      <c r="G763" s="469">
        <v>8.6</v>
      </c>
      <c r="H763" s="470">
        <v>186</v>
      </c>
      <c r="I763" s="470">
        <v>822</v>
      </c>
      <c r="J763" s="470">
        <v>2041.3</v>
      </c>
      <c r="K763" s="469">
        <v>1.3</v>
      </c>
    </row>
    <row r="764" spans="2:11" x14ac:dyDescent="0.35">
      <c r="B764" s="62">
        <v>17.5</v>
      </c>
      <c r="C764" s="471">
        <v>780</v>
      </c>
      <c r="D764" s="471">
        <v>780</v>
      </c>
      <c r="E764" s="469">
        <v>65.08</v>
      </c>
      <c r="F764" s="469">
        <v>7.1</v>
      </c>
      <c r="G764" s="469">
        <v>6.7</v>
      </c>
      <c r="H764" s="470">
        <v>186</v>
      </c>
      <c r="I764" s="470">
        <v>824</v>
      </c>
      <c r="J764" s="470">
        <v>1989.8</v>
      </c>
      <c r="K764" s="469">
        <v>1.3</v>
      </c>
    </row>
    <row r="765" spans="2:11" x14ac:dyDescent="0.35">
      <c r="B765" s="62">
        <v>17.5</v>
      </c>
      <c r="C765" s="471">
        <v>781</v>
      </c>
      <c r="D765" s="471">
        <v>781</v>
      </c>
      <c r="E765" s="469">
        <v>72.41</v>
      </c>
      <c r="F765" s="469">
        <v>5.7</v>
      </c>
      <c r="G765" s="469">
        <v>5.9</v>
      </c>
      <c r="H765" s="470">
        <v>187</v>
      </c>
      <c r="I765" s="470">
        <v>830</v>
      </c>
      <c r="J765" s="470">
        <v>1909.5</v>
      </c>
      <c r="K765" s="469">
        <v>1.3</v>
      </c>
    </row>
    <row r="766" spans="2:11" x14ac:dyDescent="0.35">
      <c r="B766" s="62">
        <v>17.5</v>
      </c>
      <c r="C766" s="471">
        <v>782</v>
      </c>
      <c r="D766" s="471">
        <v>782</v>
      </c>
      <c r="E766" s="469">
        <v>74.02</v>
      </c>
      <c r="F766" s="469">
        <v>6.3</v>
      </c>
      <c r="G766" s="469">
        <v>7</v>
      </c>
      <c r="H766" s="470">
        <v>186</v>
      </c>
      <c r="I766" s="470">
        <v>825</v>
      </c>
      <c r="J766" s="470">
        <v>1989.7</v>
      </c>
      <c r="K766" s="469">
        <v>1.3</v>
      </c>
    </row>
    <row r="767" spans="2:11" x14ac:dyDescent="0.35">
      <c r="B767" s="62">
        <v>17.5</v>
      </c>
      <c r="C767" s="471">
        <v>783</v>
      </c>
      <c r="D767" s="471">
        <v>783</v>
      </c>
      <c r="E767" s="469">
        <v>57.23</v>
      </c>
      <c r="F767" s="469">
        <v>5.3</v>
      </c>
      <c r="G767" s="469">
        <v>6</v>
      </c>
      <c r="H767" s="470">
        <v>187</v>
      </c>
      <c r="I767" s="470">
        <v>830</v>
      </c>
      <c r="J767" s="470">
        <v>1874.2</v>
      </c>
      <c r="K767" s="469">
        <v>1.3</v>
      </c>
    </row>
    <row r="768" spans="2:11" x14ac:dyDescent="0.35">
      <c r="B768" s="62">
        <v>17.5</v>
      </c>
      <c r="C768" s="471">
        <v>784</v>
      </c>
      <c r="D768" s="471">
        <v>784</v>
      </c>
      <c r="E768" s="469">
        <v>30.96</v>
      </c>
      <c r="F768" s="469">
        <v>6.8</v>
      </c>
      <c r="G768" s="469">
        <v>7.4</v>
      </c>
      <c r="H768" s="470">
        <v>186</v>
      </c>
      <c r="I768" s="470">
        <v>827</v>
      </c>
      <c r="J768" s="470">
        <v>1970.8</v>
      </c>
      <c r="K768" s="469">
        <v>1.3</v>
      </c>
    </row>
    <row r="769" spans="2:11" x14ac:dyDescent="0.35">
      <c r="B769" s="62">
        <v>17.5</v>
      </c>
      <c r="C769" s="471">
        <v>785</v>
      </c>
      <c r="D769" s="471">
        <v>785</v>
      </c>
      <c r="E769" s="469">
        <v>40.479999999999997</v>
      </c>
      <c r="F769" s="469">
        <v>4.4000000000000004</v>
      </c>
      <c r="G769" s="469">
        <v>6.7</v>
      </c>
      <c r="H769" s="470">
        <v>188</v>
      </c>
      <c r="I769" s="470">
        <v>819</v>
      </c>
      <c r="J769" s="470">
        <v>1893.3</v>
      </c>
      <c r="K769" s="469">
        <v>1.3</v>
      </c>
    </row>
    <row r="770" spans="2:11" x14ac:dyDescent="0.35">
      <c r="B770" s="62">
        <v>17.5</v>
      </c>
      <c r="C770" s="471">
        <v>786</v>
      </c>
      <c r="D770" s="471">
        <v>786</v>
      </c>
      <c r="E770" s="469">
        <v>47.04</v>
      </c>
      <c r="F770" s="469">
        <v>6.3</v>
      </c>
      <c r="G770" s="469">
        <v>7.8</v>
      </c>
      <c r="H770" s="470">
        <v>189</v>
      </c>
      <c r="I770" s="470">
        <v>830</v>
      </c>
      <c r="J770" s="470">
        <v>2022</v>
      </c>
      <c r="K770" s="469">
        <v>1.3</v>
      </c>
    </row>
    <row r="771" spans="2:11" x14ac:dyDescent="0.35">
      <c r="B771" s="62">
        <v>17.5</v>
      </c>
      <c r="C771" s="471">
        <v>787</v>
      </c>
      <c r="D771" s="471">
        <v>787</v>
      </c>
      <c r="E771" s="469">
        <v>60.67</v>
      </c>
      <c r="F771" s="469">
        <v>5.0999999999999996</v>
      </c>
      <c r="G771" s="469">
        <v>7</v>
      </c>
      <c r="H771" s="470">
        <v>188</v>
      </c>
      <c r="I771" s="470">
        <v>828</v>
      </c>
      <c r="J771" s="470">
        <v>1985.2</v>
      </c>
      <c r="K771" s="469">
        <v>1.3</v>
      </c>
    </row>
    <row r="772" spans="2:11" x14ac:dyDescent="0.35">
      <c r="B772" s="62">
        <v>17.5</v>
      </c>
      <c r="C772" s="471">
        <v>788</v>
      </c>
      <c r="D772" s="471">
        <v>788</v>
      </c>
      <c r="E772" s="469">
        <v>60.56</v>
      </c>
      <c r="F772" s="469">
        <v>4.5</v>
      </c>
      <c r="G772" s="469">
        <v>6.5</v>
      </c>
      <c r="H772" s="470">
        <v>188</v>
      </c>
      <c r="I772" s="470">
        <v>829</v>
      </c>
      <c r="J772" s="470">
        <v>1958.5</v>
      </c>
      <c r="K772" s="469">
        <v>1.3</v>
      </c>
    </row>
    <row r="773" spans="2:11" x14ac:dyDescent="0.35">
      <c r="B773" s="62">
        <v>17.5</v>
      </c>
      <c r="C773" s="471">
        <v>789</v>
      </c>
      <c r="D773" s="471">
        <v>789</v>
      </c>
      <c r="E773" s="469">
        <v>54.85</v>
      </c>
      <c r="F773" s="469">
        <v>4.3</v>
      </c>
      <c r="G773" s="469">
        <v>6</v>
      </c>
      <c r="H773" s="470">
        <v>189</v>
      </c>
      <c r="I773" s="470">
        <v>832</v>
      </c>
      <c r="J773" s="470">
        <v>1943.8</v>
      </c>
      <c r="K773" s="469">
        <v>1.3</v>
      </c>
    </row>
    <row r="774" spans="2:11" x14ac:dyDescent="0.35">
      <c r="B774" s="62">
        <v>17.5</v>
      </c>
      <c r="C774" s="471">
        <v>790</v>
      </c>
      <c r="D774" s="471">
        <v>790</v>
      </c>
      <c r="E774" s="469">
        <v>63.8</v>
      </c>
      <c r="F774" s="469">
        <v>4.4000000000000004</v>
      </c>
      <c r="G774" s="469">
        <v>6</v>
      </c>
      <c r="H774" s="470">
        <v>189</v>
      </c>
      <c r="I774" s="470">
        <v>829</v>
      </c>
      <c r="J774" s="470">
        <v>1938.3</v>
      </c>
      <c r="K774" s="469">
        <v>1.3</v>
      </c>
    </row>
    <row r="775" spans="2:11" x14ac:dyDescent="0.35">
      <c r="B775" s="62">
        <v>17.5</v>
      </c>
      <c r="C775" s="471">
        <v>791</v>
      </c>
      <c r="D775" s="471">
        <v>791</v>
      </c>
      <c r="E775" s="469">
        <v>59.42</v>
      </c>
      <c r="F775" s="469">
        <v>4.5999999999999996</v>
      </c>
      <c r="G775" s="469">
        <v>7.1</v>
      </c>
      <c r="H775" s="470">
        <v>189</v>
      </c>
      <c r="I775" s="470">
        <v>832</v>
      </c>
      <c r="J775" s="470">
        <v>1948</v>
      </c>
      <c r="K775" s="469">
        <v>1.3</v>
      </c>
    </row>
    <row r="776" spans="2:11" x14ac:dyDescent="0.35">
      <c r="B776" s="62">
        <v>17.5</v>
      </c>
      <c r="C776" s="471">
        <v>792</v>
      </c>
      <c r="D776" s="471">
        <v>792</v>
      </c>
      <c r="E776" s="469">
        <v>72.33</v>
      </c>
      <c r="F776" s="469">
        <v>4.9000000000000004</v>
      </c>
      <c r="G776" s="469">
        <v>6.9</v>
      </c>
      <c r="H776" s="470">
        <v>189</v>
      </c>
      <c r="I776" s="470">
        <v>831</v>
      </c>
      <c r="J776" s="470">
        <v>1964.1</v>
      </c>
      <c r="K776" s="469">
        <v>1.3</v>
      </c>
    </row>
    <row r="777" spans="2:11" x14ac:dyDescent="0.35">
      <c r="B777" s="62">
        <v>17.5</v>
      </c>
      <c r="C777" s="471">
        <v>793</v>
      </c>
      <c r="D777" s="471">
        <v>793</v>
      </c>
      <c r="E777" s="469">
        <v>58.42</v>
      </c>
      <c r="F777" s="469">
        <v>6.1</v>
      </c>
      <c r="G777" s="469">
        <v>7.6</v>
      </c>
      <c r="H777" s="470">
        <v>189</v>
      </c>
      <c r="I777" s="470">
        <v>828</v>
      </c>
      <c r="J777" s="470">
        <v>2025.2</v>
      </c>
      <c r="K777" s="469">
        <v>1.3</v>
      </c>
    </row>
    <row r="778" spans="2:11" x14ac:dyDescent="0.35">
      <c r="B778" s="62">
        <v>17.5</v>
      </c>
      <c r="C778" s="471">
        <v>794</v>
      </c>
      <c r="D778" s="471">
        <v>794</v>
      </c>
      <c r="E778" s="469">
        <v>55.24</v>
      </c>
      <c r="F778" s="469">
        <v>5.5</v>
      </c>
      <c r="G778" s="469">
        <v>7.2</v>
      </c>
      <c r="H778" s="470">
        <v>189</v>
      </c>
      <c r="I778" s="470">
        <v>831</v>
      </c>
      <c r="J778" s="470">
        <v>2002.4</v>
      </c>
      <c r="K778" s="469">
        <v>1.3</v>
      </c>
    </row>
    <row r="779" spans="2:11" x14ac:dyDescent="0.35">
      <c r="B779" s="62">
        <v>17.5</v>
      </c>
      <c r="C779" s="471">
        <v>795</v>
      </c>
      <c r="D779" s="471">
        <v>795</v>
      </c>
      <c r="E779" s="469">
        <v>40.75</v>
      </c>
      <c r="F779" s="469">
        <v>4.8</v>
      </c>
      <c r="G779" s="469">
        <v>6.4</v>
      </c>
      <c r="H779" s="470">
        <v>189</v>
      </c>
      <c r="I779" s="470">
        <v>830</v>
      </c>
      <c r="J779" s="470">
        <v>1928.7</v>
      </c>
      <c r="K779" s="469">
        <v>1.3</v>
      </c>
    </row>
    <row r="780" spans="2:11" x14ac:dyDescent="0.35">
      <c r="B780" s="62">
        <v>17.5</v>
      </c>
      <c r="C780" s="471">
        <v>796</v>
      </c>
      <c r="D780" s="471">
        <v>796</v>
      </c>
      <c r="E780" s="469">
        <v>15.99</v>
      </c>
      <c r="F780" s="469">
        <v>1.8</v>
      </c>
      <c r="G780" s="469">
        <v>4.0999999999999996</v>
      </c>
      <c r="H780" s="470">
        <v>184</v>
      </c>
      <c r="I780" s="470">
        <v>787</v>
      </c>
      <c r="J780" s="470">
        <v>1523.5</v>
      </c>
      <c r="K780" s="469">
        <v>1.3</v>
      </c>
    </row>
    <row r="781" spans="2:11" x14ac:dyDescent="0.35">
      <c r="B781" s="62">
        <v>17.5</v>
      </c>
      <c r="C781" s="471">
        <v>797</v>
      </c>
      <c r="D781" s="471">
        <v>797</v>
      </c>
      <c r="E781" s="469">
        <v>12.72</v>
      </c>
      <c r="F781" s="469">
        <v>2.1</v>
      </c>
      <c r="G781" s="469">
        <v>3.8</v>
      </c>
      <c r="H781" s="470">
        <v>184</v>
      </c>
      <c r="I781" s="470">
        <v>786</v>
      </c>
      <c r="J781" s="470">
        <v>1547.3</v>
      </c>
      <c r="K781" s="469">
        <v>1.3</v>
      </c>
    </row>
    <row r="782" spans="2:11" x14ac:dyDescent="0.35">
      <c r="B782" s="62">
        <v>17.5</v>
      </c>
      <c r="C782" s="471">
        <v>798</v>
      </c>
      <c r="D782" s="471">
        <v>798</v>
      </c>
      <c r="E782" s="469">
        <v>13.19</v>
      </c>
      <c r="F782" s="469">
        <v>1.8</v>
      </c>
      <c r="G782" s="469">
        <v>3.4</v>
      </c>
      <c r="H782" s="470">
        <v>184</v>
      </c>
      <c r="I782" s="470">
        <v>785</v>
      </c>
      <c r="J782" s="470">
        <v>1495.9</v>
      </c>
      <c r="K782" s="469">
        <v>1.3</v>
      </c>
    </row>
    <row r="783" spans="2:11" x14ac:dyDescent="0.35">
      <c r="B783" s="62">
        <v>17.5</v>
      </c>
      <c r="C783" s="471">
        <v>799</v>
      </c>
      <c r="D783" s="471">
        <v>799</v>
      </c>
      <c r="E783" s="469">
        <v>10.199999999999999</v>
      </c>
      <c r="F783" s="469">
        <v>1.9</v>
      </c>
      <c r="G783" s="469">
        <v>3.3</v>
      </c>
      <c r="H783" s="470">
        <v>178</v>
      </c>
      <c r="I783" s="470">
        <v>730</v>
      </c>
      <c r="J783" s="470">
        <v>1238.3</v>
      </c>
      <c r="K783" s="469">
        <v>1.3</v>
      </c>
    </row>
    <row r="784" spans="2:11" x14ac:dyDescent="0.35">
      <c r="B784" s="62">
        <v>17.5</v>
      </c>
      <c r="C784" s="471">
        <v>800</v>
      </c>
      <c r="D784" s="471">
        <v>800</v>
      </c>
      <c r="E784" s="469">
        <v>14.62</v>
      </c>
      <c r="F784" s="469">
        <v>2.7</v>
      </c>
      <c r="G784" s="469">
        <v>4.5999999999999996</v>
      </c>
      <c r="H784" s="470">
        <v>178</v>
      </c>
      <c r="I784" s="470">
        <v>732</v>
      </c>
      <c r="J784" s="470">
        <v>1339.8</v>
      </c>
      <c r="K784" s="469">
        <v>1.3</v>
      </c>
    </row>
    <row r="785" spans="2:11" x14ac:dyDescent="0.35">
      <c r="B785" s="62">
        <v>17.5</v>
      </c>
      <c r="C785" s="471">
        <v>801</v>
      </c>
      <c r="D785" s="471">
        <v>801</v>
      </c>
      <c r="E785" s="469">
        <v>48.43</v>
      </c>
      <c r="F785" s="469">
        <v>3.3</v>
      </c>
      <c r="G785" s="469">
        <v>4.9000000000000004</v>
      </c>
      <c r="H785" s="470">
        <v>178</v>
      </c>
      <c r="I785" s="470">
        <v>732</v>
      </c>
      <c r="J785" s="470">
        <v>1408.2</v>
      </c>
      <c r="K785" s="469">
        <v>1.3</v>
      </c>
    </row>
    <row r="786" spans="2:11" x14ac:dyDescent="0.35">
      <c r="B786" s="62">
        <v>17.5</v>
      </c>
      <c r="C786" s="471">
        <v>802</v>
      </c>
      <c r="D786" s="471">
        <v>802</v>
      </c>
      <c r="E786" s="469">
        <v>37.39</v>
      </c>
      <c r="F786" s="469">
        <v>3.3</v>
      </c>
      <c r="G786" s="469">
        <v>5.2</v>
      </c>
      <c r="H786" s="470">
        <v>178</v>
      </c>
      <c r="I786" s="470">
        <v>731</v>
      </c>
      <c r="J786" s="470">
        <v>1394.9</v>
      </c>
      <c r="K786" s="469">
        <v>1.3</v>
      </c>
    </row>
    <row r="787" spans="2:11" x14ac:dyDescent="0.35">
      <c r="B787" s="62">
        <v>17.5</v>
      </c>
      <c r="C787" s="471">
        <v>803</v>
      </c>
      <c r="D787" s="471">
        <v>803</v>
      </c>
      <c r="E787" s="469">
        <v>18.97</v>
      </c>
      <c r="F787" s="469">
        <v>3</v>
      </c>
      <c r="G787" s="469">
        <v>4.5</v>
      </c>
      <c r="H787" s="470">
        <v>178</v>
      </c>
      <c r="I787" s="470">
        <v>731</v>
      </c>
      <c r="J787" s="470">
        <v>1316.4</v>
      </c>
      <c r="K787" s="469">
        <v>1.3</v>
      </c>
    </row>
    <row r="788" spans="2:11" x14ac:dyDescent="0.35">
      <c r="B788" s="62">
        <v>17.5</v>
      </c>
      <c r="C788" s="471">
        <v>804</v>
      </c>
      <c r="D788" s="471">
        <v>804</v>
      </c>
      <c r="E788" s="469">
        <v>29.33</v>
      </c>
      <c r="F788" s="469">
        <v>2.8</v>
      </c>
      <c r="G788" s="469">
        <v>5.3</v>
      </c>
      <c r="H788" s="470">
        <v>180</v>
      </c>
      <c r="I788" s="470">
        <v>745</v>
      </c>
      <c r="J788" s="470">
        <v>1467</v>
      </c>
      <c r="K788" s="469">
        <v>1.3</v>
      </c>
    </row>
    <row r="789" spans="2:11" x14ac:dyDescent="0.35">
      <c r="B789" s="62">
        <v>17.5</v>
      </c>
      <c r="C789" s="471">
        <v>805</v>
      </c>
      <c r="D789" s="471">
        <v>805</v>
      </c>
      <c r="E789" s="469">
        <v>18.579999999999998</v>
      </c>
      <c r="F789" s="469">
        <v>3.6</v>
      </c>
      <c r="G789" s="469">
        <v>4.4000000000000004</v>
      </c>
      <c r="H789" s="470">
        <v>181</v>
      </c>
      <c r="I789" s="470">
        <v>757</v>
      </c>
      <c r="J789" s="470">
        <v>1429.9</v>
      </c>
      <c r="K789" s="469">
        <v>1.3</v>
      </c>
    </row>
    <row r="790" spans="2:11" x14ac:dyDescent="0.35">
      <c r="B790" s="62">
        <v>17.5</v>
      </c>
      <c r="C790" s="471">
        <v>806</v>
      </c>
      <c r="D790" s="471">
        <v>806</v>
      </c>
      <c r="E790" s="469">
        <v>29.5</v>
      </c>
      <c r="F790" s="469">
        <v>2.7</v>
      </c>
      <c r="G790" s="469">
        <v>4.4000000000000004</v>
      </c>
      <c r="H790" s="470">
        <v>181</v>
      </c>
      <c r="I790" s="470">
        <v>756</v>
      </c>
      <c r="J790" s="470">
        <v>1427.3</v>
      </c>
      <c r="K790" s="469">
        <v>1.3</v>
      </c>
    </row>
    <row r="791" spans="2:11" x14ac:dyDescent="0.35">
      <c r="B791" s="62">
        <v>17.5</v>
      </c>
      <c r="C791" s="471">
        <v>807</v>
      </c>
      <c r="D791" s="471">
        <v>807</v>
      </c>
      <c r="E791" s="469">
        <v>25.52</v>
      </c>
      <c r="F791" s="469">
        <v>3.2</v>
      </c>
      <c r="G791" s="469">
        <v>4.3</v>
      </c>
      <c r="H791" s="470">
        <v>181</v>
      </c>
      <c r="I791" s="470">
        <v>758</v>
      </c>
      <c r="J791" s="470">
        <v>1426.1</v>
      </c>
      <c r="K791" s="469">
        <v>1.3</v>
      </c>
    </row>
    <row r="792" spans="2:11" x14ac:dyDescent="0.35">
      <c r="B792" s="62">
        <v>17.5</v>
      </c>
      <c r="C792" s="471">
        <v>808</v>
      </c>
      <c r="D792" s="471">
        <v>808</v>
      </c>
      <c r="E792" s="469">
        <v>21.74</v>
      </c>
      <c r="F792" s="469">
        <v>3.1</v>
      </c>
      <c r="G792" s="469">
        <v>4.2</v>
      </c>
      <c r="H792" s="470">
        <v>181</v>
      </c>
      <c r="I792" s="470">
        <v>757</v>
      </c>
      <c r="J792" s="470">
        <v>1430.1</v>
      </c>
      <c r="K792" s="469">
        <v>1.31</v>
      </c>
    </row>
    <row r="793" spans="2:11" x14ac:dyDescent="0.35">
      <c r="B793" s="62">
        <v>17.5</v>
      </c>
      <c r="C793" s="471">
        <v>809</v>
      </c>
      <c r="D793" s="471">
        <v>809</v>
      </c>
      <c r="E793" s="469">
        <v>21.4</v>
      </c>
      <c r="F793" s="469">
        <v>2.5</v>
      </c>
      <c r="G793" s="469">
        <v>3.9</v>
      </c>
      <c r="H793" s="470">
        <v>180</v>
      </c>
      <c r="I793" s="470">
        <v>755</v>
      </c>
      <c r="J793" s="470">
        <v>1360.7</v>
      </c>
      <c r="K793" s="469">
        <v>1.31</v>
      </c>
    </row>
    <row r="794" spans="2:11" x14ac:dyDescent="0.35">
      <c r="B794" s="62">
        <v>17.5</v>
      </c>
      <c r="C794" s="471">
        <v>810</v>
      </c>
      <c r="D794" s="471">
        <v>810</v>
      </c>
      <c r="E794" s="469">
        <v>29.06</v>
      </c>
      <c r="F794" s="469">
        <v>3.5</v>
      </c>
      <c r="G794" s="469">
        <v>4.5</v>
      </c>
      <c r="H794" s="470">
        <v>181</v>
      </c>
      <c r="I794" s="470">
        <v>754</v>
      </c>
      <c r="J794" s="470">
        <v>1447.9</v>
      </c>
      <c r="K794" s="469">
        <v>1.31</v>
      </c>
    </row>
    <row r="795" spans="2:11" x14ac:dyDescent="0.35">
      <c r="B795" s="62">
        <v>17.5</v>
      </c>
      <c r="C795" s="471">
        <v>811</v>
      </c>
      <c r="D795" s="471">
        <v>811</v>
      </c>
      <c r="E795" s="469">
        <v>22.43</v>
      </c>
      <c r="F795" s="469">
        <v>3.2</v>
      </c>
      <c r="G795" s="469">
        <v>3.9</v>
      </c>
      <c r="H795" s="470">
        <v>181</v>
      </c>
      <c r="I795" s="470">
        <v>755</v>
      </c>
      <c r="J795" s="470">
        <v>1391.1</v>
      </c>
      <c r="K795" s="469">
        <v>1.32</v>
      </c>
    </row>
    <row r="796" spans="2:11" x14ac:dyDescent="0.35">
      <c r="B796" s="62">
        <v>17.5</v>
      </c>
      <c r="C796" s="471">
        <v>812</v>
      </c>
      <c r="D796" s="471">
        <v>812</v>
      </c>
      <c r="E796" s="469">
        <v>26.71</v>
      </c>
      <c r="F796" s="469">
        <v>3</v>
      </c>
      <c r="G796" s="469">
        <v>4.3</v>
      </c>
      <c r="H796" s="470">
        <v>181</v>
      </c>
      <c r="I796" s="470">
        <v>756</v>
      </c>
      <c r="J796" s="470">
        <v>1387.6</v>
      </c>
      <c r="K796" s="469">
        <v>1.32</v>
      </c>
    </row>
    <row r="797" spans="2:11" x14ac:dyDescent="0.35">
      <c r="B797" s="62">
        <v>17.5</v>
      </c>
      <c r="C797" s="471">
        <v>813</v>
      </c>
      <c r="D797" s="471">
        <v>813</v>
      </c>
      <c r="E797" s="469">
        <v>9.23</v>
      </c>
      <c r="F797" s="469">
        <v>3.2</v>
      </c>
      <c r="G797" s="469">
        <v>4.4000000000000004</v>
      </c>
      <c r="H797" s="470">
        <v>183</v>
      </c>
      <c r="I797" s="470">
        <v>772</v>
      </c>
      <c r="J797" s="470">
        <v>1551</v>
      </c>
      <c r="K797" s="469">
        <v>1.32</v>
      </c>
    </row>
    <row r="798" spans="2:11" x14ac:dyDescent="0.35">
      <c r="B798" s="62">
        <v>17.5</v>
      </c>
      <c r="C798" s="471">
        <v>814</v>
      </c>
      <c r="D798" s="471">
        <v>814</v>
      </c>
      <c r="E798" s="469">
        <v>20.95</v>
      </c>
      <c r="F798" s="469">
        <v>3.9</v>
      </c>
      <c r="G798" s="469">
        <v>4.7</v>
      </c>
      <c r="H798" s="470">
        <v>186</v>
      </c>
      <c r="I798" s="470">
        <v>808</v>
      </c>
      <c r="J798" s="470">
        <v>1722.3</v>
      </c>
      <c r="K798" s="469">
        <v>1.32</v>
      </c>
    </row>
    <row r="799" spans="2:11" x14ac:dyDescent="0.35">
      <c r="B799" s="62">
        <v>17.5</v>
      </c>
      <c r="C799" s="471">
        <v>815</v>
      </c>
      <c r="D799" s="471">
        <v>815</v>
      </c>
      <c r="E799" s="469">
        <v>29.6</v>
      </c>
      <c r="F799" s="469">
        <v>4.0999999999999996</v>
      </c>
      <c r="G799" s="469">
        <v>5.3</v>
      </c>
      <c r="H799" s="470">
        <v>189</v>
      </c>
      <c r="I799" s="470">
        <v>833</v>
      </c>
      <c r="J799" s="470">
        <v>1901.6</v>
      </c>
      <c r="K799" s="469">
        <v>1.32</v>
      </c>
    </row>
    <row r="800" spans="2:11" x14ac:dyDescent="0.35">
      <c r="B800" s="62">
        <v>17.5</v>
      </c>
      <c r="C800" s="471">
        <v>816</v>
      </c>
      <c r="D800" s="471">
        <v>816</v>
      </c>
      <c r="E800" s="469">
        <v>32.340000000000003</v>
      </c>
      <c r="F800" s="469">
        <v>4.4000000000000004</v>
      </c>
      <c r="G800" s="469">
        <v>5.7</v>
      </c>
      <c r="H800" s="470">
        <v>189</v>
      </c>
      <c r="I800" s="470">
        <v>833</v>
      </c>
      <c r="J800" s="470">
        <v>1964</v>
      </c>
      <c r="K800" s="469">
        <v>1.32</v>
      </c>
    </row>
    <row r="801" spans="2:11" x14ac:dyDescent="0.35">
      <c r="B801" s="62">
        <v>17.5</v>
      </c>
      <c r="C801" s="471">
        <v>817</v>
      </c>
      <c r="D801" s="471">
        <v>817</v>
      </c>
      <c r="E801" s="469">
        <v>31.68</v>
      </c>
      <c r="F801" s="469">
        <v>4.2</v>
      </c>
      <c r="G801" s="469">
        <v>6.2</v>
      </c>
      <c r="H801" s="470">
        <v>189</v>
      </c>
      <c r="I801" s="470">
        <v>834</v>
      </c>
      <c r="J801" s="470">
        <v>1941.4</v>
      </c>
      <c r="K801" s="469">
        <v>1.32</v>
      </c>
    </row>
    <row r="802" spans="2:11" x14ac:dyDescent="0.35">
      <c r="B802" s="62">
        <v>17.5</v>
      </c>
      <c r="C802" s="471">
        <v>818</v>
      </c>
      <c r="D802" s="471">
        <v>818</v>
      </c>
      <c r="E802" s="469">
        <v>29.85</v>
      </c>
      <c r="F802" s="469">
        <v>3.2</v>
      </c>
      <c r="G802" s="469">
        <v>4.9000000000000004</v>
      </c>
      <c r="H802" s="470">
        <v>189</v>
      </c>
      <c r="I802" s="470">
        <v>831</v>
      </c>
      <c r="J802" s="470">
        <v>1880.8</v>
      </c>
      <c r="K802" s="469">
        <v>1.32</v>
      </c>
    </row>
    <row r="803" spans="2:11" x14ac:dyDescent="0.35">
      <c r="B803" s="62">
        <v>17.5</v>
      </c>
      <c r="C803" s="471">
        <v>819</v>
      </c>
      <c r="D803" s="471">
        <v>819</v>
      </c>
      <c r="E803" s="469">
        <v>27.21</v>
      </c>
      <c r="F803" s="469">
        <v>4.7</v>
      </c>
      <c r="G803" s="469">
        <v>5.9</v>
      </c>
      <c r="H803" s="470">
        <v>189</v>
      </c>
      <c r="I803" s="470">
        <v>834</v>
      </c>
      <c r="J803" s="470">
        <v>1937.4</v>
      </c>
      <c r="K803" s="469">
        <v>1.32</v>
      </c>
    </row>
    <row r="804" spans="2:11" x14ac:dyDescent="0.35">
      <c r="B804" s="62">
        <v>17.5</v>
      </c>
      <c r="C804" s="471">
        <v>820</v>
      </c>
      <c r="D804" s="471">
        <v>820</v>
      </c>
      <c r="E804" s="469">
        <v>35.770000000000003</v>
      </c>
      <c r="F804" s="469">
        <v>4.9000000000000004</v>
      </c>
      <c r="G804" s="469">
        <v>6.3</v>
      </c>
      <c r="H804" s="470">
        <v>188</v>
      </c>
      <c r="I804" s="470">
        <v>830</v>
      </c>
      <c r="J804" s="470">
        <v>1996.9</v>
      </c>
      <c r="K804" s="469">
        <v>1.32</v>
      </c>
    </row>
    <row r="805" spans="2:11" x14ac:dyDescent="0.35">
      <c r="B805" s="62">
        <v>17.5</v>
      </c>
      <c r="C805" s="471">
        <v>821</v>
      </c>
      <c r="D805" s="471">
        <v>821</v>
      </c>
      <c r="E805" s="469">
        <v>22.74</v>
      </c>
      <c r="F805" s="469">
        <v>4</v>
      </c>
      <c r="G805" s="469">
        <v>5.5</v>
      </c>
      <c r="H805" s="470">
        <v>188</v>
      </c>
      <c r="I805" s="470">
        <v>829</v>
      </c>
      <c r="J805" s="470">
        <v>1929.9</v>
      </c>
      <c r="K805" s="469">
        <v>1.32</v>
      </c>
    </row>
    <row r="806" spans="2:11" x14ac:dyDescent="0.35">
      <c r="B806" s="62">
        <v>17.5</v>
      </c>
      <c r="C806" s="471">
        <v>822</v>
      </c>
      <c r="D806" s="471">
        <v>822</v>
      </c>
      <c r="E806" s="469">
        <v>27.25</v>
      </c>
      <c r="F806" s="469">
        <v>4.0999999999999996</v>
      </c>
      <c r="G806" s="469">
        <v>5</v>
      </c>
      <c r="H806" s="470">
        <v>188</v>
      </c>
      <c r="I806" s="470">
        <v>830</v>
      </c>
      <c r="J806" s="470">
        <v>1905.3</v>
      </c>
      <c r="K806" s="469">
        <v>1.32</v>
      </c>
    </row>
    <row r="807" spans="2:11" x14ac:dyDescent="0.35">
      <c r="B807" s="62">
        <v>17.5</v>
      </c>
      <c r="C807" s="471">
        <v>823</v>
      </c>
      <c r="D807" s="471">
        <v>823</v>
      </c>
      <c r="E807" s="469">
        <v>42.19</v>
      </c>
      <c r="F807" s="469">
        <v>5.5</v>
      </c>
      <c r="G807" s="469">
        <v>6.7</v>
      </c>
      <c r="H807" s="470">
        <v>188</v>
      </c>
      <c r="I807" s="470">
        <v>829</v>
      </c>
      <c r="J807" s="470">
        <v>2056.6</v>
      </c>
      <c r="K807" s="469">
        <v>1.32</v>
      </c>
    </row>
    <row r="808" spans="2:11" x14ac:dyDescent="0.35">
      <c r="B808" s="62">
        <v>17.5</v>
      </c>
      <c r="C808" s="471">
        <v>824</v>
      </c>
      <c r="D808" s="471">
        <v>824</v>
      </c>
      <c r="E808" s="469">
        <v>29.37</v>
      </c>
      <c r="F808" s="469">
        <v>4.5999999999999996</v>
      </c>
      <c r="G808" s="469">
        <v>5.9</v>
      </c>
      <c r="H808" s="470">
        <v>188</v>
      </c>
      <c r="I808" s="470">
        <v>831</v>
      </c>
      <c r="J808" s="470">
        <v>1938.8</v>
      </c>
      <c r="K808" s="469">
        <v>1.32</v>
      </c>
    </row>
    <row r="809" spans="2:11" x14ac:dyDescent="0.35">
      <c r="B809" s="62">
        <v>17.5</v>
      </c>
      <c r="C809" s="471">
        <v>825</v>
      </c>
      <c r="D809" s="471">
        <v>825</v>
      </c>
      <c r="E809" s="469">
        <v>30.87</v>
      </c>
      <c r="F809" s="469">
        <v>4.5</v>
      </c>
      <c r="G809" s="469">
        <v>5.7</v>
      </c>
      <c r="H809" s="470">
        <v>188</v>
      </c>
      <c r="I809" s="470">
        <v>830</v>
      </c>
      <c r="J809" s="470">
        <v>1968.3</v>
      </c>
      <c r="K809" s="469">
        <v>1.32</v>
      </c>
    </row>
    <row r="810" spans="2:11" x14ac:dyDescent="0.35">
      <c r="B810" s="62">
        <v>17.5</v>
      </c>
      <c r="C810" s="471">
        <v>826</v>
      </c>
      <c r="D810" s="471">
        <v>826</v>
      </c>
      <c r="E810" s="469">
        <v>28.04</v>
      </c>
      <c r="F810" s="469">
        <v>3.8</v>
      </c>
      <c r="G810" s="469">
        <v>5.3</v>
      </c>
      <c r="H810" s="470">
        <v>189</v>
      </c>
      <c r="I810" s="470">
        <v>833</v>
      </c>
      <c r="J810" s="470">
        <v>1945.7</v>
      </c>
      <c r="K810" s="469">
        <v>1.32</v>
      </c>
    </row>
    <row r="811" spans="2:11" x14ac:dyDescent="0.35">
      <c r="B811" s="62">
        <v>17.5</v>
      </c>
      <c r="C811" s="471">
        <v>827</v>
      </c>
      <c r="D811" s="471">
        <v>827</v>
      </c>
      <c r="E811" s="469">
        <v>22.65</v>
      </c>
      <c r="F811" s="469">
        <v>2.2999999999999998</v>
      </c>
      <c r="G811" s="469">
        <v>3.8</v>
      </c>
      <c r="H811" s="470">
        <v>189</v>
      </c>
      <c r="I811" s="470">
        <v>831</v>
      </c>
      <c r="J811" s="470">
        <v>1836.9</v>
      </c>
      <c r="K811" s="469">
        <v>1.32</v>
      </c>
    </row>
    <row r="812" spans="2:11" x14ac:dyDescent="0.35">
      <c r="B812" s="62">
        <v>17.5</v>
      </c>
      <c r="C812" s="471">
        <v>828</v>
      </c>
      <c r="D812" s="471">
        <v>828</v>
      </c>
      <c r="E812" s="469">
        <v>37.35</v>
      </c>
      <c r="F812" s="469">
        <v>4.0999999999999996</v>
      </c>
      <c r="G812" s="469">
        <v>6</v>
      </c>
      <c r="H812" s="470">
        <v>189</v>
      </c>
      <c r="I812" s="470">
        <v>832</v>
      </c>
      <c r="J812" s="470">
        <v>1985.8</v>
      </c>
      <c r="K812" s="469">
        <v>1.32</v>
      </c>
    </row>
    <row r="813" spans="2:11" x14ac:dyDescent="0.35">
      <c r="B813" s="62">
        <v>17.5</v>
      </c>
      <c r="C813" s="471">
        <v>829</v>
      </c>
      <c r="D813" s="471">
        <v>829</v>
      </c>
      <c r="E813" s="469">
        <v>25.35</v>
      </c>
      <c r="F813" s="469">
        <v>4.8</v>
      </c>
      <c r="G813" s="469">
        <v>5.6</v>
      </c>
      <c r="H813" s="470">
        <v>189</v>
      </c>
      <c r="I813" s="470">
        <v>833</v>
      </c>
      <c r="J813" s="470">
        <v>1953.2</v>
      </c>
      <c r="K813" s="469">
        <v>1.32</v>
      </c>
    </row>
    <row r="814" spans="2:11" x14ac:dyDescent="0.35">
      <c r="B814" s="62">
        <v>17.5</v>
      </c>
      <c r="C814" s="471">
        <v>830</v>
      </c>
      <c r="D814" s="471">
        <v>830</v>
      </c>
      <c r="E814" s="469">
        <v>30.4</v>
      </c>
      <c r="F814" s="469">
        <v>3.2</v>
      </c>
      <c r="G814" s="469">
        <v>5.0999999999999996</v>
      </c>
      <c r="H814" s="470">
        <v>188</v>
      </c>
      <c r="I814" s="470">
        <v>830</v>
      </c>
      <c r="J814" s="470">
        <v>1903.5</v>
      </c>
      <c r="K814" s="469">
        <v>1.32</v>
      </c>
    </row>
    <row r="815" spans="2:11" x14ac:dyDescent="0.35">
      <c r="B815" s="62">
        <v>17.5</v>
      </c>
      <c r="C815" s="471">
        <v>831</v>
      </c>
      <c r="D815" s="471">
        <v>831</v>
      </c>
      <c r="E815" s="469">
        <v>32.01</v>
      </c>
      <c r="F815" s="469">
        <v>3.7</v>
      </c>
      <c r="G815" s="469">
        <v>5.4</v>
      </c>
      <c r="H815" s="470">
        <v>188</v>
      </c>
      <c r="I815" s="470">
        <v>828</v>
      </c>
      <c r="J815" s="470">
        <v>1938.1</v>
      </c>
      <c r="K815" s="469">
        <v>1.33</v>
      </c>
    </row>
    <row r="816" spans="2:11" x14ac:dyDescent="0.35">
      <c r="B816" s="62">
        <v>17.5</v>
      </c>
      <c r="C816" s="471">
        <v>832</v>
      </c>
      <c r="D816" s="471">
        <v>832</v>
      </c>
      <c r="E816" s="469">
        <v>37.72</v>
      </c>
      <c r="F816" s="469">
        <v>3.6</v>
      </c>
      <c r="G816" s="469">
        <v>5.4</v>
      </c>
      <c r="H816" s="470">
        <v>189</v>
      </c>
      <c r="I816" s="470">
        <v>834</v>
      </c>
      <c r="J816" s="470">
        <v>1937.6</v>
      </c>
      <c r="K816" s="469">
        <v>1.33</v>
      </c>
    </row>
    <row r="817" spans="2:11" x14ac:dyDescent="0.35">
      <c r="B817" s="62">
        <v>17.5</v>
      </c>
      <c r="C817" s="471">
        <v>833</v>
      </c>
      <c r="D817" s="471">
        <v>833</v>
      </c>
      <c r="E817" s="469">
        <v>28.86</v>
      </c>
      <c r="F817" s="469">
        <v>4.2</v>
      </c>
      <c r="G817" s="469">
        <v>5.8</v>
      </c>
      <c r="H817" s="470">
        <v>188</v>
      </c>
      <c r="I817" s="470">
        <v>829</v>
      </c>
      <c r="J817" s="470">
        <v>1933.1</v>
      </c>
      <c r="K817" s="469">
        <v>1.33</v>
      </c>
    </row>
    <row r="818" spans="2:11" x14ac:dyDescent="0.35">
      <c r="B818" s="62">
        <v>17.5</v>
      </c>
      <c r="C818" s="471">
        <v>834</v>
      </c>
      <c r="D818" s="471">
        <v>834</v>
      </c>
      <c r="E818" s="469">
        <v>36.33</v>
      </c>
      <c r="F818" s="469">
        <v>4.8</v>
      </c>
      <c r="G818" s="469">
        <v>4.9000000000000004</v>
      </c>
      <c r="H818" s="470">
        <v>189</v>
      </c>
      <c r="I818" s="470">
        <v>832</v>
      </c>
      <c r="J818" s="470">
        <v>1954.8</v>
      </c>
      <c r="K818" s="469">
        <v>1.33</v>
      </c>
    </row>
    <row r="819" spans="2:11" x14ac:dyDescent="0.35">
      <c r="B819" s="62">
        <v>17.5</v>
      </c>
      <c r="C819" s="471">
        <v>835</v>
      </c>
      <c r="D819" s="471">
        <v>835</v>
      </c>
      <c r="E819" s="469">
        <v>43.21</v>
      </c>
      <c r="F819" s="469">
        <v>4.0999999999999996</v>
      </c>
      <c r="G819" s="469">
        <v>5</v>
      </c>
      <c r="H819" s="470">
        <v>188</v>
      </c>
      <c r="I819" s="470">
        <v>832</v>
      </c>
      <c r="J819" s="470">
        <v>1951.5</v>
      </c>
      <c r="K819" s="469">
        <v>1.33</v>
      </c>
    </row>
    <row r="820" spans="2:11" x14ac:dyDescent="0.35">
      <c r="B820" s="62">
        <v>17.5</v>
      </c>
      <c r="C820" s="471">
        <v>836</v>
      </c>
      <c r="D820" s="471">
        <v>836</v>
      </c>
      <c r="E820" s="469">
        <v>32.06</v>
      </c>
      <c r="F820" s="469">
        <v>3.1</v>
      </c>
      <c r="G820" s="469">
        <v>4.2</v>
      </c>
      <c r="H820" s="470">
        <v>189</v>
      </c>
      <c r="I820" s="470">
        <v>834</v>
      </c>
      <c r="J820" s="470">
        <v>1876.9</v>
      </c>
      <c r="K820" s="469">
        <v>1.33</v>
      </c>
    </row>
    <row r="821" spans="2:11" x14ac:dyDescent="0.35">
      <c r="B821" s="62">
        <v>17.5</v>
      </c>
      <c r="C821" s="471">
        <v>837</v>
      </c>
      <c r="D821" s="471">
        <v>837</v>
      </c>
      <c r="E821" s="469">
        <v>39.380000000000003</v>
      </c>
      <c r="F821" s="469">
        <v>3.1</v>
      </c>
      <c r="G821" s="469">
        <v>4.8</v>
      </c>
      <c r="H821" s="470">
        <v>189</v>
      </c>
      <c r="I821" s="470">
        <v>833</v>
      </c>
      <c r="J821" s="470">
        <v>1902.4</v>
      </c>
      <c r="K821" s="469">
        <v>1.33</v>
      </c>
    </row>
    <row r="822" spans="2:11" x14ac:dyDescent="0.35">
      <c r="B822" s="62">
        <v>17.5</v>
      </c>
      <c r="C822" s="471">
        <v>838</v>
      </c>
      <c r="D822" s="471">
        <v>838</v>
      </c>
      <c r="E822" s="469">
        <v>39</v>
      </c>
      <c r="F822" s="469">
        <v>2.2999999999999998</v>
      </c>
      <c r="G822" s="469">
        <v>3.9</v>
      </c>
      <c r="H822" s="470">
        <v>189</v>
      </c>
      <c r="I822" s="470">
        <v>833</v>
      </c>
      <c r="J822" s="470">
        <v>1860.3</v>
      </c>
      <c r="K822" s="469">
        <v>1.33</v>
      </c>
    </row>
    <row r="823" spans="2:11" x14ac:dyDescent="0.35">
      <c r="B823" s="62">
        <v>17.5</v>
      </c>
      <c r="C823" s="471">
        <v>839</v>
      </c>
      <c r="D823" s="471">
        <v>839</v>
      </c>
      <c r="E823" s="469">
        <v>51.21</v>
      </c>
      <c r="F823" s="469">
        <v>2.8</v>
      </c>
      <c r="G823" s="469">
        <v>4.5999999999999996</v>
      </c>
      <c r="H823" s="470">
        <v>189</v>
      </c>
      <c r="I823" s="470">
        <v>833</v>
      </c>
      <c r="J823" s="470">
        <v>1924.4</v>
      </c>
      <c r="K823" s="469">
        <v>1.33</v>
      </c>
    </row>
    <row r="824" spans="2:11" x14ac:dyDescent="0.35">
      <c r="B824" s="62">
        <v>17.5</v>
      </c>
      <c r="C824" s="471">
        <v>840</v>
      </c>
      <c r="D824" s="471">
        <v>840</v>
      </c>
      <c r="E824" s="469">
        <v>31</v>
      </c>
      <c r="F824" s="469">
        <v>4</v>
      </c>
      <c r="G824" s="469">
        <v>5.3</v>
      </c>
      <c r="H824" s="470">
        <v>188</v>
      </c>
      <c r="I824" s="470">
        <v>829</v>
      </c>
      <c r="J824" s="470">
        <v>1957.5</v>
      </c>
      <c r="K824" s="469">
        <v>1.33</v>
      </c>
    </row>
    <row r="825" spans="2:11" x14ac:dyDescent="0.35">
      <c r="B825" s="62">
        <v>17.5</v>
      </c>
      <c r="C825" s="471">
        <v>841</v>
      </c>
      <c r="D825" s="471">
        <v>841</v>
      </c>
      <c r="E825" s="469">
        <v>24.91</v>
      </c>
      <c r="F825" s="469">
        <v>4.8</v>
      </c>
      <c r="G825" s="469">
        <v>5</v>
      </c>
      <c r="H825" s="470">
        <v>188</v>
      </c>
      <c r="I825" s="470">
        <v>831</v>
      </c>
      <c r="J825" s="470">
        <v>1964.4</v>
      </c>
      <c r="K825" s="469">
        <v>1.33</v>
      </c>
    </row>
    <row r="826" spans="2:11" x14ac:dyDescent="0.35">
      <c r="B826" s="62">
        <v>17.5</v>
      </c>
      <c r="C826" s="471">
        <v>842</v>
      </c>
      <c r="D826" s="471">
        <v>842</v>
      </c>
      <c r="E826" s="469">
        <v>15.36</v>
      </c>
      <c r="F826" s="469">
        <v>3.2</v>
      </c>
      <c r="G826" s="469">
        <v>3.1</v>
      </c>
      <c r="H826" s="470">
        <v>192</v>
      </c>
      <c r="I826" s="470">
        <v>857</v>
      </c>
      <c r="J826" s="470">
        <v>1970.7</v>
      </c>
      <c r="K826" s="469">
        <v>1.33</v>
      </c>
    </row>
    <row r="827" spans="2:11" x14ac:dyDescent="0.35">
      <c r="B827" s="62">
        <v>17.5</v>
      </c>
      <c r="C827" s="471">
        <v>843</v>
      </c>
      <c r="D827" s="471">
        <v>843</v>
      </c>
      <c r="E827" s="469">
        <v>26.74</v>
      </c>
      <c r="F827" s="469">
        <v>4.0999999999999996</v>
      </c>
      <c r="G827" s="469">
        <v>5.2</v>
      </c>
      <c r="H827" s="470">
        <v>195</v>
      </c>
      <c r="I827" s="470">
        <v>878</v>
      </c>
      <c r="J827" s="470">
        <v>2315.6</v>
      </c>
      <c r="K827" s="469">
        <v>1.33</v>
      </c>
    </row>
    <row r="828" spans="2:11" x14ac:dyDescent="0.35">
      <c r="B828" s="62">
        <v>17.5</v>
      </c>
      <c r="C828" s="471">
        <v>844</v>
      </c>
      <c r="D828" s="471">
        <v>844</v>
      </c>
      <c r="E828" s="469">
        <v>26.34</v>
      </c>
      <c r="F828" s="469">
        <v>4.8</v>
      </c>
      <c r="G828" s="469">
        <v>5.6</v>
      </c>
      <c r="H828" s="470">
        <v>195</v>
      </c>
      <c r="I828" s="470">
        <v>876</v>
      </c>
      <c r="J828" s="470">
        <v>2373.1</v>
      </c>
      <c r="K828" s="469">
        <v>1.33</v>
      </c>
    </row>
    <row r="829" spans="2:11" x14ac:dyDescent="0.35">
      <c r="B829" s="62">
        <v>17.5</v>
      </c>
      <c r="C829" s="471">
        <v>845</v>
      </c>
      <c r="D829" s="471">
        <v>845</v>
      </c>
      <c r="E829" s="469">
        <v>47.13</v>
      </c>
      <c r="F829" s="469">
        <v>4.8</v>
      </c>
      <c r="G829" s="469">
        <v>6.2</v>
      </c>
      <c r="H829" s="470">
        <v>195</v>
      </c>
      <c r="I829" s="470">
        <v>877</v>
      </c>
      <c r="J829" s="470">
        <v>2411.9</v>
      </c>
      <c r="K829" s="469">
        <v>1.33</v>
      </c>
    </row>
    <row r="830" spans="2:11" x14ac:dyDescent="0.35">
      <c r="B830" s="62">
        <v>17.5</v>
      </c>
      <c r="C830" s="471">
        <v>846</v>
      </c>
      <c r="D830" s="471">
        <v>846</v>
      </c>
      <c r="E830" s="469">
        <v>55.59</v>
      </c>
      <c r="F830" s="469">
        <v>3.9</v>
      </c>
      <c r="G830" s="469">
        <v>5.6</v>
      </c>
      <c r="H830" s="470">
        <v>195</v>
      </c>
      <c r="I830" s="470">
        <v>878</v>
      </c>
      <c r="J830" s="470">
        <v>2336.9</v>
      </c>
      <c r="K830" s="469">
        <v>1.33</v>
      </c>
    </row>
    <row r="831" spans="2:11" x14ac:dyDescent="0.35">
      <c r="B831" s="62">
        <v>17.5</v>
      </c>
      <c r="C831" s="471">
        <v>847</v>
      </c>
      <c r="D831" s="471">
        <v>847</v>
      </c>
      <c r="E831" s="469">
        <v>56.38</v>
      </c>
      <c r="F831" s="469">
        <v>4.9000000000000004</v>
      </c>
      <c r="G831" s="469">
        <v>6.1</v>
      </c>
      <c r="H831" s="470">
        <v>195</v>
      </c>
      <c r="I831" s="470">
        <v>875</v>
      </c>
      <c r="J831" s="470">
        <v>2394.3000000000002</v>
      </c>
      <c r="K831" s="469">
        <v>1.33</v>
      </c>
    </row>
    <row r="832" spans="2:11" x14ac:dyDescent="0.35">
      <c r="B832" s="62">
        <v>17.5</v>
      </c>
      <c r="C832" s="471">
        <v>848</v>
      </c>
      <c r="D832" s="471">
        <v>848</v>
      </c>
      <c r="E832" s="469">
        <v>60.67</v>
      </c>
      <c r="F832" s="469">
        <v>5</v>
      </c>
      <c r="G832" s="469">
        <v>6.4</v>
      </c>
      <c r="H832" s="470">
        <v>195</v>
      </c>
      <c r="I832" s="470">
        <v>876</v>
      </c>
      <c r="J832" s="470">
        <v>2380</v>
      </c>
      <c r="K832" s="469">
        <v>1.33</v>
      </c>
    </row>
    <row r="833" spans="2:11" x14ac:dyDescent="0.35">
      <c r="B833" s="62">
        <v>17.5</v>
      </c>
      <c r="C833" s="471">
        <v>849</v>
      </c>
      <c r="D833" s="471">
        <v>849</v>
      </c>
      <c r="E833" s="469">
        <v>54.92</v>
      </c>
      <c r="F833" s="469">
        <v>5.4</v>
      </c>
      <c r="G833" s="469">
        <v>6.4</v>
      </c>
      <c r="H833" s="470">
        <v>195</v>
      </c>
      <c r="I833" s="470">
        <v>877</v>
      </c>
      <c r="J833" s="470">
        <v>2384</v>
      </c>
      <c r="K833" s="469">
        <v>1.33</v>
      </c>
    </row>
    <row r="834" spans="2:11" x14ac:dyDescent="0.35">
      <c r="B834" s="62">
        <v>17.5</v>
      </c>
      <c r="C834" s="471">
        <v>850</v>
      </c>
      <c r="D834" s="471">
        <v>850</v>
      </c>
      <c r="E834" s="469">
        <v>36.92</v>
      </c>
      <c r="F834" s="469">
        <v>4.8</v>
      </c>
      <c r="G834" s="469">
        <v>6.6</v>
      </c>
      <c r="H834" s="470">
        <v>193</v>
      </c>
      <c r="I834" s="470">
        <v>855</v>
      </c>
      <c r="J834" s="470">
        <v>2283.6999999999998</v>
      </c>
      <c r="K834" s="469">
        <v>1.33</v>
      </c>
    </row>
    <row r="835" spans="2:11" x14ac:dyDescent="0.35">
      <c r="B835" s="62">
        <v>17.5</v>
      </c>
      <c r="C835" s="471">
        <v>851</v>
      </c>
      <c r="D835" s="471">
        <v>851</v>
      </c>
      <c r="E835" s="469">
        <v>58.5</v>
      </c>
      <c r="F835" s="469">
        <v>7.2</v>
      </c>
      <c r="G835" s="469">
        <v>8</v>
      </c>
      <c r="H835" s="470">
        <v>192</v>
      </c>
      <c r="I835" s="470">
        <v>850</v>
      </c>
      <c r="J835" s="470">
        <v>2375.1999999999998</v>
      </c>
      <c r="K835" s="469">
        <v>1.33</v>
      </c>
    </row>
    <row r="836" spans="2:11" x14ac:dyDescent="0.35">
      <c r="B836" s="62">
        <v>17.5</v>
      </c>
      <c r="C836" s="471">
        <v>852</v>
      </c>
      <c r="D836" s="471">
        <v>852</v>
      </c>
      <c r="E836" s="469">
        <v>38.61</v>
      </c>
      <c r="F836" s="469">
        <v>6.6</v>
      </c>
      <c r="G836" s="469">
        <v>7.1</v>
      </c>
      <c r="H836" s="470">
        <v>192</v>
      </c>
      <c r="I836" s="470">
        <v>851</v>
      </c>
      <c r="J836" s="470">
        <v>2310.1</v>
      </c>
      <c r="K836" s="469">
        <v>1.33</v>
      </c>
    </row>
    <row r="837" spans="2:11" x14ac:dyDescent="0.35">
      <c r="B837" s="62">
        <v>17.5</v>
      </c>
      <c r="C837" s="471">
        <v>853</v>
      </c>
      <c r="D837" s="471">
        <v>853</v>
      </c>
      <c r="E837" s="469">
        <v>46.7</v>
      </c>
      <c r="F837" s="469">
        <v>7.1</v>
      </c>
      <c r="G837" s="469">
        <v>8.6</v>
      </c>
      <c r="H837" s="470">
        <v>192</v>
      </c>
      <c r="I837" s="470">
        <v>850</v>
      </c>
      <c r="J837" s="470">
        <v>2402.4</v>
      </c>
      <c r="K837" s="469">
        <v>1.33</v>
      </c>
    </row>
    <row r="838" spans="2:11" x14ac:dyDescent="0.35">
      <c r="B838" s="62">
        <v>17.5</v>
      </c>
      <c r="C838" s="471">
        <v>854</v>
      </c>
      <c r="D838" s="471">
        <v>854</v>
      </c>
      <c r="E838" s="469">
        <v>48.9</v>
      </c>
      <c r="F838" s="469">
        <v>6.8</v>
      </c>
      <c r="G838" s="469">
        <v>7.3</v>
      </c>
      <c r="H838" s="470">
        <v>193</v>
      </c>
      <c r="I838" s="470">
        <v>854</v>
      </c>
      <c r="J838" s="470">
        <v>2312.1</v>
      </c>
      <c r="K838" s="469">
        <v>1.34</v>
      </c>
    </row>
    <row r="839" spans="2:11" x14ac:dyDescent="0.35">
      <c r="B839" s="62">
        <v>17.5</v>
      </c>
      <c r="C839" s="471">
        <v>855</v>
      </c>
      <c r="D839" s="471">
        <v>855</v>
      </c>
      <c r="E839" s="469">
        <v>67.45</v>
      </c>
      <c r="F839" s="469">
        <v>6.2</v>
      </c>
      <c r="G839" s="469">
        <v>7.5</v>
      </c>
      <c r="H839" s="470">
        <v>193</v>
      </c>
      <c r="I839" s="470">
        <v>855</v>
      </c>
      <c r="J839" s="470">
        <v>2338.9</v>
      </c>
      <c r="K839" s="469">
        <v>1.34</v>
      </c>
    </row>
    <row r="840" spans="2:11" x14ac:dyDescent="0.35">
      <c r="B840" s="62">
        <v>17.5</v>
      </c>
      <c r="C840" s="471">
        <v>856</v>
      </c>
      <c r="D840" s="471">
        <v>856</v>
      </c>
      <c r="E840" s="469">
        <v>52.87</v>
      </c>
      <c r="F840" s="469">
        <v>7.3</v>
      </c>
      <c r="G840" s="469">
        <v>7.6</v>
      </c>
      <c r="H840" s="470">
        <v>193</v>
      </c>
      <c r="I840" s="470">
        <v>854</v>
      </c>
      <c r="J840" s="470">
        <v>2344.9</v>
      </c>
      <c r="K840" s="469">
        <v>1.34</v>
      </c>
    </row>
    <row r="841" spans="2:11" x14ac:dyDescent="0.35">
      <c r="B841" s="62">
        <v>17.5</v>
      </c>
      <c r="C841" s="471">
        <v>857</v>
      </c>
      <c r="D841" s="471">
        <v>857</v>
      </c>
      <c r="E841" s="469">
        <v>52.53</v>
      </c>
      <c r="F841" s="469">
        <v>6.2</v>
      </c>
      <c r="G841" s="469">
        <v>7.2</v>
      </c>
      <c r="H841" s="470">
        <v>193</v>
      </c>
      <c r="I841" s="470">
        <v>854</v>
      </c>
      <c r="J841" s="470">
        <v>2316.4</v>
      </c>
      <c r="K841" s="469">
        <v>1.34</v>
      </c>
    </row>
    <row r="842" spans="2:11" x14ac:dyDescent="0.35">
      <c r="B842" s="62">
        <v>17.5</v>
      </c>
      <c r="C842" s="471">
        <v>858</v>
      </c>
      <c r="D842" s="471">
        <v>858</v>
      </c>
      <c r="E842" s="469">
        <v>66.41</v>
      </c>
      <c r="F842" s="469">
        <v>5.8</v>
      </c>
      <c r="G842" s="469">
        <v>7.5</v>
      </c>
      <c r="H842" s="470">
        <v>193</v>
      </c>
      <c r="I842" s="470">
        <v>853</v>
      </c>
      <c r="J842" s="470">
        <v>2301.1999999999998</v>
      </c>
      <c r="K842" s="469">
        <v>1.34</v>
      </c>
    </row>
    <row r="843" spans="2:11" x14ac:dyDescent="0.35">
      <c r="B843" s="62">
        <v>17.5</v>
      </c>
      <c r="C843" s="471">
        <v>859</v>
      </c>
      <c r="D843" s="471">
        <v>859</v>
      </c>
      <c r="E843" s="469">
        <v>65.709999999999994</v>
      </c>
      <c r="F843" s="469">
        <v>7.2</v>
      </c>
      <c r="G843" s="469">
        <v>8.6</v>
      </c>
      <c r="H843" s="470">
        <v>193</v>
      </c>
      <c r="I843" s="470">
        <v>851</v>
      </c>
      <c r="J843" s="470">
        <v>2392.1</v>
      </c>
      <c r="K843" s="469">
        <v>1.34</v>
      </c>
    </row>
    <row r="844" spans="2:11" x14ac:dyDescent="0.35">
      <c r="B844" s="62">
        <v>17.5</v>
      </c>
      <c r="C844" s="471">
        <v>860</v>
      </c>
      <c r="D844" s="471">
        <v>860</v>
      </c>
      <c r="E844" s="469">
        <v>38.15</v>
      </c>
      <c r="F844" s="469">
        <v>5.6</v>
      </c>
      <c r="G844" s="469">
        <v>7.2</v>
      </c>
      <c r="H844" s="470">
        <v>189</v>
      </c>
      <c r="I844" s="470">
        <v>817</v>
      </c>
      <c r="J844" s="470">
        <v>2104.5</v>
      </c>
      <c r="K844" s="469">
        <v>1.34</v>
      </c>
    </row>
    <row r="845" spans="2:11" x14ac:dyDescent="0.35">
      <c r="B845" s="62">
        <v>17.5</v>
      </c>
      <c r="C845" s="471">
        <v>861</v>
      </c>
      <c r="D845" s="471">
        <v>861</v>
      </c>
      <c r="E845" s="469">
        <v>63.59</v>
      </c>
      <c r="F845" s="469">
        <v>6.4</v>
      </c>
      <c r="G845" s="469">
        <v>7.9</v>
      </c>
      <c r="H845" s="470">
        <v>188</v>
      </c>
      <c r="I845" s="470">
        <v>804</v>
      </c>
      <c r="J845" s="470">
        <v>2140.1</v>
      </c>
      <c r="K845" s="469">
        <v>1.34</v>
      </c>
    </row>
    <row r="846" spans="2:11" x14ac:dyDescent="0.35">
      <c r="B846" s="62">
        <v>17.5</v>
      </c>
      <c r="C846" s="471">
        <v>862</v>
      </c>
      <c r="D846" s="471">
        <v>862</v>
      </c>
      <c r="E846" s="469">
        <v>79.7</v>
      </c>
      <c r="F846" s="469">
        <v>6.8</v>
      </c>
      <c r="G846" s="469">
        <v>8</v>
      </c>
      <c r="H846" s="470">
        <v>187</v>
      </c>
      <c r="I846" s="470">
        <v>802</v>
      </c>
      <c r="J846" s="470">
        <v>2185.6999999999998</v>
      </c>
      <c r="K846" s="469">
        <v>1.34</v>
      </c>
    </row>
    <row r="847" spans="2:11" x14ac:dyDescent="0.35">
      <c r="B847" s="62">
        <v>17.5</v>
      </c>
      <c r="C847" s="471">
        <v>863</v>
      </c>
      <c r="D847" s="471">
        <v>863</v>
      </c>
      <c r="E847" s="469">
        <v>54.05</v>
      </c>
      <c r="F847" s="469">
        <v>4.5999999999999996</v>
      </c>
      <c r="G847" s="469">
        <v>6.2</v>
      </c>
      <c r="H847" s="470">
        <v>187</v>
      </c>
      <c r="I847" s="470">
        <v>804</v>
      </c>
      <c r="J847" s="470">
        <v>2000.6</v>
      </c>
      <c r="K847" s="469">
        <v>1.34</v>
      </c>
    </row>
    <row r="848" spans="2:11" x14ac:dyDescent="0.35">
      <c r="B848" s="62">
        <v>17.5</v>
      </c>
      <c r="C848" s="471">
        <v>864</v>
      </c>
      <c r="D848" s="471">
        <v>864</v>
      </c>
      <c r="E848" s="469">
        <v>78.91</v>
      </c>
      <c r="F848" s="469">
        <v>5.4</v>
      </c>
      <c r="G848" s="469">
        <v>6.7</v>
      </c>
      <c r="H848" s="470">
        <v>187</v>
      </c>
      <c r="I848" s="470">
        <v>802</v>
      </c>
      <c r="J848" s="470">
        <v>2061.4</v>
      </c>
      <c r="K848" s="469">
        <v>1.34</v>
      </c>
    </row>
    <row r="849" spans="2:11" x14ac:dyDescent="0.35">
      <c r="B849" s="62">
        <v>17.5</v>
      </c>
      <c r="C849" s="471">
        <v>865</v>
      </c>
      <c r="D849" s="471">
        <v>865</v>
      </c>
      <c r="E849" s="469">
        <v>77.099999999999994</v>
      </c>
      <c r="F849" s="469">
        <v>5.8</v>
      </c>
      <c r="G849" s="469">
        <v>7.3</v>
      </c>
      <c r="H849" s="470">
        <v>188</v>
      </c>
      <c r="I849" s="470">
        <v>804</v>
      </c>
      <c r="J849" s="470">
        <v>2110.1</v>
      </c>
      <c r="K849" s="469">
        <v>1.34</v>
      </c>
    </row>
    <row r="850" spans="2:11" x14ac:dyDescent="0.35">
      <c r="B850" s="62">
        <v>17.5</v>
      </c>
      <c r="C850" s="471">
        <v>866</v>
      </c>
      <c r="D850" s="471">
        <v>866</v>
      </c>
      <c r="E850" s="469">
        <v>43.88</v>
      </c>
      <c r="F850" s="469">
        <v>5.9</v>
      </c>
      <c r="G850" s="469">
        <v>7.9</v>
      </c>
      <c r="H850" s="470">
        <v>188</v>
      </c>
      <c r="I850" s="470">
        <v>806</v>
      </c>
      <c r="J850" s="470">
        <v>2152.6</v>
      </c>
      <c r="K850" s="469">
        <v>1.34</v>
      </c>
    </row>
    <row r="851" spans="2:11" x14ac:dyDescent="0.35">
      <c r="B851" s="62">
        <v>17.5</v>
      </c>
      <c r="C851" s="471">
        <v>867</v>
      </c>
      <c r="D851" s="471">
        <v>867</v>
      </c>
      <c r="E851" s="469">
        <v>49.98</v>
      </c>
      <c r="F851" s="469">
        <v>7.2</v>
      </c>
      <c r="G851" s="469">
        <v>9.3000000000000007</v>
      </c>
      <c r="H851" s="470">
        <v>187</v>
      </c>
      <c r="I851" s="470">
        <v>804</v>
      </c>
      <c r="J851" s="470">
        <v>2234.5</v>
      </c>
      <c r="K851" s="469">
        <v>1.34</v>
      </c>
    </row>
    <row r="852" spans="2:11" x14ac:dyDescent="0.35">
      <c r="B852" s="62">
        <v>17.5</v>
      </c>
      <c r="C852" s="471">
        <v>868</v>
      </c>
      <c r="D852" s="471">
        <v>868</v>
      </c>
      <c r="E852" s="469">
        <v>77.19</v>
      </c>
      <c r="F852" s="469">
        <v>6.6</v>
      </c>
      <c r="G852" s="469">
        <v>8.1999999999999993</v>
      </c>
      <c r="H852" s="470">
        <v>187</v>
      </c>
      <c r="I852" s="470">
        <v>802</v>
      </c>
      <c r="J852" s="470">
        <v>2155.6999999999998</v>
      </c>
      <c r="K852" s="469">
        <v>1.34</v>
      </c>
    </row>
    <row r="853" spans="2:11" x14ac:dyDescent="0.35">
      <c r="B853" s="62">
        <v>17.5</v>
      </c>
      <c r="C853" s="471">
        <v>869</v>
      </c>
      <c r="D853" s="471">
        <v>869</v>
      </c>
      <c r="E853" s="469">
        <v>40.4</v>
      </c>
      <c r="F853" s="469">
        <v>6.8</v>
      </c>
      <c r="G853" s="469">
        <v>7</v>
      </c>
      <c r="H853" s="470">
        <v>188</v>
      </c>
      <c r="I853" s="470">
        <v>804</v>
      </c>
      <c r="J853" s="470">
        <v>2077.8000000000002</v>
      </c>
      <c r="K853" s="469">
        <v>1.34</v>
      </c>
    </row>
    <row r="854" spans="2:11" x14ac:dyDescent="0.35">
      <c r="B854" s="62">
        <v>17.5</v>
      </c>
      <c r="C854" s="471">
        <v>870</v>
      </c>
      <c r="D854" s="471">
        <v>870</v>
      </c>
      <c r="E854" s="469">
        <v>62.49</v>
      </c>
      <c r="F854" s="469">
        <v>6.4</v>
      </c>
      <c r="G854" s="469">
        <v>7</v>
      </c>
      <c r="H854" s="470">
        <v>188</v>
      </c>
      <c r="I854" s="470">
        <v>804</v>
      </c>
      <c r="J854" s="470">
        <v>2091.9</v>
      </c>
      <c r="K854" s="469">
        <v>1.34</v>
      </c>
    </row>
    <row r="855" spans="2:11" x14ac:dyDescent="0.35">
      <c r="B855" s="62">
        <v>17.5</v>
      </c>
      <c r="C855" s="471">
        <v>871</v>
      </c>
      <c r="D855" s="471">
        <v>871</v>
      </c>
      <c r="E855" s="469">
        <v>16.55</v>
      </c>
      <c r="F855" s="469">
        <v>6.2</v>
      </c>
      <c r="G855" s="469">
        <v>7.3</v>
      </c>
      <c r="H855" s="470">
        <v>188</v>
      </c>
      <c r="I855" s="470">
        <v>822</v>
      </c>
      <c r="J855" s="470">
        <v>2115.5</v>
      </c>
      <c r="K855" s="469">
        <v>1.35</v>
      </c>
    </row>
    <row r="856" spans="2:11" x14ac:dyDescent="0.35">
      <c r="B856" s="62">
        <v>17.5</v>
      </c>
      <c r="C856" s="471">
        <v>872</v>
      </c>
      <c r="D856" s="471">
        <v>872</v>
      </c>
      <c r="E856" s="469">
        <v>36.21</v>
      </c>
      <c r="F856" s="469">
        <v>3.7</v>
      </c>
      <c r="G856" s="469">
        <v>6.1</v>
      </c>
      <c r="H856" s="470">
        <v>194</v>
      </c>
      <c r="I856" s="470">
        <v>906</v>
      </c>
      <c r="J856" s="470">
        <v>2430.1</v>
      </c>
      <c r="K856" s="469">
        <v>1.35</v>
      </c>
    </row>
    <row r="857" spans="2:11" x14ac:dyDescent="0.35">
      <c r="B857" s="62">
        <v>17.5</v>
      </c>
      <c r="C857" s="471">
        <v>873</v>
      </c>
      <c r="D857" s="471">
        <v>873</v>
      </c>
      <c r="E857" s="469">
        <v>51.78</v>
      </c>
      <c r="F857" s="469">
        <v>3.9</v>
      </c>
      <c r="G857" s="469">
        <v>7.2</v>
      </c>
      <c r="H857" s="470">
        <v>187</v>
      </c>
      <c r="I857" s="470">
        <v>833</v>
      </c>
      <c r="J857" s="470">
        <v>2258.6</v>
      </c>
      <c r="K857" s="469">
        <v>1.35</v>
      </c>
    </row>
    <row r="858" spans="2:11" x14ac:dyDescent="0.35">
      <c r="B858" s="62">
        <v>17.5</v>
      </c>
      <c r="C858" s="471">
        <v>874</v>
      </c>
      <c r="D858" s="471">
        <v>874</v>
      </c>
      <c r="E858" s="469">
        <v>66.41</v>
      </c>
      <c r="F858" s="469">
        <v>4.3</v>
      </c>
      <c r="G858" s="469">
        <v>7.1</v>
      </c>
      <c r="H858" s="470">
        <v>185</v>
      </c>
      <c r="I858" s="470">
        <v>822</v>
      </c>
      <c r="J858" s="470">
        <v>2219.1999999999998</v>
      </c>
      <c r="K858" s="469">
        <v>1.35</v>
      </c>
    </row>
    <row r="859" spans="2:11" x14ac:dyDescent="0.35">
      <c r="B859" s="62">
        <v>17.5</v>
      </c>
      <c r="C859" s="471">
        <v>875</v>
      </c>
      <c r="D859" s="471">
        <v>875</v>
      </c>
      <c r="E859" s="469">
        <v>42.67</v>
      </c>
      <c r="F859" s="469">
        <v>4.4000000000000004</v>
      </c>
      <c r="G859" s="469">
        <v>7.3</v>
      </c>
      <c r="H859" s="470">
        <v>187</v>
      </c>
      <c r="I859" s="470">
        <v>832</v>
      </c>
      <c r="J859" s="470">
        <v>2337.1</v>
      </c>
      <c r="K859" s="469">
        <v>1.35</v>
      </c>
    </row>
    <row r="860" spans="2:11" x14ac:dyDescent="0.35">
      <c r="B860" s="62">
        <v>17.5</v>
      </c>
      <c r="C860" s="471">
        <v>876</v>
      </c>
      <c r="D860" s="471">
        <v>876</v>
      </c>
      <c r="E860" s="469">
        <v>36.06</v>
      </c>
      <c r="F860" s="469">
        <v>4.9000000000000004</v>
      </c>
      <c r="G860" s="469">
        <v>7.2</v>
      </c>
      <c r="H860" s="470">
        <v>189</v>
      </c>
      <c r="I860" s="470">
        <v>853</v>
      </c>
      <c r="J860" s="470">
        <v>2430</v>
      </c>
      <c r="K860" s="469">
        <v>1.35</v>
      </c>
    </row>
    <row r="861" spans="2:11" x14ac:dyDescent="0.35">
      <c r="B861" s="62">
        <v>17.5</v>
      </c>
      <c r="C861" s="471">
        <v>877</v>
      </c>
      <c r="D861" s="471">
        <v>877</v>
      </c>
      <c r="E861" s="469">
        <v>43.75</v>
      </c>
      <c r="F861" s="469">
        <v>4.3</v>
      </c>
      <c r="G861" s="469">
        <v>7.1</v>
      </c>
      <c r="H861" s="470">
        <v>187</v>
      </c>
      <c r="I861" s="470">
        <v>844</v>
      </c>
      <c r="J861" s="470">
        <v>2308.6</v>
      </c>
      <c r="K861" s="469">
        <v>1.35</v>
      </c>
    </row>
    <row r="862" spans="2:11" x14ac:dyDescent="0.35">
      <c r="B862" s="62">
        <v>17.5</v>
      </c>
      <c r="C862" s="471">
        <v>878</v>
      </c>
      <c r="D862" s="471">
        <v>878</v>
      </c>
      <c r="E862" s="469">
        <v>49.94</v>
      </c>
      <c r="F862" s="469">
        <v>5.5</v>
      </c>
      <c r="G862" s="469">
        <v>7.5</v>
      </c>
      <c r="H862" s="470">
        <v>187</v>
      </c>
      <c r="I862" s="470">
        <v>843</v>
      </c>
      <c r="J862" s="470">
        <v>2356.1</v>
      </c>
      <c r="K862" s="469">
        <v>1.35</v>
      </c>
    </row>
    <row r="863" spans="2:11" x14ac:dyDescent="0.35">
      <c r="B863" s="62">
        <v>17.5</v>
      </c>
      <c r="C863" s="471">
        <v>879</v>
      </c>
      <c r="D863" s="471">
        <v>879</v>
      </c>
      <c r="E863" s="469">
        <v>34.85</v>
      </c>
      <c r="F863" s="469">
        <v>5.4</v>
      </c>
      <c r="G863" s="469">
        <v>6.5</v>
      </c>
      <c r="H863" s="470">
        <v>190</v>
      </c>
      <c r="I863" s="470">
        <v>865</v>
      </c>
      <c r="J863" s="470">
        <v>2328.1</v>
      </c>
      <c r="K863" s="469">
        <v>1.35</v>
      </c>
    </row>
    <row r="864" spans="2:11" x14ac:dyDescent="0.35">
      <c r="B864" s="62">
        <v>17.5</v>
      </c>
      <c r="C864" s="471">
        <v>880</v>
      </c>
      <c r="D864" s="471">
        <v>880</v>
      </c>
      <c r="E864" s="469">
        <v>43.95</v>
      </c>
      <c r="F864" s="469">
        <v>6.7</v>
      </c>
      <c r="G864" s="469">
        <v>7.3</v>
      </c>
      <c r="H864" s="470">
        <v>190</v>
      </c>
      <c r="I864" s="470">
        <v>860</v>
      </c>
      <c r="J864" s="470">
        <v>2476.1999999999998</v>
      </c>
      <c r="K864" s="469">
        <v>1.35</v>
      </c>
    </row>
    <row r="865" spans="2:11" x14ac:dyDescent="0.35">
      <c r="B865" s="62">
        <v>17.5</v>
      </c>
      <c r="C865" s="471">
        <v>881</v>
      </c>
      <c r="D865" s="471">
        <v>881</v>
      </c>
      <c r="E865" s="469">
        <v>47.69</v>
      </c>
      <c r="F865" s="469">
        <v>4.4000000000000004</v>
      </c>
      <c r="G865" s="469">
        <v>6.6</v>
      </c>
      <c r="H865" s="470">
        <v>189</v>
      </c>
      <c r="I865" s="470">
        <v>861</v>
      </c>
      <c r="J865" s="470">
        <v>2392.6999999999998</v>
      </c>
      <c r="K865" s="469">
        <v>1.35</v>
      </c>
    </row>
    <row r="866" spans="2:11" x14ac:dyDescent="0.35">
      <c r="B866" s="62">
        <v>17.5</v>
      </c>
      <c r="C866" s="471">
        <v>882</v>
      </c>
      <c r="D866" s="471">
        <v>882</v>
      </c>
      <c r="E866" s="469">
        <v>50.7</v>
      </c>
      <c r="F866" s="469">
        <v>5.8</v>
      </c>
      <c r="G866" s="469">
        <v>7.9</v>
      </c>
      <c r="H866" s="470">
        <v>189</v>
      </c>
      <c r="I866" s="470">
        <v>859</v>
      </c>
      <c r="J866" s="470">
        <v>2505.5</v>
      </c>
      <c r="K866" s="469">
        <v>1.35</v>
      </c>
    </row>
    <row r="867" spans="2:11" x14ac:dyDescent="0.35">
      <c r="B867" s="62">
        <v>17.5</v>
      </c>
      <c r="C867" s="471">
        <v>883</v>
      </c>
      <c r="D867" s="471">
        <v>883</v>
      </c>
      <c r="E867" s="469">
        <v>47.35</v>
      </c>
      <c r="F867" s="469">
        <v>6.6</v>
      </c>
      <c r="G867" s="469">
        <v>8.8000000000000007</v>
      </c>
      <c r="H867" s="470">
        <v>174</v>
      </c>
      <c r="I867" s="470">
        <v>854</v>
      </c>
      <c r="J867" s="470">
        <v>2604.6999999999998</v>
      </c>
      <c r="K867" s="469">
        <v>1.35</v>
      </c>
    </row>
    <row r="868" spans="2:11" x14ac:dyDescent="0.35">
      <c r="B868" s="62">
        <v>17.5</v>
      </c>
      <c r="C868" s="471">
        <v>884</v>
      </c>
      <c r="D868" s="471">
        <v>884</v>
      </c>
      <c r="E868" s="469">
        <v>41.3</v>
      </c>
      <c r="F868" s="469">
        <v>5.2</v>
      </c>
      <c r="G868" s="469">
        <v>6.9</v>
      </c>
      <c r="H868" s="470">
        <v>189</v>
      </c>
      <c r="I868" s="470">
        <v>861</v>
      </c>
      <c r="J868" s="470">
        <v>2406.4</v>
      </c>
      <c r="K868" s="469">
        <v>1.35</v>
      </c>
    </row>
    <row r="869" spans="2:11" x14ac:dyDescent="0.35">
      <c r="B869" s="62">
        <v>17.5</v>
      </c>
      <c r="C869" s="471">
        <v>885</v>
      </c>
      <c r="D869" s="471">
        <v>885</v>
      </c>
      <c r="E869" s="469">
        <v>48.7</v>
      </c>
      <c r="F869" s="469">
        <v>4.9000000000000004</v>
      </c>
      <c r="G869" s="469">
        <v>7.1</v>
      </c>
      <c r="H869" s="470">
        <v>189</v>
      </c>
      <c r="I869" s="470">
        <v>861</v>
      </c>
      <c r="J869" s="470">
        <v>2411.1999999999998</v>
      </c>
      <c r="K869" s="469">
        <v>1.35</v>
      </c>
    </row>
    <row r="870" spans="2:11" x14ac:dyDescent="0.35">
      <c r="B870" s="62">
        <v>17.5</v>
      </c>
      <c r="C870" s="471">
        <v>886</v>
      </c>
      <c r="D870" s="471">
        <v>886</v>
      </c>
      <c r="E870" s="469">
        <v>64.3</v>
      </c>
      <c r="F870" s="469">
        <v>5.4</v>
      </c>
      <c r="G870" s="469">
        <v>7.5</v>
      </c>
      <c r="H870" s="470">
        <v>190</v>
      </c>
      <c r="I870" s="470">
        <v>862</v>
      </c>
      <c r="J870" s="470">
        <v>2467.6999999999998</v>
      </c>
      <c r="K870" s="469">
        <v>1.35</v>
      </c>
    </row>
    <row r="871" spans="2:11" x14ac:dyDescent="0.35">
      <c r="B871" s="62">
        <v>17.5</v>
      </c>
      <c r="C871" s="471">
        <v>887</v>
      </c>
      <c r="D871" s="471">
        <v>887</v>
      </c>
      <c r="E871" s="469">
        <v>75.510000000000005</v>
      </c>
      <c r="F871" s="469">
        <v>5.8</v>
      </c>
      <c r="G871" s="469">
        <v>9.6999999999999993</v>
      </c>
      <c r="H871" s="470">
        <v>189</v>
      </c>
      <c r="I871" s="470">
        <v>856</v>
      </c>
      <c r="J871" s="470">
        <v>2539.6999999999998</v>
      </c>
      <c r="K871" s="469">
        <v>1.35</v>
      </c>
    </row>
    <row r="872" spans="2:11" x14ac:dyDescent="0.35">
      <c r="B872" s="62">
        <v>17.5</v>
      </c>
      <c r="C872" s="471">
        <v>888</v>
      </c>
      <c r="D872" s="471">
        <v>888</v>
      </c>
      <c r="E872" s="469">
        <v>52.53</v>
      </c>
      <c r="F872" s="469">
        <v>4.5999999999999996</v>
      </c>
      <c r="G872" s="469">
        <v>7</v>
      </c>
      <c r="H872" s="470">
        <v>189</v>
      </c>
      <c r="I872" s="470">
        <v>861</v>
      </c>
      <c r="J872" s="470">
        <v>2410.4</v>
      </c>
      <c r="K872" s="469">
        <v>1.35</v>
      </c>
    </row>
    <row r="873" spans="2:11" x14ac:dyDescent="0.35">
      <c r="B873" s="62">
        <v>17.5</v>
      </c>
      <c r="C873" s="471">
        <v>889</v>
      </c>
      <c r="D873" s="471">
        <v>889</v>
      </c>
      <c r="E873" s="469">
        <v>66.41</v>
      </c>
      <c r="F873" s="469">
        <v>5</v>
      </c>
      <c r="G873" s="469">
        <v>7</v>
      </c>
      <c r="H873" s="470">
        <v>189</v>
      </c>
      <c r="I873" s="470">
        <v>860</v>
      </c>
      <c r="J873" s="470">
        <v>2445.8000000000002</v>
      </c>
      <c r="K873" s="469">
        <v>1.35</v>
      </c>
    </row>
    <row r="874" spans="2:11" x14ac:dyDescent="0.35">
      <c r="B874" s="62">
        <v>17.5</v>
      </c>
      <c r="C874" s="471">
        <v>890</v>
      </c>
      <c r="D874" s="471">
        <v>890</v>
      </c>
      <c r="E874" s="469">
        <v>52.99</v>
      </c>
      <c r="F874" s="469">
        <v>3.2</v>
      </c>
      <c r="G874" s="469">
        <v>6.8</v>
      </c>
      <c r="H874" s="470">
        <v>189</v>
      </c>
      <c r="I874" s="470">
        <v>860</v>
      </c>
      <c r="J874" s="470">
        <v>2318.5</v>
      </c>
      <c r="K874" s="469">
        <v>1.35</v>
      </c>
    </row>
    <row r="875" spans="2:11" x14ac:dyDescent="0.35">
      <c r="B875" s="62">
        <v>17.5</v>
      </c>
      <c r="C875" s="471">
        <v>891</v>
      </c>
      <c r="D875" s="471">
        <v>891</v>
      </c>
      <c r="E875" s="469">
        <v>38.56</v>
      </c>
      <c r="F875" s="469">
        <v>4.5</v>
      </c>
      <c r="G875" s="469">
        <v>6.9</v>
      </c>
      <c r="H875" s="470">
        <v>190</v>
      </c>
      <c r="I875" s="470">
        <v>862</v>
      </c>
      <c r="J875" s="470">
        <v>2399</v>
      </c>
      <c r="K875" s="469">
        <v>1.36</v>
      </c>
    </row>
    <row r="876" spans="2:11" x14ac:dyDescent="0.35">
      <c r="B876" s="62">
        <v>17.5</v>
      </c>
      <c r="C876" s="471">
        <v>892</v>
      </c>
      <c r="D876" s="471">
        <v>892</v>
      </c>
      <c r="E876" s="469">
        <v>78</v>
      </c>
      <c r="F876" s="469">
        <v>6.4</v>
      </c>
      <c r="G876" s="469">
        <v>7.7</v>
      </c>
      <c r="H876" s="470">
        <v>190</v>
      </c>
      <c r="I876" s="470">
        <v>862</v>
      </c>
      <c r="J876" s="470">
        <v>2494.1999999999998</v>
      </c>
      <c r="K876" s="469">
        <v>1.36</v>
      </c>
    </row>
    <row r="877" spans="2:11" x14ac:dyDescent="0.35">
      <c r="B877" s="62">
        <v>17.5</v>
      </c>
      <c r="C877" s="471">
        <v>893</v>
      </c>
      <c r="D877" s="471">
        <v>893</v>
      </c>
      <c r="E877" s="469">
        <v>92.2</v>
      </c>
      <c r="F877" s="469">
        <v>7.3</v>
      </c>
      <c r="G877" s="469">
        <v>8.6999999999999993</v>
      </c>
      <c r="H877" s="470">
        <v>189</v>
      </c>
      <c r="I877" s="470">
        <v>854</v>
      </c>
      <c r="J877" s="470">
        <v>2566.5</v>
      </c>
      <c r="K877" s="469">
        <v>1.36</v>
      </c>
    </row>
    <row r="878" spans="2:11" x14ac:dyDescent="0.35">
      <c r="B878" s="62">
        <v>17.5</v>
      </c>
      <c r="C878" s="471">
        <v>894</v>
      </c>
      <c r="D878" s="471">
        <v>894</v>
      </c>
      <c r="E878" s="469">
        <v>70.739999999999995</v>
      </c>
      <c r="F878" s="469">
        <v>8.6999999999999993</v>
      </c>
      <c r="G878" s="469">
        <v>9.1999999999999993</v>
      </c>
      <c r="H878" s="470">
        <v>189</v>
      </c>
      <c r="I878" s="470">
        <v>854</v>
      </c>
      <c r="J878" s="470">
        <v>2631.8</v>
      </c>
      <c r="K878" s="469">
        <v>1.36</v>
      </c>
    </row>
    <row r="879" spans="2:11" x14ac:dyDescent="0.35">
      <c r="B879" s="62">
        <v>17.5</v>
      </c>
      <c r="C879" s="471">
        <v>895</v>
      </c>
      <c r="D879" s="471">
        <v>895</v>
      </c>
      <c r="E879" s="469">
        <v>86.3</v>
      </c>
      <c r="F879" s="469">
        <v>7.4</v>
      </c>
      <c r="G879" s="469">
        <v>9.1</v>
      </c>
      <c r="H879" s="470">
        <v>189</v>
      </c>
      <c r="I879" s="470">
        <v>858</v>
      </c>
      <c r="J879" s="470">
        <v>2573.1999999999998</v>
      </c>
      <c r="K879" s="469">
        <v>1.36</v>
      </c>
    </row>
    <row r="880" spans="2:11" x14ac:dyDescent="0.35">
      <c r="B880" s="62">
        <v>17.5</v>
      </c>
      <c r="C880" s="471">
        <v>896</v>
      </c>
      <c r="D880" s="471">
        <v>896</v>
      </c>
      <c r="E880" s="469">
        <v>100.59</v>
      </c>
      <c r="F880" s="469">
        <v>6.8</v>
      </c>
      <c r="G880" s="469">
        <v>8.4</v>
      </c>
      <c r="H880" s="470">
        <v>189</v>
      </c>
      <c r="I880" s="470">
        <v>855</v>
      </c>
      <c r="J880" s="470">
        <v>2558.8000000000002</v>
      </c>
      <c r="K880" s="469">
        <v>1.36</v>
      </c>
    </row>
    <row r="881" spans="2:11" x14ac:dyDescent="0.35">
      <c r="B881" s="62">
        <v>17.5</v>
      </c>
      <c r="C881" s="471">
        <v>897</v>
      </c>
      <c r="D881" s="471">
        <v>897</v>
      </c>
      <c r="E881" s="469">
        <v>92.81</v>
      </c>
      <c r="F881" s="469">
        <v>6</v>
      </c>
      <c r="G881" s="469">
        <v>7.7</v>
      </c>
      <c r="H881" s="470">
        <v>189</v>
      </c>
      <c r="I881" s="470">
        <v>860</v>
      </c>
      <c r="J881" s="470">
        <v>2462.3000000000002</v>
      </c>
      <c r="K881" s="469">
        <v>1.36</v>
      </c>
    </row>
    <row r="882" spans="2:11" x14ac:dyDescent="0.35">
      <c r="B882" s="62">
        <v>17.5</v>
      </c>
      <c r="C882" s="471">
        <v>898</v>
      </c>
      <c r="D882" s="471">
        <v>898</v>
      </c>
      <c r="E882" s="469">
        <v>112.15</v>
      </c>
      <c r="F882" s="469">
        <v>6.7</v>
      </c>
      <c r="G882" s="469">
        <v>7.9</v>
      </c>
      <c r="H882" s="470">
        <v>189</v>
      </c>
      <c r="I882" s="470">
        <v>858</v>
      </c>
      <c r="J882" s="470">
        <v>2513.1999999999998</v>
      </c>
      <c r="K882" s="469">
        <v>1.36</v>
      </c>
    </row>
    <row r="883" spans="2:11" x14ac:dyDescent="0.35">
      <c r="B883" s="62">
        <v>17.5</v>
      </c>
      <c r="C883" s="471">
        <v>899</v>
      </c>
      <c r="D883" s="471">
        <v>899</v>
      </c>
      <c r="E883" s="469">
        <v>84.29</v>
      </c>
      <c r="F883" s="469">
        <v>8</v>
      </c>
      <c r="G883" s="469">
        <v>9</v>
      </c>
      <c r="H883" s="470">
        <v>189</v>
      </c>
      <c r="I883" s="470">
        <v>853</v>
      </c>
      <c r="J883" s="470">
        <v>2611.6</v>
      </c>
      <c r="K883" s="469">
        <v>1.36</v>
      </c>
    </row>
    <row r="884" spans="2:11" x14ac:dyDescent="0.35">
      <c r="B884" s="62">
        <v>17.5</v>
      </c>
      <c r="C884" s="471">
        <v>900</v>
      </c>
      <c r="D884" s="471">
        <v>900</v>
      </c>
      <c r="E884" s="469">
        <v>18.29</v>
      </c>
      <c r="F884" s="469">
        <v>7.1</v>
      </c>
      <c r="G884" s="469">
        <v>8.5</v>
      </c>
      <c r="H884" s="470">
        <v>190</v>
      </c>
      <c r="I884" s="470">
        <v>850</v>
      </c>
      <c r="J884" s="470">
        <v>2521.6</v>
      </c>
      <c r="K884" s="469">
        <v>1.36</v>
      </c>
    </row>
    <row r="885" spans="2:11" x14ac:dyDescent="0.35">
      <c r="B885" s="62">
        <v>17.5</v>
      </c>
      <c r="C885" s="471">
        <v>901</v>
      </c>
      <c r="D885" s="471">
        <v>901</v>
      </c>
      <c r="E885" s="469">
        <v>46.8</v>
      </c>
      <c r="F885" s="469">
        <v>8</v>
      </c>
      <c r="G885" s="469">
        <v>8.6</v>
      </c>
      <c r="H885" s="470">
        <v>193</v>
      </c>
      <c r="I885" s="470">
        <v>847</v>
      </c>
      <c r="J885" s="470">
        <v>2629.7</v>
      </c>
      <c r="K885" s="469">
        <v>1.36</v>
      </c>
    </row>
    <row r="886" spans="2:11" x14ac:dyDescent="0.35">
      <c r="B886" s="62">
        <v>17.5</v>
      </c>
      <c r="C886" s="471">
        <v>902</v>
      </c>
      <c r="D886" s="471">
        <v>902</v>
      </c>
      <c r="E886" s="469">
        <v>67.290000000000006</v>
      </c>
      <c r="F886" s="469">
        <v>9.1</v>
      </c>
      <c r="G886" s="469">
        <v>9.4</v>
      </c>
      <c r="H886" s="470">
        <v>193</v>
      </c>
      <c r="I886" s="470">
        <v>859</v>
      </c>
      <c r="J886" s="470">
        <v>2707.5</v>
      </c>
      <c r="K886" s="469">
        <v>1.36</v>
      </c>
    </row>
    <row r="887" spans="2:11" x14ac:dyDescent="0.35">
      <c r="B887" s="62">
        <v>17.5</v>
      </c>
      <c r="C887" s="471">
        <v>903</v>
      </c>
      <c r="D887" s="471">
        <v>903</v>
      </c>
      <c r="E887" s="469">
        <v>68.13</v>
      </c>
      <c r="F887" s="469">
        <v>9.3000000000000007</v>
      </c>
      <c r="G887" s="469">
        <v>9.4</v>
      </c>
      <c r="H887" s="470">
        <v>193</v>
      </c>
      <c r="I887" s="470">
        <v>858</v>
      </c>
      <c r="J887" s="470">
        <v>2717.6</v>
      </c>
      <c r="K887" s="469">
        <v>1.36</v>
      </c>
    </row>
    <row r="888" spans="2:11" x14ac:dyDescent="0.35">
      <c r="B888" s="62">
        <v>17.5</v>
      </c>
      <c r="C888" s="471">
        <v>904</v>
      </c>
      <c r="D888" s="471">
        <v>904</v>
      </c>
      <c r="E888" s="469">
        <v>33.090000000000003</v>
      </c>
      <c r="F888" s="469">
        <v>7.2</v>
      </c>
      <c r="G888" s="469">
        <v>7.1</v>
      </c>
      <c r="H888" s="470">
        <v>194</v>
      </c>
      <c r="I888" s="470">
        <v>862</v>
      </c>
      <c r="J888" s="470">
        <v>2546.3000000000002</v>
      </c>
      <c r="K888" s="469">
        <v>1.36</v>
      </c>
    </row>
    <row r="889" spans="2:11" x14ac:dyDescent="0.35">
      <c r="B889" s="62">
        <v>17.5</v>
      </c>
      <c r="C889" s="471">
        <v>905</v>
      </c>
      <c r="D889" s="471">
        <v>905</v>
      </c>
      <c r="E889" s="469">
        <v>65.709999999999994</v>
      </c>
      <c r="F889" s="469">
        <v>8.6</v>
      </c>
      <c r="G889" s="469">
        <v>9.1</v>
      </c>
      <c r="H889" s="470">
        <v>194</v>
      </c>
      <c r="I889" s="470">
        <v>859</v>
      </c>
      <c r="J889" s="470">
        <v>2669.1</v>
      </c>
      <c r="K889" s="469">
        <v>1.36</v>
      </c>
    </row>
    <row r="890" spans="2:11" x14ac:dyDescent="0.35">
      <c r="B890" s="62">
        <v>17.5</v>
      </c>
      <c r="C890" s="471">
        <v>906</v>
      </c>
      <c r="D890" s="471">
        <v>906</v>
      </c>
      <c r="E890" s="469">
        <v>51.4</v>
      </c>
      <c r="F890" s="469">
        <v>8.6999999999999993</v>
      </c>
      <c r="G890" s="469">
        <v>8.1</v>
      </c>
      <c r="H890" s="470">
        <v>194</v>
      </c>
      <c r="I890" s="470">
        <v>861</v>
      </c>
      <c r="J890" s="470">
        <v>2603.3000000000002</v>
      </c>
      <c r="K890" s="469">
        <v>1.36</v>
      </c>
    </row>
    <row r="891" spans="2:11" x14ac:dyDescent="0.35">
      <c r="B891" s="62">
        <v>17.5</v>
      </c>
      <c r="C891" s="471">
        <v>907</v>
      </c>
      <c r="D891" s="471">
        <v>907</v>
      </c>
      <c r="E891" s="469">
        <v>44.75</v>
      </c>
      <c r="F891" s="469">
        <v>8.6999999999999993</v>
      </c>
      <c r="G891" s="469">
        <v>7.2</v>
      </c>
      <c r="H891" s="470">
        <v>195</v>
      </c>
      <c r="I891" s="470">
        <v>867</v>
      </c>
      <c r="J891" s="470">
        <v>2516.6</v>
      </c>
      <c r="K891" s="469">
        <v>1.37</v>
      </c>
    </row>
    <row r="892" spans="2:11" x14ac:dyDescent="0.35">
      <c r="B892" s="62">
        <v>17.5</v>
      </c>
      <c r="C892" s="471">
        <v>908</v>
      </c>
      <c r="D892" s="471">
        <v>908</v>
      </c>
      <c r="E892" s="469">
        <v>55.76</v>
      </c>
      <c r="F892" s="469">
        <v>9.1999999999999993</v>
      </c>
      <c r="G892" s="469">
        <v>7.9</v>
      </c>
      <c r="H892" s="470">
        <v>192</v>
      </c>
      <c r="I892" s="470">
        <v>845</v>
      </c>
      <c r="J892" s="470">
        <v>2514.8000000000002</v>
      </c>
      <c r="K892" s="469">
        <v>1.37</v>
      </c>
    </row>
    <row r="893" spans="2:11" x14ac:dyDescent="0.35">
      <c r="B893" s="62">
        <v>17.5</v>
      </c>
      <c r="C893" s="471">
        <v>909</v>
      </c>
      <c r="D893" s="471">
        <v>909</v>
      </c>
      <c r="E893" s="469">
        <v>85.39</v>
      </c>
      <c r="F893" s="469">
        <v>8.6999999999999993</v>
      </c>
      <c r="G893" s="469">
        <v>8.9</v>
      </c>
      <c r="H893" s="470">
        <v>193</v>
      </c>
      <c r="I893" s="470">
        <v>844</v>
      </c>
      <c r="J893" s="470">
        <v>2603.5</v>
      </c>
      <c r="K893" s="469">
        <v>1.37</v>
      </c>
    </row>
    <row r="894" spans="2:11" x14ac:dyDescent="0.35">
      <c r="B894" s="62">
        <v>17.5</v>
      </c>
      <c r="C894" s="471">
        <v>910</v>
      </c>
      <c r="D894" s="471">
        <v>910</v>
      </c>
      <c r="E894" s="469">
        <v>53.64</v>
      </c>
      <c r="F894" s="469">
        <v>8.6</v>
      </c>
      <c r="G894" s="469">
        <v>8.3000000000000007</v>
      </c>
      <c r="H894" s="470">
        <v>192</v>
      </c>
      <c r="I894" s="470">
        <v>845</v>
      </c>
      <c r="J894" s="470">
        <v>2516.5</v>
      </c>
      <c r="K894" s="469">
        <v>1.37</v>
      </c>
    </row>
    <row r="895" spans="2:11" x14ac:dyDescent="0.35">
      <c r="B895" s="62">
        <v>17.5</v>
      </c>
      <c r="C895" s="471">
        <v>911</v>
      </c>
      <c r="D895" s="471">
        <v>911</v>
      </c>
      <c r="E895" s="469">
        <v>31.5</v>
      </c>
      <c r="F895" s="469">
        <v>6.6</v>
      </c>
      <c r="G895" s="469">
        <v>6.8</v>
      </c>
      <c r="H895" s="470">
        <v>193</v>
      </c>
      <c r="I895" s="470">
        <v>852</v>
      </c>
      <c r="J895" s="470">
        <v>2408.3000000000002</v>
      </c>
      <c r="K895" s="469">
        <v>1.37</v>
      </c>
    </row>
    <row r="896" spans="2:11" x14ac:dyDescent="0.35">
      <c r="B896" s="62">
        <v>17.5</v>
      </c>
      <c r="C896" s="471">
        <v>912</v>
      </c>
      <c r="D896" s="471">
        <v>912</v>
      </c>
      <c r="E896" s="469">
        <v>35.69</v>
      </c>
      <c r="F896" s="469">
        <v>5.5</v>
      </c>
      <c r="G896" s="469">
        <v>5.7</v>
      </c>
      <c r="H896" s="470">
        <v>193</v>
      </c>
      <c r="I896" s="470">
        <v>854</v>
      </c>
      <c r="J896" s="470">
        <v>2324.9</v>
      </c>
      <c r="K896" s="469">
        <v>1.37</v>
      </c>
    </row>
    <row r="897" spans="2:11" x14ac:dyDescent="0.35">
      <c r="B897" s="62">
        <v>17.5</v>
      </c>
      <c r="C897" s="471">
        <v>913</v>
      </c>
      <c r="D897" s="471">
        <v>913</v>
      </c>
      <c r="E897" s="469">
        <v>47.95</v>
      </c>
      <c r="F897" s="469">
        <v>5.6</v>
      </c>
      <c r="G897" s="469">
        <v>6</v>
      </c>
      <c r="H897" s="470">
        <v>193</v>
      </c>
      <c r="I897" s="470">
        <v>857</v>
      </c>
      <c r="J897" s="470">
        <v>2341.1999999999998</v>
      </c>
      <c r="K897" s="469">
        <v>1.37</v>
      </c>
    </row>
    <row r="898" spans="2:11" x14ac:dyDescent="0.35">
      <c r="B898" s="62">
        <v>17.5</v>
      </c>
      <c r="C898" s="471">
        <v>914</v>
      </c>
      <c r="D898" s="471">
        <v>914</v>
      </c>
      <c r="E898" s="469">
        <v>34.619999999999997</v>
      </c>
      <c r="F898" s="469">
        <v>8</v>
      </c>
      <c r="G898" s="469">
        <v>6.9</v>
      </c>
      <c r="H898" s="470">
        <v>193</v>
      </c>
      <c r="I898" s="470">
        <v>852</v>
      </c>
      <c r="J898" s="470">
        <v>2390.8000000000002</v>
      </c>
      <c r="K898" s="469">
        <v>1.37</v>
      </c>
    </row>
    <row r="899" spans="2:11" x14ac:dyDescent="0.35">
      <c r="B899" s="62">
        <v>17.5</v>
      </c>
      <c r="C899" s="471">
        <v>915</v>
      </c>
      <c r="D899" s="471">
        <v>915</v>
      </c>
      <c r="E899" s="469">
        <v>57.54</v>
      </c>
      <c r="F899" s="469">
        <v>6.6</v>
      </c>
      <c r="G899" s="469">
        <v>7.3</v>
      </c>
      <c r="H899" s="470">
        <v>193</v>
      </c>
      <c r="I899" s="470">
        <v>848</v>
      </c>
      <c r="J899" s="470">
        <v>2415.5</v>
      </c>
      <c r="K899" s="469">
        <v>1.37</v>
      </c>
    </row>
    <row r="900" spans="2:11" x14ac:dyDescent="0.35">
      <c r="B900" s="62">
        <v>17.5</v>
      </c>
      <c r="C900" s="471">
        <v>916</v>
      </c>
      <c r="D900" s="471">
        <v>916</v>
      </c>
      <c r="E900" s="469">
        <v>64.930000000000007</v>
      </c>
      <c r="F900" s="469">
        <v>7.6</v>
      </c>
      <c r="G900" s="469">
        <v>7.3</v>
      </c>
      <c r="H900" s="470">
        <v>191</v>
      </c>
      <c r="I900" s="470">
        <v>849</v>
      </c>
      <c r="J900" s="470">
        <v>2470</v>
      </c>
      <c r="K900" s="469">
        <v>1.37</v>
      </c>
    </row>
    <row r="901" spans="2:11" x14ac:dyDescent="0.35">
      <c r="B901" s="62">
        <v>17.5</v>
      </c>
      <c r="C901" s="471">
        <v>917</v>
      </c>
      <c r="D901" s="471">
        <v>917</v>
      </c>
      <c r="E901" s="469">
        <v>85.84</v>
      </c>
      <c r="F901" s="469">
        <v>7.6</v>
      </c>
      <c r="G901" s="469">
        <v>8.8000000000000007</v>
      </c>
      <c r="H901" s="470">
        <v>192</v>
      </c>
      <c r="I901" s="470">
        <v>845</v>
      </c>
      <c r="J901" s="470">
        <v>2534.6</v>
      </c>
      <c r="K901" s="469">
        <v>1.37</v>
      </c>
    </row>
    <row r="902" spans="2:11" x14ac:dyDescent="0.35">
      <c r="B902" s="62">
        <v>17.5</v>
      </c>
      <c r="C902" s="471">
        <v>918</v>
      </c>
      <c r="D902" s="471">
        <v>918</v>
      </c>
      <c r="E902" s="469">
        <v>74.53</v>
      </c>
      <c r="F902" s="469">
        <v>10.3</v>
      </c>
      <c r="G902" s="469">
        <v>10.4</v>
      </c>
      <c r="H902" s="470">
        <v>190</v>
      </c>
      <c r="I902" s="470">
        <v>840</v>
      </c>
      <c r="J902" s="470">
        <v>2641.7</v>
      </c>
      <c r="K902" s="469">
        <v>1.37</v>
      </c>
    </row>
    <row r="903" spans="2:11" x14ac:dyDescent="0.35">
      <c r="B903" s="62">
        <v>17.5</v>
      </c>
      <c r="C903" s="471">
        <v>919</v>
      </c>
      <c r="D903" s="471">
        <v>919</v>
      </c>
      <c r="E903" s="469">
        <v>65.510000000000005</v>
      </c>
      <c r="F903" s="469">
        <v>8.5</v>
      </c>
      <c r="G903" s="469">
        <v>8.6</v>
      </c>
      <c r="H903" s="470">
        <v>192</v>
      </c>
      <c r="I903" s="470">
        <v>844</v>
      </c>
      <c r="J903" s="470">
        <v>2518.6</v>
      </c>
      <c r="K903" s="469">
        <v>1.37</v>
      </c>
    </row>
    <row r="904" spans="2:11" x14ac:dyDescent="0.35">
      <c r="B904" s="62">
        <v>17.5</v>
      </c>
      <c r="C904" s="471">
        <v>920</v>
      </c>
      <c r="D904" s="471">
        <v>920</v>
      </c>
      <c r="E904" s="469">
        <v>65.62</v>
      </c>
      <c r="F904" s="469">
        <v>9</v>
      </c>
      <c r="G904" s="469">
        <v>9</v>
      </c>
      <c r="H904" s="470">
        <v>192</v>
      </c>
      <c r="I904" s="470">
        <v>845</v>
      </c>
      <c r="J904" s="470">
        <v>2574</v>
      </c>
      <c r="K904" s="469">
        <v>1.37</v>
      </c>
    </row>
    <row r="905" spans="2:11" x14ac:dyDescent="0.35">
      <c r="B905" s="62">
        <v>17.5</v>
      </c>
      <c r="C905" s="471">
        <v>921</v>
      </c>
      <c r="D905" s="471">
        <v>921</v>
      </c>
      <c r="E905" s="469">
        <v>55.18</v>
      </c>
      <c r="F905" s="469">
        <v>8</v>
      </c>
      <c r="G905" s="469">
        <v>8.3000000000000007</v>
      </c>
      <c r="H905" s="470">
        <v>192</v>
      </c>
      <c r="I905" s="470">
        <v>849</v>
      </c>
      <c r="J905" s="470">
        <v>2480.1</v>
      </c>
      <c r="K905" s="469">
        <v>1.37</v>
      </c>
    </row>
    <row r="906" spans="2:11" x14ac:dyDescent="0.35">
      <c r="B906" s="62">
        <v>17.5</v>
      </c>
      <c r="C906" s="471">
        <v>922</v>
      </c>
      <c r="D906" s="471">
        <v>922</v>
      </c>
      <c r="E906" s="469">
        <v>40.4</v>
      </c>
      <c r="F906" s="469">
        <v>8.4</v>
      </c>
      <c r="G906" s="469">
        <v>7.6</v>
      </c>
      <c r="H906" s="470">
        <v>192</v>
      </c>
      <c r="I906" s="470">
        <v>840</v>
      </c>
      <c r="J906" s="470">
        <v>2380</v>
      </c>
      <c r="K906" s="469">
        <v>1.37</v>
      </c>
    </row>
    <row r="907" spans="2:11" x14ac:dyDescent="0.35">
      <c r="B907" s="62">
        <v>17.5</v>
      </c>
      <c r="C907" s="471">
        <v>923</v>
      </c>
      <c r="D907" s="471">
        <v>923</v>
      </c>
      <c r="E907" s="469">
        <v>72.569999999999993</v>
      </c>
      <c r="F907" s="469">
        <v>5.3</v>
      </c>
      <c r="G907" s="469">
        <v>6.1</v>
      </c>
      <c r="H907" s="470">
        <v>186</v>
      </c>
      <c r="I907" s="470">
        <v>784</v>
      </c>
      <c r="J907" s="470">
        <v>2067.1999999999998</v>
      </c>
      <c r="K907" s="469">
        <v>1.37</v>
      </c>
    </row>
    <row r="908" spans="2:11" x14ac:dyDescent="0.35">
      <c r="B908" s="62">
        <v>17.5</v>
      </c>
      <c r="C908" s="471">
        <v>924</v>
      </c>
      <c r="D908" s="471">
        <v>924</v>
      </c>
      <c r="E908" s="469">
        <v>49.85</v>
      </c>
      <c r="F908" s="469">
        <v>8.5</v>
      </c>
      <c r="G908" s="469">
        <v>7.6</v>
      </c>
      <c r="H908" s="470">
        <v>188</v>
      </c>
      <c r="I908" s="470">
        <v>802</v>
      </c>
      <c r="J908" s="470">
        <v>2265</v>
      </c>
      <c r="K908" s="469">
        <v>1.37</v>
      </c>
    </row>
    <row r="909" spans="2:11" x14ac:dyDescent="0.35">
      <c r="B909" s="62">
        <v>17.5</v>
      </c>
      <c r="C909" s="471">
        <v>925</v>
      </c>
      <c r="D909" s="471">
        <v>925</v>
      </c>
      <c r="E909" s="469">
        <v>53.96</v>
      </c>
      <c r="F909" s="469">
        <v>7.8</v>
      </c>
      <c r="G909" s="469">
        <v>7.5</v>
      </c>
      <c r="H909" s="470">
        <v>188</v>
      </c>
      <c r="I909" s="470">
        <v>810</v>
      </c>
      <c r="J909" s="470">
        <v>2258.1999999999998</v>
      </c>
      <c r="K909" s="469">
        <v>1.37</v>
      </c>
    </row>
    <row r="910" spans="2:11" x14ac:dyDescent="0.35">
      <c r="B910" s="62">
        <v>17.5</v>
      </c>
      <c r="C910" s="471">
        <v>926</v>
      </c>
      <c r="D910" s="471">
        <v>926</v>
      </c>
      <c r="E910" s="469">
        <v>33.340000000000003</v>
      </c>
      <c r="F910" s="469">
        <v>6.2</v>
      </c>
      <c r="G910" s="469">
        <v>5.6</v>
      </c>
      <c r="H910" s="470">
        <v>184</v>
      </c>
      <c r="I910" s="470">
        <v>769</v>
      </c>
      <c r="J910" s="470">
        <v>1888.1</v>
      </c>
      <c r="K910" s="469">
        <v>1.37</v>
      </c>
    </row>
    <row r="911" spans="2:11" x14ac:dyDescent="0.35">
      <c r="B911" s="62">
        <v>17.5</v>
      </c>
      <c r="C911" s="471">
        <v>927</v>
      </c>
      <c r="D911" s="471">
        <v>927</v>
      </c>
      <c r="E911" s="469">
        <v>38.15</v>
      </c>
      <c r="F911" s="469">
        <v>10.1</v>
      </c>
      <c r="G911" s="469">
        <v>8.3000000000000007</v>
      </c>
      <c r="H911" s="470">
        <v>183</v>
      </c>
      <c r="I911" s="470">
        <v>757</v>
      </c>
      <c r="J911" s="470">
        <v>2044.3</v>
      </c>
      <c r="K911" s="469">
        <v>1.37</v>
      </c>
    </row>
    <row r="912" spans="2:11" x14ac:dyDescent="0.35">
      <c r="B912" s="62">
        <v>17.5</v>
      </c>
      <c r="C912" s="471">
        <v>928</v>
      </c>
      <c r="D912" s="471">
        <v>928</v>
      </c>
      <c r="E912" s="469">
        <v>25.09</v>
      </c>
      <c r="F912" s="469">
        <v>10.5</v>
      </c>
      <c r="G912" s="469">
        <v>7.3</v>
      </c>
      <c r="H912" s="470">
        <v>183</v>
      </c>
      <c r="I912" s="470">
        <v>758</v>
      </c>
      <c r="J912" s="470">
        <v>1964.5</v>
      </c>
      <c r="K912" s="469">
        <v>1.37</v>
      </c>
    </row>
    <row r="913" spans="2:11" x14ac:dyDescent="0.35">
      <c r="B913" s="62">
        <v>17.5</v>
      </c>
      <c r="C913" s="471">
        <v>929</v>
      </c>
      <c r="D913" s="471">
        <v>929</v>
      </c>
      <c r="E913" s="469">
        <v>18.190000000000001</v>
      </c>
      <c r="F913" s="469">
        <v>5.7</v>
      </c>
      <c r="G913" s="469">
        <v>5.4</v>
      </c>
      <c r="H913" s="470">
        <v>181</v>
      </c>
      <c r="I913" s="470">
        <v>760</v>
      </c>
      <c r="J913" s="470">
        <v>1767.1</v>
      </c>
      <c r="K913" s="469">
        <v>1.37</v>
      </c>
    </row>
    <row r="914" spans="2:11" x14ac:dyDescent="0.35">
      <c r="B914" s="62">
        <v>17.5</v>
      </c>
      <c r="C914" s="471">
        <v>930</v>
      </c>
      <c r="D914" s="471">
        <v>930</v>
      </c>
      <c r="E914" s="469">
        <v>40.64</v>
      </c>
      <c r="F914" s="469">
        <v>7.3</v>
      </c>
      <c r="G914" s="469">
        <v>7.8</v>
      </c>
      <c r="H914" s="470">
        <v>178</v>
      </c>
      <c r="I914" s="470">
        <v>745</v>
      </c>
      <c r="J914" s="470">
        <v>1957.4</v>
      </c>
      <c r="K914" s="469">
        <v>1.37</v>
      </c>
    </row>
    <row r="915" spans="2:11" x14ac:dyDescent="0.35">
      <c r="B915" s="62">
        <v>17.5</v>
      </c>
      <c r="C915" s="471">
        <v>931</v>
      </c>
      <c r="D915" s="471">
        <v>931</v>
      </c>
      <c r="E915" s="469">
        <v>45.69</v>
      </c>
      <c r="F915" s="469">
        <v>7.5</v>
      </c>
      <c r="G915" s="469">
        <v>7.7</v>
      </c>
      <c r="H915" s="470">
        <v>179</v>
      </c>
      <c r="I915" s="470">
        <v>749</v>
      </c>
      <c r="J915" s="470">
        <v>1946.3</v>
      </c>
      <c r="K915" s="469">
        <v>1.37</v>
      </c>
    </row>
    <row r="916" spans="2:11" x14ac:dyDescent="0.35">
      <c r="B916" s="62">
        <v>17.5</v>
      </c>
      <c r="C916" s="471">
        <v>932</v>
      </c>
      <c r="D916" s="471">
        <v>932</v>
      </c>
      <c r="E916" s="469">
        <v>20.54</v>
      </c>
      <c r="F916" s="469">
        <v>6.2</v>
      </c>
      <c r="G916" s="469">
        <v>5.3</v>
      </c>
      <c r="H916" s="470">
        <v>181</v>
      </c>
      <c r="I916" s="470">
        <v>768</v>
      </c>
      <c r="J916" s="470">
        <v>1830.6</v>
      </c>
      <c r="K916" s="469">
        <v>1.37</v>
      </c>
    </row>
    <row r="917" spans="2:11" x14ac:dyDescent="0.35">
      <c r="B917" s="62">
        <v>17.5</v>
      </c>
      <c r="C917" s="471">
        <v>933</v>
      </c>
      <c r="D917" s="471">
        <v>933</v>
      </c>
      <c r="E917" s="469">
        <v>31.31</v>
      </c>
      <c r="F917" s="469">
        <v>6</v>
      </c>
      <c r="G917" s="469">
        <v>6.4</v>
      </c>
      <c r="H917" s="470">
        <v>185</v>
      </c>
      <c r="I917" s="470">
        <v>806</v>
      </c>
      <c r="J917" s="470">
        <v>2079.5</v>
      </c>
      <c r="K917" s="469">
        <v>1.37</v>
      </c>
    </row>
    <row r="918" spans="2:11" x14ac:dyDescent="0.35">
      <c r="B918" s="62">
        <v>17.5</v>
      </c>
      <c r="C918" s="471">
        <v>934</v>
      </c>
      <c r="D918" s="471">
        <v>934</v>
      </c>
      <c r="E918" s="469">
        <v>24.35</v>
      </c>
      <c r="F918" s="469">
        <v>7.7</v>
      </c>
      <c r="G918" s="469">
        <v>6.6</v>
      </c>
      <c r="H918" s="470">
        <v>185</v>
      </c>
      <c r="I918" s="470">
        <v>804</v>
      </c>
      <c r="J918" s="470">
        <v>2112.4</v>
      </c>
      <c r="K918" s="469">
        <v>1.37</v>
      </c>
    </row>
    <row r="919" spans="2:11" x14ac:dyDescent="0.35">
      <c r="B919" s="62">
        <v>17.5</v>
      </c>
      <c r="C919" s="471">
        <v>935</v>
      </c>
      <c r="D919" s="471">
        <v>935</v>
      </c>
      <c r="E919" s="469">
        <v>28.69</v>
      </c>
      <c r="F919" s="469">
        <v>6.1</v>
      </c>
      <c r="G919" s="469">
        <v>5.9</v>
      </c>
      <c r="H919" s="470">
        <v>191</v>
      </c>
      <c r="I919" s="470">
        <v>868</v>
      </c>
      <c r="J919" s="470">
        <v>2221</v>
      </c>
      <c r="K919" s="469">
        <v>1.39</v>
      </c>
    </row>
    <row r="920" spans="2:11" x14ac:dyDescent="0.35">
      <c r="B920" s="62">
        <v>17.5</v>
      </c>
      <c r="C920" s="471">
        <v>936</v>
      </c>
      <c r="D920" s="471">
        <v>936</v>
      </c>
      <c r="E920" s="469">
        <v>40.64</v>
      </c>
      <c r="F920" s="469">
        <v>7</v>
      </c>
      <c r="G920" s="469">
        <v>7</v>
      </c>
      <c r="H920" s="470">
        <v>196</v>
      </c>
      <c r="I920" s="470">
        <v>913</v>
      </c>
      <c r="J920" s="470">
        <v>2528.4</v>
      </c>
      <c r="K920" s="469">
        <v>1.39</v>
      </c>
    </row>
    <row r="921" spans="2:11" x14ac:dyDescent="0.35">
      <c r="B921" s="62">
        <v>17.5</v>
      </c>
      <c r="C921" s="471">
        <v>937</v>
      </c>
      <c r="D921" s="471">
        <v>937</v>
      </c>
      <c r="E921" s="469">
        <v>56.11</v>
      </c>
      <c r="F921" s="469">
        <v>7.1</v>
      </c>
      <c r="G921" s="469">
        <v>7.6</v>
      </c>
      <c r="H921" s="470">
        <v>196</v>
      </c>
      <c r="I921" s="470">
        <v>915</v>
      </c>
      <c r="J921" s="470">
        <v>2578.8000000000002</v>
      </c>
      <c r="K921" s="469">
        <v>1.39</v>
      </c>
    </row>
    <row r="922" spans="2:11" x14ac:dyDescent="0.35">
      <c r="B922" s="62">
        <v>17.5</v>
      </c>
      <c r="C922" s="471">
        <v>938</v>
      </c>
      <c r="D922" s="471">
        <v>938</v>
      </c>
      <c r="E922" s="469">
        <v>43.21</v>
      </c>
      <c r="F922" s="469">
        <v>6.1</v>
      </c>
      <c r="G922" s="469">
        <v>6</v>
      </c>
      <c r="H922" s="470">
        <v>197</v>
      </c>
      <c r="I922" s="470">
        <v>916</v>
      </c>
      <c r="J922" s="470">
        <v>2487.6</v>
      </c>
      <c r="K922" s="469">
        <v>1.39</v>
      </c>
    </row>
    <row r="923" spans="2:11" x14ac:dyDescent="0.35">
      <c r="B923" s="62">
        <v>17.5</v>
      </c>
      <c r="C923" s="471">
        <v>939</v>
      </c>
      <c r="D923" s="471">
        <v>939</v>
      </c>
      <c r="E923" s="469">
        <v>28.1</v>
      </c>
      <c r="F923" s="469">
        <v>6.1</v>
      </c>
      <c r="G923" s="469">
        <v>6.1</v>
      </c>
      <c r="H923" s="470">
        <v>193</v>
      </c>
      <c r="I923" s="470">
        <v>881</v>
      </c>
      <c r="J923" s="470">
        <v>2349.3000000000002</v>
      </c>
      <c r="K923" s="469">
        <v>1.39</v>
      </c>
    </row>
    <row r="924" spans="2:11" x14ac:dyDescent="0.35">
      <c r="B924" s="62">
        <v>17.5</v>
      </c>
      <c r="C924" s="471">
        <v>940</v>
      </c>
      <c r="D924" s="471">
        <v>940</v>
      </c>
      <c r="E924" s="469">
        <v>43.9</v>
      </c>
      <c r="F924" s="469">
        <v>6.1</v>
      </c>
      <c r="G924" s="469">
        <v>6.9</v>
      </c>
      <c r="H924" s="470">
        <v>190</v>
      </c>
      <c r="I924" s="470">
        <v>856</v>
      </c>
      <c r="J924" s="470">
        <v>2344.6</v>
      </c>
      <c r="K924" s="469">
        <v>1.39</v>
      </c>
    </row>
    <row r="925" spans="2:11" x14ac:dyDescent="0.35">
      <c r="B925" s="62">
        <v>17.5</v>
      </c>
      <c r="C925" s="471">
        <v>941</v>
      </c>
      <c r="D925" s="471">
        <v>941</v>
      </c>
      <c r="E925" s="469">
        <v>50.67</v>
      </c>
      <c r="F925" s="469">
        <v>8.3000000000000007</v>
      </c>
      <c r="G925" s="469">
        <v>8.6</v>
      </c>
      <c r="H925" s="470">
        <v>189</v>
      </c>
      <c r="I925" s="470">
        <v>841</v>
      </c>
      <c r="J925" s="470">
        <v>2435.3000000000002</v>
      </c>
      <c r="K925" s="469">
        <v>1.39</v>
      </c>
    </row>
    <row r="926" spans="2:11" x14ac:dyDescent="0.35">
      <c r="B926" s="62">
        <v>17.5</v>
      </c>
      <c r="C926" s="471">
        <v>942</v>
      </c>
      <c r="D926" s="471">
        <v>942</v>
      </c>
      <c r="E926" s="469">
        <v>53.64</v>
      </c>
      <c r="F926" s="469">
        <v>7.8</v>
      </c>
      <c r="G926" s="469">
        <v>6.9</v>
      </c>
      <c r="H926" s="470">
        <v>189</v>
      </c>
      <c r="I926" s="470">
        <v>845</v>
      </c>
      <c r="J926" s="470">
        <v>2283</v>
      </c>
      <c r="K926" s="469">
        <v>1.39</v>
      </c>
    </row>
    <row r="927" spans="2:11" x14ac:dyDescent="0.35">
      <c r="B927" s="62">
        <v>17.5</v>
      </c>
      <c r="C927" s="471">
        <v>943</v>
      </c>
      <c r="D927" s="471">
        <v>943</v>
      </c>
      <c r="E927" s="469">
        <v>34.299999999999997</v>
      </c>
      <c r="F927" s="469">
        <v>8.1</v>
      </c>
      <c r="G927" s="469">
        <v>7.3</v>
      </c>
      <c r="H927" s="470">
        <v>189</v>
      </c>
      <c r="I927" s="470">
        <v>846</v>
      </c>
      <c r="J927" s="470">
        <v>2336.6999999999998</v>
      </c>
      <c r="K927" s="469">
        <v>1.39</v>
      </c>
    </row>
    <row r="928" spans="2:11" x14ac:dyDescent="0.35">
      <c r="B928" s="62">
        <v>17.5</v>
      </c>
      <c r="C928" s="471">
        <v>944</v>
      </c>
      <c r="D928" s="471">
        <v>944</v>
      </c>
      <c r="E928" s="469">
        <v>37.76</v>
      </c>
      <c r="F928" s="469">
        <v>7.5</v>
      </c>
      <c r="G928" s="469">
        <v>7.2</v>
      </c>
      <c r="H928" s="470">
        <v>189</v>
      </c>
      <c r="I928" s="470">
        <v>846</v>
      </c>
      <c r="J928" s="470">
        <v>2343.6999999999998</v>
      </c>
      <c r="K928" s="469">
        <v>1.39</v>
      </c>
    </row>
    <row r="929" spans="2:11" x14ac:dyDescent="0.35">
      <c r="B929" s="62">
        <v>17.5</v>
      </c>
      <c r="C929" s="471">
        <v>945</v>
      </c>
      <c r="D929" s="471">
        <v>945</v>
      </c>
      <c r="E929" s="469">
        <v>50.87</v>
      </c>
      <c r="F929" s="469">
        <v>8.5</v>
      </c>
      <c r="G929" s="469">
        <v>8.1999999999999993</v>
      </c>
      <c r="H929" s="470">
        <v>189</v>
      </c>
      <c r="I929" s="470">
        <v>844</v>
      </c>
      <c r="J929" s="470">
        <v>2513.6</v>
      </c>
      <c r="K929" s="469">
        <v>1.39</v>
      </c>
    </row>
    <row r="930" spans="2:11" x14ac:dyDescent="0.35">
      <c r="B930" s="62">
        <v>17.5</v>
      </c>
      <c r="C930" s="471">
        <v>946</v>
      </c>
      <c r="D930" s="471">
        <v>946</v>
      </c>
      <c r="E930" s="469">
        <v>62.95</v>
      </c>
      <c r="F930" s="469">
        <v>8.3000000000000007</v>
      </c>
      <c r="G930" s="469">
        <v>8.5</v>
      </c>
      <c r="H930" s="470">
        <v>189</v>
      </c>
      <c r="I930" s="470">
        <v>849</v>
      </c>
      <c r="J930" s="470">
        <v>2574.4</v>
      </c>
      <c r="K930" s="469">
        <v>1.39</v>
      </c>
    </row>
    <row r="931" spans="2:11" x14ac:dyDescent="0.35">
      <c r="B931" s="62">
        <v>17.5</v>
      </c>
      <c r="C931" s="471">
        <v>947</v>
      </c>
      <c r="D931" s="471">
        <v>947</v>
      </c>
      <c r="E931" s="469">
        <v>43.54</v>
      </c>
      <c r="F931" s="469">
        <v>7.8</v>
      </c>
      <c r="G931" s="469">
        <v>7.7</v>
      </c>
      <c r="H931" s="470">
        <v>190</v>
      </c>
      <c r="I931" s="470">
        <v>852</v>
      </c>
      <c r="J931" s="470">
        <v>2461.8000000000002</v>
      </c>
      <c r="K931" s="469">
        <v>1.39</v>
      </c>
    </row>
    <row r="932" spans="2:11" x14ac:dyDescent="0.35">
      <c r="B932" s="62">
        <v>17.5</v>
      </c>
      <c r="C932" s="471">
        <v>948</v>
      </c>
      <c r="D932" s="471">
        <v>948</v>
      </c>
      <c r="E932" s="469">
        <v>31.53</v>
      </c>
      <c r="F932" s="469">
        <v>6.6</v>
      </c>
      <c r="G932" s="469">
        <v>6.9</v>
      </c>
      <c r="H932" s="470">
        <v>190</v>
      </c>
      <c r="I932" s="470">
        <v>859</v>
      </c>
      <c r="J932" s="470">
        <v>2386.3000000000002</v>
      </c>
      <c r="K932" s="469">
        <v>1.39</v>
      </c>
    </row>
    <row r="933" spans="2:11" x14ac:dyDescent="0.35">
      <c r="B933" s="62">
        <v>17.5</v>
      </c>
      <c r="C933" s="471">
        <v>949</v>
      </c>
      <c r="D933" s="471">
        <v>949</v>
      </c>
      <c r="E933" s="469">
        <v>55.5</v>
      </c>
      <c r="F933" s="469">
        <v>8.1999999999999993</v>
      </c>
      <c r="G933" s="469">
        <v>8.1999999999999993</v>
      </c>
      <c r="H933" s="470">
        <v>188</v>
      </c>
      <c r="I933" s="470">
        <v>851</v>
      </c>
      <c r="J933" s="470">
        <v>2554.1999999999998</v>
      </c>
      <c r="K933" s="469">
        <v>1.39</v>
      </c>
    </row>
    <row r="934" spans="2:11" x14ac:dyDescent="0.35">
      <c r="B934" s="62">
        <v>17.5</v>
      </c>
      <c r="C934" s="471">
        <v>950</v>
      </c>
      <c r="D934" s="471">
        <v>950</v>
      </c>
      <c r="E934" s="469">
        <v>60.52</v>
      </c>
      <c r="F934" s="469">
        <v>7.5</v>
      </c>
      <c r="G934" s="469">
        <v>8.1</v>
      </c>
      <c r="H934" s="470">
        <v>190</v>
      </c>
      <c r="I934" s="470">
        <v>852</v>
      </c>
      <c r="J934" s="470">
        <v>2532.4</v>
      </c>
      <c r="K934" s="469">
        <v>1.39</v>
      </c>
    </row>
    <row r="935" spans="2:11" x14ac:dyDescent="0.35">
      <c r="B935" s="62">
        <v>17.5</v>
      </c>
      <c r="C935" s="471">
        <v>951</v>
      </c>
      <c r="D935" s="471">
        <v>951</v>
      </c>
      <c r="E935" s="469">
        <v>59.49</v>
      </c>
      <c r="F935" s="469">
        <v>8.6</v>
      </c>
      <c r="G935" s="469">
        <v>8.4</v>
      </c>
      <c r="H935" s="470">
        <v>190</v>
      </c>
      <c r="I935" s="470">
        <v>849</v>
      </c>
      <c r="J935" s="470">
        <v>2561.9</v>
      </c>
      <c r="K935" s="469">
        <v>1.39</v>
      </c>
    </row>
    <row r="936" spans="2:11" x14ac:dyDescent="0.35">
      <c r="B936" s="62">
        <v>17.5</v>
      </c>
      <c r="C936" s="471">
        <v>952</v>
      </c>
      <c r="D936" s="471">
        <v>952</v>
      </c>
      <c r="E936" s="469">
        <v>61.74</v>
      </c>
      <c r="F936" s="469">
        <v>7.2</v>
      </c>
      <c r="G936" s="469">
        <v>6.8</v>
      </c>
      <c r="H936" s="470">
        <v>190</v>
      </c>
      <c r="I936" s="470">
        <v>853</v>
      </c>
      <c r="J936" s="470">
        <v>2453.9</v>
      </c>
      <c r="K936" s="469">
        <v>1.39</v>
      </c>
    </row>
    <row r="937" spans="2:11" x14ac:dyDescent="0.35">
      <c r="B937" s="62">
        <v>17.5</v>
      </c>
      <c r="C937" s="471">
        <v>953</v>
      </c>
      <c r="D937" s="471">
        <v>953</v>
      </c>
      <c r="E937" s="469">
        <v>56.32</v>
      </c>
      <c r="F937" s="469">
        <v>7.1</v>
      </c>
      <c r="G937" s="469">
        <v>7.8</v>
      </c>
      <c r="H937" s="470">
        <v>190</v>
      </c>
      <c r="I937" s="470">
        <v>854</v>
      </c>
      <c r="J937" s="470">
        <v>2472.6999999999998</v>
      </c>
      <c r="K937" s="469">
        <v>1.39</v>
      </c>
    </row>
    <row r="938" spans="2:11" x14ac:dyDescent="0.35">
      <c r="B938" s="62">
        <v>17.5</v>
      </c>
      <c r="C938" s="471">
        <v>954</v>
      </c>
      <c r="D938" s="471">
        <v>954</v>
      </c>
      <c r="E938" s="469">
        <v>66.959999999999994</v>
      </c>
      <c r="F938" s="469">
        <v>9</v>
      </c>
      <c r="G938" s="469">
        <v>9.3000000000000007</v>
      </c>
      <c r="H938" s="470">
        <v>190</v>
      </c>
      <c r="I938" s="470">
        <v>851</v>
      </c>
      <c r="J938" s="470">
        <v>2585.3000000000002</v>
      </c>
      <c r="K938" s="469">
        <v>1.39</v>
      </c>
    </row>
    <row r="939" spans="2:11" x14ac:dyDescent="0.35">
      <c r="B939" s="62">
        <v>17.5</v>
      </c>
      <c r="C939" s="471">
        <v>955</v>
      </c>
      <c r="D939" s="471">
        <v>955</v>
      </c>
      <c r="E939" s="469">
        <v>49.13</v>
      </c>
      <c r="F939" s="469">
        <v>5.5</v>
      </c>
      <c r="G939" s="469">
        <v>7.5</v>
      </c>
      <c r="H939" s="470">
        <v>190</v>
      </c>
      <c r="I939" s="470">
        <v>853</v>
      </c>
      <c r="J939" s="470">
        <v>2452.1999999999998</v>
      </c>
      <c r="K939" s="469">
        <v>1.39</v>
      </c>
    </row>
    <row r="940" spans="2:11" x14ac:dyDescent="0.35">
      <c r="B940" s="62">
        <v>17.5</v>
      </c>
      <c r="C940" s="471">
        <v>956</v>
      </c>
      <c r="D940" s="471">
        <v>956</v>
      </c>
      <c r="E940" s="469">
        <v>79.489999999999995</v>
      </c>
      <c r="F940" s="469">
        <v>6.6</v>
      </c>
      <c r="G940" s="469">
        <v>7.6</v>
      </c>
      <c r="H940" s="470">
        <v>191</v>
      </c>
      <c r="I940" s="470">
        <v>859</v>
      </c>
      <c r="J940" s="470">
        <v>2479.6999999999998</v>
      </c>
      <c r="K940" s="469">
        <v>1.39</v>
      </c>
    </row>
    <row r="941" spans="2:11" x14ac:dyDescent="0.35">
      <c r="B941" s="62">
        <v>17.5</v>
      </c>
      <c r="C941" s="471">
        <v>957</v>
      </c>
      <c r="D941" s="471">
        <v>957</v>
      </c>
      <c r="E941" s="469">
        <v>56.07</v>
      </c>
      <c r="F941" s="469">
        <v>5.9</v>
      </c>
      <c r="G941" s="469">
        <v>6.2</v>
      </c>
      <c r="H941" s="470">
        <v>191</v>
      </c>
      <c r="I941" s="470">
        <v>861</v>
      </c>
      <c r="J941" s="470">
        <v>2388</v>
      </c>
      <c r="K941" s="469">
        <v>1.4</v>
      </c>
    </row>
    <row r="942" spans="2:11" x14ac:dyDescent="0.35">
      <c r="B942" s="62">
        <v>17.5</v>
      </c>
      <c r="C942" s="471">
        <v>958</v>
      </c>
      <c r="D942" s="471">
        <v>958</v>
      </c>
      <c r="E942" s="469">
        <v>12.81</v>
      </c>
      <c r="F942" s="469">
        <v>5.2</v>
      </c>
      <c r="G942" s="469">
        <v>6</v>
      </c>
      <c r="H942" s="470">
        <v>191</v>
      </c>
      <c r="I942" s="470">
        <v>856</v>
      </c>
      <c r="J942" s="470">
        <v>2355.9</v>
      </c>
      <c r="K942" s="469">
        <v>1.4</v>
      </c>
    </row>
    <row r="943" spans="2:11" x14ac:dyDescent="0.35">
      <c r="B943" s="62">
        <v>17.5</v>
      </c>
      <c r="C943" s="471">
        <v>959</v>
      </c>
      <c r="D943" s="471">
        <v>959</v>
      </c>
      <c r="E943" s="469">
        <v>41.22</v>
      </c>
      <c r="F943" s="469">
        <v>5.5</v>
      </c>
      <c r="G943" s="469">
        <v>7</v>
      </c>
      <c r="H943" s="470">
        <v>191</v>
      </c>
      <c r="I943" s="470">
        <v>850</v>
      </c>
      <c r="J943" s="470">
        <v>2393.6999999999998</v>
      </c>
      <c r="K943" s="469">
        <v>1.4</v>
      </c>
    </row>
    <row r="944" spans="2:11" x14ac:dyDescent="0.35">
      <c r="B944" s="62">
        <v>17.5</v>
      </c>
      <c r="C944" s="471">
        <v>960</v>
      </c>
      <c r="D944" s="471">
        <v>960</v>
      </c>
      <c r="E944" s="469">
        <v>41.03</v>
      </c>
      <c r="F944" s="469">
        <v>5.5</v>
      </c>
      <c r="G944" s="469">
        <v>6.4</v>
      </c>
      <c r="H944" s="470">
        <v>191</v>
      </c>
      <c r="I944" s="470">
        <v>851</v>
      </c>
      <c r="J944" s="470">
        <v>2347.9</v>
      </c>
      <c r="K944" s="469">
        <v>1.4</v>
      </c>
    </row>
    <row r="945" spans="2:11" x14ac:dyDescent="0.35">
      <c r="B945" s="62">
        <v>17.5</v>
      </c>
      <c r="C945" s="471">
        <v>961</v>
      </c>
      <c r="D945" s="471">
        <v>961</v>
      </c>
      <c r="E945" s="469">
        <v>53.08</v>
      </c>
      <c r="F945" s="469">
        <v>6.2</v>
      </c>
      <c r="G945" s="469">
        <v>7.4</v>
      </c>
      <c r="H945" s="470">
        <v>191</v>
      </c>
      <c r="I945" s="470">
        <v>846</v>
      </c>
      <c r="J945" s="470">
        <v>2477.1</v>
      </c>
      <c r="K945" s="469">
        <v>1.4</v>
      </c>
    </row>
    <row r="946" spans="2:11" x14ac:dyDescent="0.35">
      <c r="B946" s="62">
        <v>17.5</v>
      </c>
      <c r="C946" s="471">
        <v>962</v>
      </c>
      <c r="D946" s="471">
        <v>962</v>
      </c>
      <c r="E946" s="469">
        <v>68.239999999999995</v>
      </c>
      <c r="F946" s="469">
        <v>7.5</v>
      </c>
      <c r="G946" s="469">
        <v>9</v>
      </c>
      <c r="H946" s="470">
        <v>190</v>
      </c>
      <c r="I946" s="470">
        <v>843</v>
      </c>
      <c r="J946" s="470">
        <v>2559.8000000000002</v>
      </c>
      <c r="K946" s="469">
        <v>1.4</v>
      </c>
    </row>
    <row r="947" spans="2:11" x14ac:dyDescent="0.35">
      <c r="B947" s="62">
        <v>17.5</v>
      </c>
      <c r="C947" s="471">
        <v>963</v>
      </c>
      <c r="D947" s="471">
        <v>963</v>
      </c>
      <c r="E947" s="469">
        <v>34.159999999999997</v>
      </c>
      <c r="F947" s="469">
        <v>6.1</v>
      </c>
      <c r="G947" s="469">
        <v>6.5</v>
      </c>
      <c r="H947" s="470">
        <v>191</v>
      </c>
      <c r="I947" s="470">
        <v>850</v>
      </c>
      <c r="J947" s="470">
        <v>2349</v>
      </c>
      <c r="K947" s="469">
        <v>1.4</v>
      </c>
    </row>
    <row r="948" spans="2:11" x14ac:dyDescent="0.35">
      <c r="B948" s="62">
        <v>17.5</v>
      </c>
      <c r="C948" s="471">
        <v>964</v>
      </c>
      <c r="D948" s="471">
        <v>964</v>
      </c>
      <c r="E948" s="469">
        <v>63.59</v>
      </c>
      <c r="F948" s="469">
        <v>6.7</v>
      </c>
      <c r="G948" s="469">
        <v>8.9</v>
      </c>
      <c r="H948" s="470">
        <v>191</v>
      </c>
      <c r="I948" s="470">
        <v>847</v>
      </c>
      <c r="J948" s="470">
        <v>2468.9</v>
      </c>
      <c r="K948" s="469">
        <v>1.4</v>
      </c>
    </row>
    <row r="949" spans="2:11" x14ac:dyDescent="0.35">
      <c r="B949" s="62">
        <v>17.5</v>
      </c>
      <c r="C949" s="471">
        <v>965</v>
      </c>
      <c r="D949" s="471">
        <v>965</v>
      </c>
      <c r="E949" s="469">
        <v>35.69</v>
      </c>
      <c r="F949" s="469">
        <v>3.8</v>
      </c>
      <c r="G949" s="469">
        <v>6.2</v>
      </c>
      <c r="H949" s="470">
        <v>191</v>
      </c>
      <c r="I949" s="470">
        <v>854</v>
      </c>
      <c r="J949" s="470">
        <v>2256.8000000000002</v>
      </c>
      <c r="K949" s="469">
        <v>1.4</v>
      </c>
    </row>
    <row r="950" spans="2:11" x14ac:dyDescent="0.35">
      <c r="B950" s="62">
        <v>17.5</v>
      </c>
      <c r="C950" s="471">
        <v>966</v>
      </c>
      <c r="D950" s="471">
        <v>966</v>
      </c>
      <c r="E950" s="469">
        <v>55.5</v>
      </c>
      <c r="F950" s="469">
        <v>6.1</v>
      </c>
      <c r="G950" s="469">
        <v>8.4</v>
      </c>
      <c r="H950" s="470">
        <v>191</v>
      </c>
      <c r="I950" s="470">
        <v>849</v>
      </c>
      <c r="J950" s="470">
        <v>2396.4</v>
      </c>
      <c r="K950" s="469">
        <v>1.4</v>
      </c>
    </row>
    <row r="951" spans="2:11" x14ac:dyDescent="0.35">
      <c r="B951" s="62">
        <v>17.5</v>
      </c>
      <c r="C951" s="471">
        <v>967</v>
      </c>
      <c r="D951" s="471">
        <v>967</v>
      </c>
      <c r="E951" s="469">
        <v>43.95</v>
      </c>
      <c r="F951" s="469">
        <v>7.2</v>
      </c>
      <c r="G951" s="469">
        <v>7.5</v>
      </c>
      <c r="H951" s="470">
        <v>191</v>
      </c>
      <c r="I951" s="470">
        <v>851</v>
      </c>
      <c r="J951" s="470">
        <v>2422.1999999999998</v>
      </c>
      <c r="K951" s="469">
        <v>1.4</v>
      </c>
    </row>
    <row r="952" spans="2:11" x14ac:dyDescent="0.35">
      <c r="B952" s="62">
        <v>17.5</v>
      </c>
      <c r="C952" s="471">
        <v>968</v>
      </c>
      <c r="D952" s="471">
        <v>968</v>
      </c>
      <c r="E952" s="469">
        <v>37.71</v>
      </c>
      <c r="F952" s="469">
        <v>4.3</v>
      </c>
      <c r="G952" s="469">
        <v>6.3</v>
      </c>
      <c r="H952" s="470">
        <v>191</v>
      </c>
      <c r="I952" s="470">
        <v>850</v>
      </c>
      <c r="J952" s="470">
        <v>2314.1</v>
      </c>
      <c r="K952" s="469">
        <v>1.4</v>
      </c>
    </row>
    <row r="953" spans="2:11" x14ac:dyDescent="0.35">
      <c r="B953" s="62">
        <v>17.5</v>
      </c>
      <c r="C953" s="471">
        <v>969</v>
      </c>
      <c r="D953" s="471">
        <v>969</v>
      </c>
      <c r="E953" s="469">
        <v>34.08</v>
      </c>
      <c r="F953" s="469">
        <v>5</v>
      </c>
      <c r="G953" s="469">
        <v>6.5</v>
      </c>
      <c r="H953" s="470">
        <v>191</v>
      </c>
      <c r="I953" s="470">
        <v>850</v>
      </c>
      <c r="J953" s="470">
        <v>2319.3000000000002</v>
      </c>
      <c r="K953" s="469">
        <v>1.4</v>
      </c>
    </row>
    <row r="954" spans="2:11" x14ac:dyDescent="0.35">
      <c r="B954" s="62">
        <v>17.5</v>
      </c>
      <c r="C954" s="471">
        <v>970</v>
      </c>
      <c r="D954" s="471">
        <v>970</v>
      </c>
      <c r="E954" s="469">
        <v>58.5</v>
      </c>
      <c r="F954" s="469">
        <v>4.0999999999999996</v>
      </c>
      <c r="G954" s="469">
        <v>6</v>
      </c>
      <c r="H954" s="470">
        <v>191</v>
      </c>
      <c r="I954" s="470">
        <v>852</v>
      </c>
      <c r="J954" s="470">
        <v>2335.3000000000002</v>
      </c>
      <c r="K954" s="469">
        <v>1.4</v>
      </c>
    </row>
    <row r="955" spans="2:11" x14ac:dyDescent="0.35">
      <c r="B955" s="62">
        <v>17.5</v>
      </c>
      <c r="C955" s="471">
        <v>971</v>
      </c>
      <c r="D955" s="471">
        <v>971</v>
      </c>
      <c r="E955" s="469">
        <v>65.62</v>
      </c>
      <c r="F955" s="469">
        <v>4.5999999999999996</v>
      </c>
      <c r="G955" s="469">
        <v>6.7</v>
      </c>
      <c r="H955" s="470">
        <v>191</v>
      </c>
      <c r="I955" s="470">
        <v>847</v>
      </c>
      <c r="J955" s="470">
        <v>2401</v>
      </c>
      <c r="K955" s="469">
        <v>1.4</v>
      </c>
    </row>
    <row r="956" spans="2:11" x14ac:dyDescent="0.35">
      <c r="B956" s="62">
        <v>17.5</v>
      </c>
      <c r="C956" s="471">
        <v>972</v>
      </c>
      <c r="D956" s="471">
        <v>972</v>
      </c>
      <c r="E956" s="469">
        <v>53.65</v>
      </c>
      <c r="F956" s="469">
        <v>5.4</v>
      </c>
      <c r="G956" s="469">
        <v>6.6</v>
      </c>
      <c r="H956" s="470">
        <v>191</v>
      </c>
      <c r="I956" s="470">
        <v>849</v>
      </c>
      <c r="J956" s="470">
        <v>2381.6999999999998</v>
      </c>
      <c r="K956" s="469">
        <v>1.4</v>
      </c>
    </row>
    <row r="957" spans="2:11" x14ac:dyDescent="0.35">
      <c r="B957" s="62">
        <v>17.5</v>
      </c>
      <c r="C957" s="471">
        <v>973</v>
      </c>
      <c r="D957" s="471">
        <v>973</v>
      </c>
      <c r="E957" s="469">
        <v>41.88</v>
      </c>
      <c r="F957" s="469">
        <v>7.1</v>
      </c>
      <c r="G957" s="469">
        <v>7.8</v>
      </c>
      <c r="H957" s="470">
        <v>190</v>
      </c>
      <c r="I957" s="470">
        <v>846</v>
      </c>
      <c r="J957" s="470">
        <v>2433.5</v>
      </c>
      <c r="K957" s="469">
        <v>1.4</v>
      </c>
    </row>
    <row r="958" spans="2:11" x14ac:dyDescent="0.35">
      <c r="B958" s="62">
        <v>17.5</v>
      </c>
      <c r="C958" s="471">
        <v>974</v>
      </c>
      <c r="D958" s="471">
        <v>974</v>
      </c>
      <c r="E958" s="469">
        <v>43.79</v>
      </c>
      <c r="F958" s="469">
        <v>6.8</v>
      </c>
      <c r="G958" s="469">
        <v>7</v>
      </c>
      <c r="H958" s="470">
        <v>191</v>
      </c>
      <c r="I958" s="470">
        <v>846</v>
      </c>
      <c r="J958" s="470">
        <v>2413.9</v>
      </c>
      <c r="K958" s="469">
        <v>1.4</v>
      </c>
    </row>
    <row r="959" spans="2:11" x14ac:dyDescent="0.35">
      <c r="B959" s="62">
        <v>17.5</v>
      </c>
      <c r="C959" s="471">
        <v>975</v>
      </c>
      <c r="D959" s="471">
        <v>975</v>
      </c>
      <c r="E959" s="469">
        <v>46.19</v>
      </c>
      <c r="F959" s="469">
        <v>4.9000000000000004</v>
      </c>
      <c r="G959" s="469">
        <v>5.9</v>
      </c>
      <c r="H959" s="470">
        <v>191</v>
      </c>
      <c r="I959" s="470">
        <v>851</v>
      </c>
      <c r="J959" s="470">
        <v>2282.1</v>
      </c>
      <c r="K959" s="469">
        <v>1.4</v>
      </c>
    </row>
    <row r="960" spans="2:11" x14ac:dyDescent="0.35">
      <c r="B960" s="62">
        <v>17.5</v>
      </c>
      <c r="C960" s="471">
        <v>976</v>
      </c>
      <c r="D960" s="471">
        <v>976</v>
      </c>
      <c r="E960" s="469">
        <v>49.89</v>
      </c>
      <c r="F960" s="469">
        <v>6</v>
      </c>
      <c r="G960" s="469">
        <v>6.9</v>
      </c>
      <c r="H960" s="470">
        <v>190</v>
      </c>
      <c r="I960" s="470">
        <v>845</v>
      </c>
      <c r="J960" s="470">
        <v>2386.3000000000002</v>
      </c>
      <c r="K960" s="469">
        <v>1.4</v>
      </c>
    </row>
    <row r="961" spans="2:11" x14ac:dyDescent="0.35">
      <c r="B961" s="62">
        <v>17.5</v>
      </c>
      <c r="C961" s="471">
        <v>977</v>
      </c>
      <c r="D961" s="471">
        <v>977</v>
      </c>
      <c r="E961" s="469">
        <v>55.18</v>
      </c>
      <c r="F961" s="469">
        <v>6.3</v>
      </c>
      <c r="G961" s="469">
        <v>7.4</v>
      </c>
      <c r="H961" s="470">
        <v>191</v>
      </c>
      <c r="I961" s="470">
        <v>847</v>
      </c>
      <c r="J961" s="470">
        <v>2426.9</v>
      </c>
      <c r="K961" s="469">
        <v>1.4</v>
      </c>
    </row>
    <row r="962" spans="2:11" x14ac:dyDescent="0.35">
      <c r="B962" s="62">
        <v>17.5</v>
      </c>
      <c r="C962" s="471">
        <v>978</v>
      </c>
      <c r="D962" s="471">
        <v>978</v>
      </c>
      <c r="E962" s="469">
        <v>62.09</v>
      </c>
      <c r="F962" s="469">
        <v>6</v>
      </c>
      <c r="G962" s="469">
        <v>7.5</v>
      </c>
      <c r="H962" s="470">
        <v>191</v>
      </c>
      <c r="I962" s="470">
        <v>850</v>
      </c>
      <c r="J962" s="470">
        <v>2405.6</v>
      </c>
      <c r="K962" s="469">
        <v>1.4</v>
      </c>
    </row>
    <row r="963" spans="2:11" x14ac:dyDescent="0.35">
      <c r="B963" s="62">
        <v>17.5</v>
      </c>
      <c r="C963" s="471">
        <v>979</v>
      </c>
      <c r="D963" s="471">
        <v>979</v>
      </c>
      <c r="E963" s="469">
        <v>61.05</v>
      </c>
      <c r="F963" s="469">
        <v>5.3</v>
      </c>
      <c r="G963" s="469">
        <v>6.5</v>
      </c>
      <c r="H963" s="470">
        <v>191</v>
      </c>
      <c r="I963" s="470">
        <v>847</v>
      </c>
      <c r="J963" s="470">
        <v>2385.4</v>
      </c>
      <c r="K963" s="469">
        <v>1.4</v>
      </c>
    </row>
    <row r="964" spans="2:11" x14ac:dyDescent="0.35">
      <c r="B964" s="62">
        <v>17.5</v>
      </c>
      <c r="C964" s="471">
        <v>980</v>
      </c>
      <c r="D964" s="471">
        <v>980</v>
      </c>
      <c r="E964" s="469">
        <v>61.58</v>
      </c>
      <c r="F964" s="469">
        <v>4.9000000000000004</v>
      </c>
      <c r="G964" s="469">
        <v>6.2</v>
      </c>
      <c r="H964" s="470">
        <v>191</v>
      </c>
      <c r="I964" s="470">
        <v>848</v>
      </c>
      <c r="J964" s="470">
        <v>2335.9</v>
      </c>
      <c r="K964" s="469">
        <v>1.4</v>
      </c>
    </row>
    <row r="965" spans="2:11" x14ac:dyDescent="0.35">
      <c r="B965" s="62">
        <v>17.5</v>
      </c>
      <c r="C965" s="471">
        <v>981</v>
      </c>
      <c r="D965" s="471">
        <v>981</v>
      </c>
      <c r="E965" s="469">
        <v>39.31</v>
      </c>
      <c r="F965" s="469">
        <v>6</v>
      </c>
      <c r="G965" s="469">
        <v>6.9</v>
      </c>
      <c r="H965" s="470">
        <v>191</v>
      </c>
      <c r="I965" s="470">
        <v>849</v>
      </c>
      <c r="J965" s="470">
        <v>2381</v>
      </c>
      <c r="K965" s="469">
        <v>1.4</v>
      </c>
    </row>
    <row r="966" spans="2:11" x14ac:dyDescent="0.35">
      <c r="B966" s="62">
        <v>17.5</v>
      </c>
      <c r="C966" s="471">
        <v>982</v>
      </c>
      <c r="D966" s="471">
        <v>982</v>
      </c>
      <c r="E966" s="469">
        <v>45</v>
      </c>
      <c r="F966" s="469">
        <v>7.4</v>
      </c>
      <c r="G966" s="469">
        <v>8</v>
      </c>
      <c r="H966" s="470">
        <v>190</v>
      </c>
      <c r="I966" s="470">
        <v>845</v>
      </c>
      <c r="J966" s="470">
        <v>2514</v>
      </c>
      <c r="K966" s="469">
        <v>1.4</v>
      </c>
    </row>
    <row r="967" spans="2:11" x14ac:dyDescent="0.35">
      <c r="B967" s="62">
        <v>17.5</v>
      </c>
      <c r="C967" s="471">
        <v>983</v>
      </c>
      <c r="D967" s="471">
        <v>983</v>
      </c>
      <c r="E967" s="469">
        <v>58.79</v>
      </c>
      <c r="F967" s="469">
        <v>6.2</v>
      </c>
      <c r="G967" s="469">
        <v>7.2</v>
      </c>
      <c r="H967" s="470">
        <v>191</v>
      </c>
      <c r="I967" s="470">
        <v>847</v>
      </c>
      <c r="J967" s="470">
        <v>2439.6999999999998</v>
      </c>
      <c r="K967" s="469">
        <v>1.4</v>
      </c>
    </row>
    <row r="968" spans="2:11" x14ac:dyDescent="0.35">
      <c r="B968" s="62">
        <v>17.5</v>
      </c>
      <c r="C968" s="471">
        <v>984</v>
      </c>
      <c r="D968" s="471">
        <v>984</v>
      </c>
      <c r="E968" s="469">
        <v>53.76</v>
      </c>
      <c r="F968" s="469">
        <v>7.2</v>
      </c>
      <c r="G968" s="469">
        <v>8.3000000000000007</v>
      </c>
      <c r="H968" s="470">
        <v>191</v>
      </c>
      <c r="I968" s="470">
        <v>846</v>
      </c>
      <c r="J968" s="470">
        <v>2453.4</v>
      </c>
      <c r="K968" s="469">
        <v>1.41</v>
      </c>
    </row>
    <row r="969" spans="2:11" x14ac:dyDescent="0.35">
      <c r="B969" s="62">
        <v>17.5</v>
      </c>
      <c r="C969" s="471">
        <v>985</v>
      </c>
      <c r="D969" s="471">
        <v>985</v>
      </c>
      <c r="E969" s="469">
        <v>40.42</v>
      </c>
      <c r="F969" s="469">
        <v>6.7</v>
      </c>
      <c r="G969" s="469">
        <v>6.8</v>
      </c>
      <c r="H969" s="470">
        <v>191</v>
      </c>
      <c r="I969" s="470">
        <v>850</v>
      </c>
      <c r="J969" s="470">
        <v>2372</v>
      </c>
      <c r="K969" s="469">
        <v>1.43</v>
      </c>
    </row>
    <row r="970" spans="2:11" x14ac:dyDescent="0.35">
      <c r="B970" s="62">
        <v>17.5</v>
      </c>
      <c r="C970" s="471">
        <v>986</v>
      </c>
      <c r="D970" s="471">
        <v>986</v>
      </c>
      <c r="E970" s="469">
        <v>59.42</v>
      </c>
      <c r="F970" s="469">
        <v>6.9</v>
      </c>
      <c r="G970" s="469">
        <v>8.5</v>
      </c>
      <c r="H970" s="470">
        <v>191</v>
      </c>
      <c r="I970" s="470">
        <v>848</v>
      </c>
      <c r="J970" s="470">
        <v>2415.4</v>
      </c>
      <c r="K970" s="469">
        <v>1.43</v>
      </c>
    </row>
    <row r="971" spans="2:11" x14ac:dyDescent="0.35">
      <c r="B971" s="62">
        <v>17.5</v>
      </c>
      <c r="C971" s="471">
        <v>987</v>
      </c>
      <c r="D971" s="471">
        <v>987</v>
      </c>
      <c r="E971" s="469">
        <v>8.33</v>
      </c>
      <c r="F971" s="469">
        <v>4.4000000000000004</v>
      </c>
      <c r="G971" s="469">
        <v>5.6</v>
      </c>
      <c r="H971" s="470">
        <v>190</v>
      </c>
      <c r="I971" s="470">
        <v>847</v>
      </c>
      <c r="J971" s="470">
        <v>2227.8000000000002</v>
      </c>
      <c r="K971" s="469">
        <v>1.43</v>
      </c>
    </row>
    <row r="972" spans="2:11" x14ac:dyDescent="0.35">
      <c r="B972" s="62">
        <v>17.5</v>
      </c>
      <c r="C972" s="471">
        <v>988</v>
      </c>
      <c r="D972" s="471">
        <v>988</v>
      </c>
      <c r="E972" s="469">
        <v>30.84</v>
      </c>
      <c r="F972" s="469">
        <v>4</v>
      </c>
      <c r="G972" s="469">
        <v>6.1</v>
      </c>
      <c r="H972" s="470">
        <v>189</v>
      </c>
      <c r="I972" s="470">
        <v>841</v>
      </c>
      <c r="J972" s="470">
        <v>2307.9</v>
      </c>
      <c r="K972" s="469">
        <v>1.43</v>
      </c>
    </row>
    <row r="973" spans="2:11" x14ac:dyDescent="0.35">
      <c r="B973" s="62">
        <v>17.5</v>
      </c>
      <c r="C973" s="471">
        <v>989</v>
      </c>
      <c r="D973" s="471">
        <v>989</v>
      </c>
      <c r="E973" s="469">
        <v>30.94</v>
      </c>
      <c r="F973" s="469">
        <v>4.9000000000000004</v>
      </c>
      <c r="G973" s="469">
        <v>6.7</v>
      </c>
      <c r="H973" s="470">
        <v>188</v>
      </c>
      <c r="I973" s="470">
        <v>842</v>
      </c>
      <c r="J973" s="470">
        <v>2313.1999999999998</v>
      </c>
      <c r="K973" s="469">
        <v>1.43</v>
      </c>
    </row>
    <row r="974" spans="2:11" x14ac:dyDescent="0.35">
      <c r="B974" s="62">
        <v>17.5</v>
      </c>
      <c r="C974" s="471">
        <v>990</v>
      </c>
      <c r="D974" s="471">
        <v>990</v>
      </c>
      <c r="E974" s="469">
        <v>46.36</v>
      </c>
      <c r="F974" s="469">
        <v>5.7</v>
      </c>
      <c r="G974" s="469">
        <v>7.2</v>
      </c>
      <c r="H974" s="470">
        <v>189</v>
      </c>
      <c r="I974" s="470">
        <v>835</v>
      </c>
      <c r="J974" s="470">
        <v>2703.2</v>
      </c>
      <c r="K974" s="469">
        <v>1.43</v>
      </c>
    </row>
    <row r="975" spans="2:11" x14ac:dyDescent="0.35">
      <c r="B975" s="62">
        <v>17.5</v>
      </c>
      <c r="C975" s="471">
        <v>991</v>
      </c>
      <c r="D975" s="471">
        <v>991</v>
      </c>
      <c r="E975" s="469">
        <v>36.21</v>
      </c>
      <c r="F975" s="469">
        <v>6</v>
      </c>
      <c r="G975" s="469">
        <v>7.2</v>
      </c>
      <c r="H975" s="470">
        <v>189</v>
      </c>
      <c r="I975" s="470">
        <v>833</v>
      </c>
      <c r="J975" s="470">
        <v>2673.4</v>
      </c>
      <c r="K975" s="469">
        <v>1.43</v>
      </c>
    </row>
    <row r="976" spans="2:11" x14ac:dyDescent="0.35">
      <c r="B976" s="62">
        <v>17.5</v>
      </c>
      <c r="C976" s="471">
        <v>992</v>
      </c>
      <c r="D976" s="471">
        <v>992</v>
      </c>
      <c r="E976" s="469">
        <v>50.17</v>
      </c>
      <c r="F976" s="469">
        <v>6.6</v>
      </c>
      <c r="G976" s="469">
        <v>7.8</v>
      </c>
      <c r="H976" s="470">
        <v>189</v>
      </c>
      <c r="I976" s="470">
        <v>833</v>
      </c>
      <c r="J976" s="470">
        <v>2731.3</v>
      </c>
      <c r="K976" s="469">
        <v>1.43</v>
      </c>
    </row>
    <row r="977" spans="2:11" x14ac:dyDescent="0.35">
      <c r="B977" s="62">
        <v>17.5</v>
      </c>
      <c r="C977" s="471">
        <v>993</v>
      </c>
      <c r="D977" s="471">
        <v>993</v>
      </c>
      <c r="E977" s="469">
        <v>48.98</v>
      </c>
      <c r="F977" s="469">
        <v>7.4</v>
      </c>
      <c r="G977" s="469">
        <v>9.3000000000000007</v>
      </c>
      <c r="H977" s="470">
        <v>189</v>
      </c>
      <c r="I977" s="470">
        <v>834</v>
      </c>
      <c r="J977" s="470">
        <v>2813.7</v>
      </c>
      <c r="K977" s="469">
        <v>1.45</v>
      </c>
    </row>
    <row r="978" spans="2:11" x14ac:dyDescent="0.35">
      <c r="B978" s="62">
        <v>17.5</v>
      </c>
      <c r="C978" s="471">
        <v>994</v>
      </c>
      <c r="D978" s="471">
        <v>994</v>
      </c>
      <c r="E978" s="469">
        <v>36.96</v>
      </c>
      <c r="F978" s="469">
        <v>5</v>
      </c>
      <c r="G978" s="469">
        <v>5.9</v>
      </c>
      <c r="H978" s="470">
        <v>189</v>
      </c>
      <c r="I978" s="470">
        <v>833</v>
      </c>
      <c r="J978" s="470">
        <v>2632.6</v>
      </c>
      <c r="K978" s="469">
        <v>1.45</v>
      </c>
    </row>
    <row r="979" spans="2:11" x14ac:dyDescent="0.35">
      <c r="B979" s="62">
        <v>17.5</v>
      </c>
      <c r="C979" s="471">
        <v>995</v>
      </c>
      <c r="D979" s="471">
        <v>995</v>
      </c>
      <c r="E979" s="469">
        <v>54.5</v>
      </c>
      <c r="F979" s="469">
        <v>7.3</v>
      </c>
      <c r="G979" s="469">
        <v>9.6</v>
      </c>
      <c r="H979" s="470">
        <v>188</v>
      </c>
      <c r="I979" s="470">
        <v>830</v>
      </c>
      <c r="J979" s="470">
        <v>2825.1</v>
      </c>
      <c r="K979" s="469">
        <v>1.45</v>
      </c>
    </row>
    <row r="980" spans="2:11" x14ac:dyDescent="0.35">
      <c r="B980" s="62">
        <v>17.5</v>
      </c>
      <c r="C980" s="471">
        <v>996</v>
      </c>
      <c r="D980" s="471">
        <v>996</v>
      </c>
      <c r="E980" s="469">
        <v>50.34</v>
      </c>
      <c r="F980" s="469">
        <v>6.6</v>
      </c>
      <c r="G980" s="469">
        <v>9.1</v>
      </c>
      <c r="H980" s="470">
        <v>189</v>
      </c>
      <c r="I980" s="470">
        <v>834</v>
      </c>
      <c r="J980" s="470">
        <v>2745.5</v>
      </c>
      <c r="K980" s="469">
        <v>1.45</v>
      </c>
    </row>
    <row r="981" spans="2:11" x14ac:dyDescent="0.35">
      <c r="B981" s="62">
        <v>17.5</v>
      </c>
      <c r="C981" s="471">
        <v>997</v>
      </c>
      <c r="D981" s="471">
        <v>997</v>
      </c>
      <c r="E981" s="469">
        <v>49.31</v>
      </c>
      <c r="F981" s="469">
        <v>6.6</v>
      </c>
      <c r="G981" s="469">
        <v>7.2</v>
      </c>
      <c r="H981" s="470">
        <v>188</v>
      </c>
      <c r="I981" s="470">
        <v>830</v>
      </c>
      <c r="J981" s="470">
        <v>2711.1</v>
      </c>
      <c r="K981" s="469">
        <v>1.45</v>
      </c>
    </row>
    <row r="982" spans="2:11" x14ac:dyDescent="0.35">
      <c r="B982" s="62">
        <v>17.5</v>
      </c>
      <c r="C982" s="471">
        <v>998</v>
      </c>
      <c r="D982" s="471">
        <v>998</v>
      </c>
      <c r="E982" s="469">
        <v>65.3</v>
      </c>
      <c r="F982" s="469">
        <v>5.9</v>
      </c>
      <c r="G982" s="469">
        <v>8</v>
      </c>
      <c r="H982" s="470">
        <v>188</v>
      </c>
      <c r="I982" s="470">
        <v>831</v>
      </c>
      <c r="J982" s="470">
        <v>2776.3</v>
      </c>
      <c r="K982" s="469">
        <v>1.45</v>
      </c>
    </row>
    <row r="983" spans="2:11" x14ac:dyDescent="0.35">
      <c r="B983" s="62">
        <v>17.5</v>
      </c>
      <c r="C983" s="471">
        <v>999</v>
      </c>
      <c r="D983" s="471">
        <v>999</v>
      </c>
      <c r="E983" s="469">
        <v>51.4</v>
      </c>
      <c r="F983" s="469">
        <v>5.3</v>
      </c>
      <c r="G983" s="469">
        <v>6.8</v>
      </c>
      <c r="H983" s="470">
        <v>188</v>
      </c>
      <c r="I983" s="470">
        <v>832</v>
      </c>
      <c r="J983" s="470">
        <v>2706.1</v>
      </c>
      <c r="K983" s="469">
        <v>1.45</v>
      </c>
    </row>
    <row r="984" spans="2:11" x14ac:dyDescent="0.35">
      <c r="B984" s="62">
        <v>17.5</v>
      </c>
      <c r="C984" s="471">
        <v>1000</v>
      </c>
      <c r="D984" s="471">
        <v>1000</v>
      </c>
      <c r="E984" s="469">
        <v>65.12</v>
      </c>
      <c r="F984" s="469">
        <v>5.6</v>
      </c>
      <c r="G984" s="469">
        <v>7.3</v>
      </c>
      <c r="H984" s="470">
        <v>189</v>
      </c>
      <c r="I984" s="470">
        <v>832</v>
      </c>
      <c r="J984" s="470">
        <v>2768.1</v>
      </c>
      <c r="K984" s="469">
        <v>1.45</v>
      </c>
    </row>
    <row r="985" spans="2:11" x14ac:dyDescent="0.35">
      <c r="B985" s="62">
        <v>17.5</v>
      </c>
      <c r="C985" s="471">
        <v>1001</v>
      </c>
      <c r="D985" s="471">
        <v>1001</v>
      </c>
      <c r="E985" s="469">
        <v>58.14</v>
      </c>
      <c r="F985" s="469">
        <v>5.6</v>
      </c>
      <c r="G985" s="469">
        <v>7.2</v>
      </c>
      <c r="H985" s="470">
        <v>188</v>
      </c>
      <c r="I985" s="470">
        <v>832</v>
      </c>
      <c r="J985" s="470">
        <v>2734.6</v>
      </c>
      <c r="K985" s="469">
        <v>1.45</v>
      </c>
    </row>
    <row r="986" spans="2:11" x14ac:dyDescent="0.35">
      <c r="B986" s="62">
        <v>17.5</v>
      </c>
      <c r="C986" s="471">
        <v>1002</v>
      </c>
      <c r="D986" s="471">
        <v>1002</v>
      </c>
      <c r="E986" s="469">
        <v>54</v>
      </c>
      <c r="F986" s="469">
        <v>6.8</v>
      </c>
      <c r="G986" s="469">
        <v>7.6</v>
      </c>
      <c r="H986" s="470">
        <v>188</v>
      </c>
      <c r="I986" s="470">
        <v>830</v>
      </c>
      <c r="J986" s="470">
        <v>2823.2</v>
      </c>
      <c r="K986" s="469">
        <v>1.45</v>
      </c>
    </row>
    <row r="987" spans="2:11" x14ac:dyDescent="0.35">
      <c r="B987" s="62">
        <v>17.5</v>
      </c>
      <c r="C987" s="471">
        <v>1003</v>
      </c>
      <c r="D987" s="471">
        <v>1003</v>
      </c>
      <c r="E987" s="469">
        <v>65.41</v>
      </c>
      <c r="F987" s="469">
        <v>7.5</v>
      </c>
      <c r="G987" s="469">
        <v>9</v>
      </c>
      <c r="H987" s="470">
        <v>188</v>
      </c>
      <c r="I987" s="470">
        <v>824</v>
      </c>
      <c r="J987" s="470">
        <v>2887.2</v>
      </c>
      <c r="K987" s="469">
        <v>1.45</v>
      </c>
    </row>
    <row r="988" spans="2:11" x14ac:dyDescent="0.35">
      <c r="B988" s="62">
        <v>17.5</v>
      </c>
      <c r="C988" s="471">
        <v>1004</v>
      </c>
      <c r="D988" s="471">
        <v>1004</v>
      </c>
      <c r="E988" s="469">
        <v>58.46</v>
      </c>
      <c r="F988" s="469">
        <v>6.5</v>
      </c>
      <c r="G988" s="469">
        <v>8.1</v>
      </c>
      <c r="H988" s="470">
        <v>188</v>
      </c>
      <c r="I988" s="470">
        <v>829</v>
      </c>
      <c r="J988" s="470">
        <v>2812.3</v>
      </c>
      <c r="K988" s="469">
        <v>1.45</v>
      </c>
    </row>
    <row r="989" spans="2:11" x14ac:dyDescent="0.35">
      <c r="B989" s="62">
        <v>17.5</v>
      </c>
      <c r="C989" s="471">
        <v>1005</v>
      </c>
      <c r="D989" s="471">
        <v>1005</v>
      </c>
      <c r="E989" s="469">
        <v>69.95</v>
      </c>
      <c r="F989" s="469">
        <v>6.1</v>
      </c>
      <c r="G989" s="469">
        <v>8.1</v>
      </c>
      <c r="H989" s="470">
        <v>188</v>
      </c>
      <c r="I989" s="470">
        <v>828</v>
      </c>
      <c r="J989" s="470">
        <v>2802.6</v>
      </c>
      <c r="K989" s="469">
        <v>1.45</v>
      </c>
    </row>
    <row r="990" spans="2:11" x14ac:dyDescent="0.35">
      <c r="B990" s="62">
        <v>17.5</v>
      </c>
      <c r="C990" s="471">
        <v>1006</v>
      </c>
      <c r="D990" s="471">
        <v>1006</v>
      </c>
      <c r="E990" s="469">
        <v>44.02</v>
      </c>
      <c r="F990" s="469">
        <v>4.5999999999999996</v>
      </c>
      <c r="G990" s="469">
        <v>6.7</v>
      </c>
      <c r="H990" s="470">
        <v>189</v>
      </c>
      <c r="I990" s="470">
        <v>834</v>
      </c>
      <c r="J990" s="470">
        <v>2656</v>
      </c>
      <c r="K990" s="469">
        <v>1.45</v>
      </c>
    </row>
    <row r="991" spans="2:11" x14ac:dyDescent="0.35">
      <c r="B991" s="62">
        <v>17.5</v>
      </c>
      <c r="C991" s="471">
        <v>1007</v>
      </c>
      <c r="D991" s="471">
        <v>1007</v>
      </c>
      <c r="E991" s="469">
        <v>41.89</v>
      </c>
      <c r="F991" s="469">
        <v>5.4</v>
      </c>
      <c r="G991" s="469">
        <v>5.5</v>
      </c>
      <c r="H991" s="470">
        <v>189</v>
      </c>
      <c r="I991" s="470">
        <v>834</v>
      </c>
      <c r="J991" s="470">
        <v>2621</v>
      </c>
      <c r="K991" s="469">
        <v>1.45</v>
      </c>
    </row>
    <row r="992" spans="2:11" x14ac:dyDescent="0.35">
      <c r="B992" s="62">
        <v>17.5</v>
      </c>
      <c r="C992" s="471">
        <v>1008</v>
      </c>
      <c r="D992" s="471">
        <v>1008</v>
      </c>
      <c r="E992" s="469">
        <v>34.65</v>
      </c>
      <c r="F992" s="469">
        <v>5.8</v>
      </c>
      <c r="G992" s="469">
        <v>6.6</v>
      </c>
      <c r="H992" s="470">
        <v>189</v>
      </c>
      <c r="I992" s="470">
        <v>834</v>
      </c>
      <c r="J992" s="470">
        <v>2660.2</v>
      </c>
      <c r="K992" s="469">
        <v>1.45</v>
      </c>
    </row>
    <row r="993" spans="2:11" x14ac:dyDescent="0.35">
      <c r="B993" s="62">
        <v>17.5</v>
      </c>
      <c r="C993" s="471">
        <v>1009</v>
      </c>
      <c r="D993" s="471">
        <v>1009</v>
      </c>
      <c r="E993" s="469">
        <v>52.53</v>
      </c>
      <c r="F993" s="469">
        <v>8</v>
      </c>
      <c r="G993" s="469">
        <v>7.8</v>
      </c>
      <c r="H993" s="470">
        <v>188</v>
      </c>
      <c r="I993" s="470">
        <v>828</v>
      </c>
      <c r="J993" s="470">
        <v>2821.6</v>
      </c>
      <c r="K993" s="469">
        <v>1.45</v>
      </c>
    </row>
    <row r="994" spans="2:11" x14ac:dyDescent="0.35">
      <c r="B994" s="62">
        <v>17.5</v>
      </c>
      <c r="C994" s="471">
        <v>1010</v>
      </c>
      <c r="D994" s="471">
        <v>1010</v>
      </c>
      <c r="E994" s="469">
        <v>47.46</v>
      </c>
      <c r="F994" s="469">
        <v>7.7</v>
      </c>
      <c r="G994" s="469">
        <v>8.6</v>
      </c>
      <c r="H994" s="470">
        <v>188</v>
      </c>
      <c r="I994" s="470">
        <v>828</v>
      </c>
      <c r="J994" s="470">
        <v>2818.9</v>
      </c>
      <c r="K994" s="469">
        <v>1.45</v>
      </c>
    </row>
    <row r="995" spans="2:11" x14ac:dyDescent="0.35">
      <c r="B995" s="62">
        <v>17.5</v>
      </c>
      <c r="C995" s="471">
        <v>1011</v>
      </c>
      <c r="D995" s="471">
        <v>1011</v>
      </c>
      <c r="E995" s="469">
        <v>54.5</v>
      </c>
      <c r="F995" s="469">
        <v>7.1</v>
      </c>
      <c r="G995" s="469">
        <v>8.1999999999999993</v>
      </c>
      <c r="H995" s="470">
        <v>188</v>
      </c>
      <c r="I995" s="470">
        <v>831</v>
      </c>
      <c r="J995" s="470">
        <v>2827.7</v>
      </c>
      <c r="K995" s="469">
        <v>1.45</v>
      </c>
    </row>
    <row r="996" spans="2:11" x14ac:dyDescent="0.35">
      <c r="B996" s="62">
        <v>17.5</v>
      </c>
      <c r="C996" s="471">
        <v>1012</v>
      </c>
      <c r="D996" s="471">
        <v>1012</v>
      </c>
      <c r="E996" s="469">
        <v>43.6</v>
      </c>
      <c r="F996" s="469">
        <v>7.2</v>
      </c>
      <c r="G996" s="469">
        <v>6.9</v>
      </c>
      <c r="H996" s="470">
        <v>188</v>
      </c>
      <c r="I996" s="470">
        <v>830</v>
      </c>
      <c r="J996" s="470">
        <v>2716.6</v>
      </c>
      <c r="K996" s="469">
        <v>1.45</v>
      </c>
    </row>
    <row r="997" spans="2:11" x14ac:dyDescent="0.35">
      <c r="B997" s="62">
        <v>17.5</v>
      </c>
      <c r="C997" s="471">
        <v>1013</v>
      </c>
      <c r="D997" s="471">
        <v>1013</v>
      </c>
      <c r="E997" s="469">
        <v>50.5</v>
      </c>
      <c r="F997" s="469">
        <v>7.2</v>
      </c>
      <c r="G997" s="469">
        <v>7.9</v>
      </c>
      <c r="H997" s="470">
        <v>188</v>
      </c>
      <c r="I997" s="470">
        <v>828</v>
      </c>
      <c r="J997" s="470">
        <v>2776.9</v>
      </c>
      <c r="K997" s="469">
        <v>1.45</v>
      </c>
    </row>
    <row r="998" spans="2:11" x14ac:dyDescent="0.35">
      <c r="B998" s="62">
        <v>17.5</v>
      </c>
      <c r="C998" s="471">
        <v>1014</v>
      </c>
      <c r="D998" s="471">
        <v>1014</v>
      </c>
      <c r="E998" s="469">
        <v>56.29</v>
      </c>
      <c r="F998" s="469">
        <v>5.0999999999999996</v>
      </c>
      <c r="G998" s="469">
        <v>5.7</v>
      </c>
      <c r="H998" s="470">
        <v>189</v>
      </c>
      <c r="I998" s="470">
        <v>833</v>
      </c>
      <c r="J998" s="470">
        <v>2637.4</v>
      </c>
      <c r="K998" s="469">
        <v>1.45</v>
      </c>
    </row>
    <row r="999" spans="2:11" x14ac:dyDescent="0.35">
      <c r="B999" s="62">
        <v>17.5</v>
      </c>
      <c r="C999" s="471">
        <v>1015</v>
      </c>
      <c r="D999" s="471">
        <v>1015</v>
      </c>
      <c r="E999" s="469">
        <v>43.54</v>
      </c>
      <c r="F999" s="469">
        <v>3.6</v>
      </c>
      <c r="G999" s="469">
        <v>4.5</v>
      </c>
      <c r="H999" s="470">
        <v>189</v>
      </c>
      <c r="I999" s="470">
        <v>833</v>
      </c>
      <c r="J999" s="470">
        <v>2523.1999999999998</v>
      </c>
      <c r="K999" s="469">
        <v>1.45</v>
      </c>
    </row>
    <row r="1000" spans="2:11" x14ac:dyDescent="0.35">
      <c r="B1000" s="62">
        <v>17.5</v>
      </c>
      <c r="C1000" s="471">
        <v>1016</v>
      </c>
      <c r="D1000" s="471">
        <v>1016</v>
      </c>
      <c r="E1000" s="469">
        <v>32</v>
      </c>
      <c r="F1000" s="469">
        <v>1.8</v>
      </c>
      <c r="G1000" s="469">
        <v>4.9000000000000004</v>
      </c>
      <c r="H1000" s="470">
        <v>185</v>
      </c>
      <c r="I1000" s="470">
        <v>816</v>
      </c>
      <c r="J1000" s="470">
        <v>2511.9</v>
      </c>
      <c r="K1000" s="469">
        <v>1.45</v>
      </c>
    </row>
    <row r="1001" spans="2:11" x14ac:dyDescent="0.35">
      <c r="B1001" s="62">
        <v>17.5</v>
      </c>
      <c r="C1001" s="471">
        <v>1017</v>
      </c>
      <c r="D1001" s="471">
        <v>1017</v>
      </c>
      <c r="E1001" s="469">
        <v>54.42</v>
      </c>
      <c r="F1001" s="469">
        <v>3.9</v>
      </c>
      <c r="G1001" s="469">
        <v>6.4</v>
      </c>
      <c r="H1001" s="470">
        <v>185</v>
      </c>
      <c r="I1001" s="470">
        <v>808</v>
      </c>
      <c r="J1001" s="470">
        <v>2609.1999999999998</v>
      </c>
      <c r="K1001" s="469">
        <v>1.45</v>
      </c>
    </row>
    <row r="1002" spans="2:11" x14ac:dyDescent="0.35">
      <c r="B1002" s="62">
        <v>17.5</v>
      </c>
      <c r="C1002" s="471">
        <v>1018</v>
      </c>
      <c r="D1002" s="471">
        <v>1018</v>
      </c>
      <c r="E1002" s="469">
        <v>59.14</v>
      </c>
      <c r="F1002" s="469">
        <v>3.5</v>
      </c>
      <c r="G1002" s="469">
        <v>5.9</v>
      </c>
      <c r="H1002" s="470">
        <v>185</v>
      </c>
      <c r="I1002" s="470">
        <v>807</v>
      </c>
      <c r="J1002" s="470">
        <v>2600.9</v>
      </c>
      <c r="K1002" s="469">
        <v>1.45</v>
      </c>
    </row>
    <row r="1003" spans="2:11" x14ac:dyDescent="0.35">
      <c r="B1003" s="62">
        <v>17.5</v>
      </c>
      <c r="C1003" s="471">
        <v>1019</v>
      </c>
      <c r="D1003" s="471">
        <v>1019</v>
      </c>
      <c r="E1003" s="469">
        <v>43.17</v>
      </c>
      <c r="F1003" s="469">
        <v>8.1999999999999993</v>
      </c>
      <c r="G1003" s="469">
        <v>8.1999999999999993</v>
      </c>
      <c r="H1003" s="470">
        <v>185</v>
      </c>
      <c r="I1003" s="470">
        <v>808</v>
      </c>
      <c r="J1003" s="470">
        <v>2754.5</v>
      </c>
      <c r="K1003" s="469">
        <v>1.45</v>
      </c>
    </row>
    <row r="1004" spans="2:11" x14ac:dyDescent="0.35">
      <c r="B1004" s="62">
        <v>17.5</v>
      </c>
      <c r="C1004" s="471">
        <v>1020</v>
      </c>
      <c r="D1004" s="471">
        <v>1020</v>
      </c>
      <c r="E1004" s="469">
        <v>45.59</v>
      </c>
      <c r="F1004" s="469">
        <v>7.4</v>
      </c>
      <c r="G1004" s="469">
        <v>8.4</v>
      </c>
      <c r="H1004" s="470">
        <v>184</v>
      </c>
      <c r="I1004" s="470">
        <v>806</v>
      </c>
      <c r="J1004" s="470">
        <v>2742.6</v>
      </c>
      <c r="K1004" s="469">
        <v>1.45</v>
      </c>
    </row>
    <row r="1005" spans="2:11" x14ac:dyDescent="0.35">
      <c r="B1005" s="62">
        <v>17.5</v>
      </c>
      <c r="C1005" s="471">
        <v>1021</v>
      </c>
      <c r="D1005" s="471">
        <v>1021</v>
      </c>
      <c r="E1005" s="469">
        <v>48.75</v>
      </c>
      <c r="F1005" s="469">
        <v>6.1</v>
      </c>
      <c r="G1005" s="469">
        <v>7.9</v>
      </c>
      <c r="H1005" s="470">
        <v>184</v>
      </c>
      <c r="I1005" s="470">
        <v>807</v>
      </c>
      <c r="J1005" s="470">
        <v>2719.5</v>
      </c>
      <c r="K1005" s="469">
        <v>1.45</v>
      </c>
    </row>
    <row r="1006" spans="2:11" x14ac:dyDescent="0.35">
      <c r="B1006" s="62">
        <v>17.5</v>
      </c>
      <c r="C1006" s="471">
        <v>1022</v>
      </c>
      <c r="D1006" s="471">
        <v>1022</v>
      </c>
      <c r="E1006" s="469">
        <v>46.96</v>
      </c>
      <c r="F1006" s="469">
        <v>6.9</v>
      </c>
      <c r="G1006" s="469">
        <v>7.2</v>
      </c>
      <c r="H1006" s="470">
        <v>185</v>
      </c>
      <c r="I1006" s="470">
        <v>809</v>
      </c>
      <c r="J1006" s="470">
        <v>2712.8</v>
      </c>
      <c r="K1006" s="469">
        <v>1.45</v>
      </c>
    </row>
    <row r="1007" spans="2:11" x14ac:dyDescent="0.35">
      <c r="B1007" s="62">
        <v>17.5</v>
      </c>
      <c r="C1007" s="471">
        <v>1023</v>
      </c>
      <c r="D1007" s="471">
        <v>1023</v>
      </c>
      <c r="E1007" s="469">
        <v>46.08</v>
      </c>
      <c r="F1007" s="469">
        <v>10.199999999999999</v>
      </c>
      <c r="G1007" s="469">
        <v>9.8000000000000007</v>
      </c>
      <c r="H1007" s="470">
        <v>183</v>
      </c>
      <c r="I1007" s="470">
        <v>807</v>
      </c>
      <c r="J1007" s="470">
        <v>2867.5</v>
      </c>
      <c r="K1007" s="469">
        <v>1.45</v>
      </c>
    </row>
    <row r="1008" spans="2:11" x14ac:dyDescent="0.35">
      <c r="B1008" s="62">
        <v>17.5</v>
      </c>
      <c r="C1008" s="471">
        <v>1024</v>
      </c>
      <c r="D1008" s="471">
        <v>1024</v>
      </c>
      <c r="E1008" s="469">
        <v>39.369999999999997</v>
      </c>
      <c r="F1008" s="469">
        <v>10.6</v>
      </c>
      <c r="G1008" s="469">
        <v>8.5</v>
      </c>
      <c r="H1008" s="470">
        <v>184</v>
      </c>
      <c r="I1008" s="470">
        <v>806</v>
      </c>
      <c r="J1008" s="470">
        <v>2833.8</v>
      </c>
      <c r="K1008" s="469">
        <v>1.45</v>
      </c>
    </row>
    <row r="1009" spans="2:11" x14ac:dyDescent="0.35">
      <c r="B1009" s="62">
        <v>17.5</v>
      </c>
      <c r="C1009" s="471">
        <v>1025</v>
      </c>
      <c r="D1009" s="471">
        <v>1025</v>
      </c>
      <c r="E1009" s="469">
        <v>35.270000000000003</v>
      </c>
      <c r="F1009" s="469">
        <v>8.4</v>
      </c>
      <c r="G1009" s="469">
        <v>8.1</v>
      </c>
      <c r="H1009" s="470">
        <v>184</v>
      </c>
      <c r="I1009" s="470">
        <v>805</v>
      </c>
      <c r="J1009" s="470">
        <v>2744.8</v>
      </c>
      <c r="K1009" s="469">
        <v>1.45</v>
      </c>
    </row>
    <row r="1010" spans="2:11" x14ac:dyDescent="0.35">
      <c r="B1010" s="62">
        <v>17.5</v>
      </c>
      <c r="C1010" s="471">
        <v>1026</v>
      </c>
      <c r="D1010" s="471">
        <v>1026</v>
      </c>
      <c r="E1010" s="469">
        <v>47.4</v>
      </c>
      <c r="F1010" s="469">
        <v>7.7</v>
      </c>
      <c r="G1010" s="469">
        <v>9.1999999999999993</v>
      </c>
      <c r="H1010" s="470">
        <v>184</v>
      </c>
      <c r="I1010" s="470">
        <v>806</v>
      </c>
      <c r="J1010" s="470">
        <v>2777.8</v>
      </c>
      <c r="K1010" s="469">
        <v>1.45</v>
      </c>
    </row>
    <row r="1011" spans="2:11" x14ac:dyDescent="0.35">
      <c r="B1011" s="62">
        <v>17.5</v>
      </c>
      <c r="C1011" s="471">
        <v>1027</v>
      </c>
      <c r="D1011" s="471">
        <v>1027</v>
      </c>
      <c r="E1011" s="469">
        <v>71.540000000000006</v>
      </c>
      <c r="F1011" s="469">
        <v>7.3</v>
      </c>
      <c r="G1011" s="469">
        <v>9.6999999999999993</v>
      </c>
      <c r="H1011" s="470">
        <v>185</v>
      </c>
      <c r="I1011" s="470">
        <v>807</v>
      </c>
      <c r="J1011" s="470">
        <v>2874.1</v>
      </c>
      <c r="K1011" s="469">
        <v>1.45</v>
      </c>
    </row>
    <row r="1012" spans="2:11" x14ac:dyDescent="0.35">
      <c r="B1012" s="62">
        <v>17.5</v>
      </c>
      <c r="C1012" s="471">
        <v>1028</v>
      </c>
      <c r="D1012" s="471">
        <v>1028</v>
      </c>
      <c r="E1012" s="469">
        <v>47.45</v>
      </c>
      <c r="F1012" s="469">
        <v>4.7</v>
      </c>
      <c r="G1012" s="469">
        <v>7.3</v>
      </c>
      <c r="H1012" s="470">
        <v>185</v>
      </c>
      <c r="I1012" s="470">
        <v>810</v>
      </c>
      <c r="J1012" s="470">
        <v>2669.1</v>
      </c>
      <c r="K1012" s="469">
        <v>1.45</v>
      </c>
    </row>
    <row r="1013" spans="2:11" x14ac:dyDescent="0.35">
      <c r="B1013" s="62">
        <v>17.5</v>
      </c>
      <c r="C1013" s="471">
        <v>1029</v>
      </c>
      <c r="D1013" s="471">
        <v>1029</v>
      </c>
      <c r="E1013" s="469">
        <v>72.84</v>
      </c>
      <c r="F1013" s="469">
        <v>6.3</v>
      </c>
      <c r="G1013" s="469">
        <v>7.6</v>
      </c>
      <c r="H1013" s="470">
        <v>185</v>
      </c>
      <c r="I1013" s="470">
        <v>807</v>
      </c>
      <c r="J1013" s="470">
        <v>2771.7</v>
      </c>
      <c r="K1013" s="469">
        <v>1.45</v>
      </c>
    </row>
    <row r="1014" spans="2:11" x14ac:dyDescent="0.35">
      <c r="B1014" s="62">
        <v>17.5</v>
      </c>
      <c r="C1014" s="471">
        <v>1030</v>
      </c>
      <c r="D1014" s="471">
        <v>1030</v>
      </c>
      <c r="E1014" s="469">
        <v>65.3</v>
      </c>
      <c r="F1014" s="469">
        <v>6.9</v>
      </c>
      <c r="G1014" s="469">
        <v>8.6999999999999993</v>
      </c>
      <c r="H1014" s="470">
        <v>185</v>
      </c>
      <c r="I1014" s="470">
        <v>808</v>
      </c>
      <c r="J1014" s="470">
        <v>2817.1</v>
      </c>
      <c r="K1014" s="469">
        <v>1.45</v>
      </c>
    </row>
    <row r="1015" spans="2:11" x14ac:dyDescent="0.35">
      <c r="B1015" s="62">
        <v>17.5</v>
      </c>
      <c r="C1015" s="471">
        <v>1031</v>
      </c>
      <c r="D1015" s="471">
        <v>1031</v>
      </c>
      <c r="E1015" s="469">
        <v>63.59</v>
      </c>
      <c r="F1015" s="469">
        <v>7.7</v>
      </c>
      <c r="G1015" s="469">
        <v>9</v>
      </c>
      <c r="H1015" s="470">
        <v>185</v>
      </c>
      <c r="I1015" s="470">
        <v>807</v>
      </c>
      <c r="J1015" s="470">
        <v>2862.8</v>
      </c>
      <c r="K1015" s="469">
        <v>1.45</v>
      </c>
    </row>
    <row r="1016" spans="2:11" x14ac:dyDescent="0.35">
      <c r="B1016" s="62">
        <v>17.5</v>
      </c>
      <c r="C1016" s="471">
        <v>1032</v>
      </c>
      <c r="D1016" s="471">
        <v>1032</v>
      </c>
      <c r="E1016" s="469">
        <v>71.17</v>
      </c>
      <c r="F1016" s="469">
        <v>6</v>
      </c>
      <c r="G1016" s="469">
        <v>8.1</v>
      </c>
      <c r="H1016" s="470">
        <v>185</v>
      </c>
      <c r="I1016" s="470">
        <v>808</v>
      </c>
      <c r="J1016" s="470">
        <v>2788.7</v>
      </c>
      <c r="K1016" s="469">
        <v>1.45</v>
      </c>
    </row>
    <row r="1017" spans="2:11" x14ac:dyDescent="0.35">
      <c r="B1017" s="62">
        <v>17.5</v>
      </c>
      <c r="C1017" s="471">
        <v>1033</v>
      </c>
      <c r="D1017" s="471">
        <v>1033</v>
      </c>
      <c r="E1017" s="469">
        <v>39.43</v>
      </c>
      <c r="F1017" s="469">
        <v>9.8000000000000007</v>
      </c>
      <c r="G1017" s="469">
        <v>8.6999999999999993</v>
      </c>
      <c r="H1017" s="470">
        <v>185</v>
      </c>
      <c r="I1017" s="470">
        <v>806</v>
      </c>
      <c r="J1017" s="470">
        <v>2789.3</v>
      </c>
      <c r="K1017" s="469">
        <v>1.45</v>
      </c>
    </row>
    <row r="1018" spans="2:11" x14ac:dyDescent="0.35">
      <c r="B1018" s="62">
        <v>17.5</v>
      </c>
      <c r="C1018" s="471">
        <v>1034</v>
      </c>
      <c r="D1018" s="471">
        <v>1034</v>
      </c>
      <c r="E1018" s="469">
        <v>60.31</v>
      </c>
      <c r="F1018" s="469">
        <v>6.8</v>
      </c>
      <c r="G1018" s="469">
        <v>7.2</v>
      </c>
      <c r="H1018" s="470">
        <v>184</v>
      </c>
      <c r="I1018" s="470">
        <v>806</v>
      </c>
      <c r="J1018" s="470">
        <v>2740.1</v>
      </c>
      <c r="K1018" s="469">
        <v>1.45</v>
      </c>
    </row>
    <row r="1019" spans="2:11" x14ac:dyDescent="0.35">
      <c r="B1019" s="62">
        <v>17.5</v>
      </c>
      <c r="C1019" s="471">
        <v>1035</v>
      </c>
      <c r="D1019" s="471">
        <v>1035</v>
      </c>
      <c r="E1019" s="469">
        <v>86.07</v>
      </c>
      <c r="F1019" s="469">
        <v>7.2</v>
      </c>
      <c r="G1019" s="469">
        <v>9.1</v>
      </c>
      <c r="H1019" s="470">
        <v>184</v>
      </c>
      <c r="I1019" s="470">
        <v>806</v>
      </c>
      <c r="J1019" s="470">
        <v>2852.4</v>
      </c>
      <c r="K1019" s="469">
        <v>1.45</v>
      </c>
    </row>
    <row r="1020" spans="2:11" x14ac:dyDescent="0.35">
      <c r="B1020" s="62">
        <v>17.5</v>
      </c>
      <c r="C1020" s="471">
        <v>1036</v>
      </c>
      <c r="D1020" s="471">
        <v>1036</v>
      </c>
      <c r="E1020" s="469">
        <v>77.97</v>
      </c>
      <c r="F1020" s="469">
        <v>6.9</v>
      </c>
      <c r="G1020" s="469">
        <v>8.3000000000000007</v>
      </c>
      <c r="H1020" s="470">
        <v>184</v>
      </c>
      <c r="I1020" s="470">
        <v>806</v>
      </c>
      <c r="J1020" s="470">
        <v>2813.6</v>
      </c>
      <c r="K1020" s="469">
        <v>1.45</v>
      </c>
    </row>
    <row r="1021" spans="2:11" x14ac:dyDescent="0.35">
      <c r="B1021" s="62">
        <v>17.5</v>
      </c>
      <c r="C1021" s="471">
        <v>1037</v>
      </c>
      <c r="D1021" s="471">
        <v>1037</v>
      </c>
      <c r="E1021" s="469">
        <v>54.32</v>
      </c>
      <c r="F1021" s="469">
        <v>6.7</v>
      </c>
      <c r="G1021" s="469">
        <v>8.1999999999999993</v>
      </c>
      <c r="H1021" s="470">
        <v>185</v>
      </c>
      <c r="I1021" s="470">
        <v>810</v>
      </c>
      <c r="J1021" s="470">
        <v>2755.4</v>
      </c>
      <c r="K1021" s="469">
        <v>1.45</v>
      </c>
    </row>
    <row r="1022" spans="2:11" x14ac:dyDescent="0.35">
      <c r="B1022" s="62">
        <v>17.5</v>
      </c>
      <c r="C1022" s="471">
        <v>1038</v>
      </c>
      <c r="D1022" s="471">
        <v>1038</v>
      </c>
      <c r="E1022" s="469">
        <v>76.31</v>
      </c>
      <c r="F1022" s="469">
        <v>7.2</v>
      </c>
      <c r="G1022" s="469">
        <v>8.3000000000000007</v>
      </c>
      <c r="H1022" s="470">
        <v>185</v>
      </c>
      <c r="I1022" s="470">
        <v>808</v>
      </c>
      <c r="J1022" s="470">
        <v>2812.1</v>
      </c>
      <c r="K1022" s="469">
        <v>1.45</v>
      </c>
    </row>
    <row r="1023" spans="2:11" x14ac:dyDescent="0.35">
      <c r="B1023" s="62">
        <v>17.5</v>
      </c>
      <c r="C1023" s="471">
        <v>1039</v>
      </c>
      <c r="D1023" s="471">
        <v>1039</v>
      </c>
      <c r="E1023" s="469">
        <v>60.52</v>
      </c>
      <c r="F1023" s="469">
        <v>8.8000000000000007</v>
      </c>
      <c r="G1023" s="469">
        <v>9.5</v>
      </c>
      <c r="H1023" s="470">
        <v>184</v>
      </c>
      <c r="I1023" s="470">
        <v>805</v>
      </c>
      <c r="J1023" s="470">
        <v>2869.1</v>
      </c>
      <c r="K1023" s="469">
        <v>1.45</v>
      </c>
    </row>
    <row r="1024" spans="2:11" x14ac:dyDescent="0.35">
      <c r="B1024" s="62">
        <v>17.5</v>
      </c>
      <c r="C1024" s="471">
        <v>1040</v>
      </c>
      <c r="D1024" s="471">
        <v>1040</v>
      </c>
      <c r="E1024" s="469">
        <v>71.17</v>
      </c>
      <c r="F1024" s="469">
        <v>7</v>
      </c>
      <c r="G1024" s="469">
        <v>7.9</v>
      </c>
      <c r="H1024" s="470">
        <v>185</v>
      </c>
      <c r="I1024" s="470">
        <v>809</v>
      </c>
      <c r="J1024" s="470">
        <v>2798.5</v>
      </c>
      <c r="K1024" s="469">
        <v>1.45</v>
      </c>
    </row>
    <row r="1025" spans="2:11" x14ac:dyDescent="0.35">
      <c r="B1025" s="62">
        <v>17.5</v>
      </c>
      <c r="C1025" s="471">
        <v>1041</v>
      </c>
      <c r="D1025" s="471">
        <v>1041</v>
      </c>
      <c r="E1025" s="469">
        <v>42.75</v>
      </c>
      <c r="F1025" s="469">
        <v>5.4</v>
      </c>
      <c r="G1025" s="469">
        <v>7.4</v>
      </c>
      <c r="H1025" s="470">
        <v>185</v>
      </c>
      <c r="I1025" s="470">
        <v>810</v>
      </c>
      <c r="J1025" s="470">
        <v>2716.4</v>
      </c>
      <c r="K1025" s="469">
        <v>1.45</v>
      </c>
    </row>
    <row r="1026" spans="2:11" x14ac:dyDescent="0.35">
      <c r="B1026" s="62">
        <v>17.5</v>
      </c>
      <c r="C1026" s="471">
        <v>1042</v>
      </c>
      <c r="D1026" s="471">
        <v>1042</v>
      </c>
      <c r="E1026" s="469">
        <v>56.14</v>
      </c>
      <c r="F1026" s="469">
        <v>8.6</v>
      </c>
      <c r="G1026" s="469">
        <v>9</v>
      </c>
      <c r="H1026" s="470">
        <v>185</v>
      </c>
      <c r="I1026" s="470">
        <v>807</v>
      </c>
      <c r="J1026" s="470">
        <v>2864</v>
      </c>
      <c r="K1026" s="469">
        <v>1.45</v>
      </c>
    </row>
    <row r="1027" spans="2:11" x14ac:dyDescent="0.35">
      <c r="B1027" s="62">
        <v>17.5</v>
      </c>
      <c r="C1027" s="471">
        <v>1043</v>
      </c>
      <c r="D1027" s="471">
        <v>1043</v>
      </c>
      <c r="E1027" s="469">
        <v>53.94</v>
      </c>
      <c r="F1027" s="469">
        <v>7.7</v>
      </c>
      <c r="G1027" s="469">
        <v>7.9</v>
      </c>
      <c r="H1027" s="470">
        <v>185</v>
      </c>
      <c r="I1027" s="470">
        <v>808</v>
      </c>
      <c r="J1027" s="470">
        <v>2771</v>
      </c>
      <c r="K1027" s="469">
        <v>1.45</v>
      </c>
    </row>
    <row r="1028" spans="2:11" x14ac:dyDescent="0.35">
      <c r="B1028" s="62">
        <v>17.5</v>
      </c>
      <c r="C1028" s="471">
        <v>1044</v>
      </c>
      <c r="D1028" s="471">
        <v>1044</v>
      </c>
      <c r="E1028" s="469">
        <v>15.58</v>
      </c>
      <c r="F1028" s="469">
        <v>5.8</v>
      </c>
      <c r="G1028" s="469">
        <v>6.9</v>
      </c>
      <c r="H1028" s="470">
        <v>185</v>
      </c>
      <c r="I1028" s="470">
        <v>807</v>
      </c>
      <c r="J1028" s="470">
        <v>2683.3</v>
      </c>
      <c r="K1028" s="469">
        <v>1.45</v>
      </c>
    </row>
    <row r="1029" spans="2:11" x14ac:dyDescent="0.35">
      <c r="B1029" s="62">
        <v>17.5</v>
      </c>
      <c r="C1029" s="471">
        <v>1045</v>
      </c>
      <c r="D1029" s="471">
        <v>1045</v>
      </c>
      <c r="E1029" s="469">
        <v>42.84</v>
      </c>
      <c r="F1029" s="469">
        <v>2.2000000000000002</v>
      </c>
      <c r="G1029" s="469">
        <v>4.0999999999999996</v>
      </c>
      <c r="H1029" s="470">
        <v>186</v>
      </c>
      <c r="I1029" s="470">
        <v>841</v>
      </c>
      <c r="J1029" s="470">
        <v>2589.6</v>
      </c>
      <c r="K1029" s="469">
        <v>1.45</v>
      </c>
    </row>
    <row r="1030" spans="2:11" x14ac:dyDescent="0.35">
      <c r="B1030" s="62">
        <v>17.5</v>
      </c>
      <c r="C1030" s="471">
        <v>1046</v>
      </c>
      <c r="D1030" s="471">
        <v>1046</v>
      </c>
      <c r="E1030" s="469">
        <v>70.55</v>
      </c>
      <c r="F1030" s="469">
        <v>5</v>
      </c>
      <c r="G1030" s="469">
        <v>7.8</v>
      </c>
      <c r="H1030" s="470">
        <v>185</v>
      </c>
      <c r="I1030" s="470">
        <v>829</v>
      </c>
      <c r="J1030" s="470">
        <v>2838.1</v>
      </c>
      <c r="K1030" s="469">
        <v>1.45</v>
      </c>
    </row>
    <row r="1031" spans="2:11" x14ac:dyDescent="0.35">
      <c r="B1031" s="62">
        <v>17.5</v>
      </c>
      <c r="C1031" s="471">
        <v>1047</v>
      </c>
      <c r="D1031" s="471">
        <v>1047</v>
      </c>
      <c r="E1031" s="469">
        <v>36.94</v>
      </c>
      <c r="F1031" s="469">
        <v>5</v>
      </c>
      <c r="G1031" s="469">
        <v>7.3</v>
      </c>
      <c r="H1031" s="470">
        <v>185</v>
      </c>
      <c r="I1031" s="470">
        <v>832</v>
      </c>
      <c r="J1031" s="470">
        <v>2816.6</v>
      </c>
      <c r="K1031" s="469">
        <v>1.45</v>
      </c>
    </row>
    <row r="1032" spans="2:11" x14ac:dyDescent="0.35">
      <c r="B1032" s="62">
        <v>17.5</v>
      </c>
      <c r="C1032" s="471">
        <v>1048</v>
      </c>
      <c r="D1032" s="471">
        <v>1048</v>
      </c>
      <c r="E1032" s="469">
        <v>61.3</v>
      </c>
      <c r="F1032" s="469">
        <v>5.7</v>
      </c>
      <c r="G1032" s="469">
        <v>7.5</v>
      </c>
      <c r="H1032" s="470">
        <v>186</v>
      </c>
      <c r="I1032" s="470">
        <v>829</v>
      </c>
      <c r="J1032" s="470">
        <v>2885.2</v>
      </c>
      <c r="K1032" s="469">
        <v>1.45</v>
      </c>
    </row>
    <row r="1033" spans="2:11" x14ac:dyDescent="0.35">
      <c r="B1033" s="62">
        <v>17.5</v>
      </c>
      <c r="C1033" s="471">
        <v>1049</v>
      </c>
      <c r="D1033" s="471">
        <v>1049</v>
      </c>
      <c r="E1033" s="469">
        <v>50.32</v>
      </c>
      <c r="F1033" s="469">
        <v>5.3</v>
      </c>
      <c r="G1033" s="469">
        <v>6.6</v>
      </c>
      <c r="H1033" s="470">
        <v>186</v>
      </c>
      <c r="I1033" s="470">
        <v>830</v>
      </c>
      <c r="J1033" s="470">
        <v>2801.1</v>
      </c>
      <c r="K1033" s="469">
        <v>1.45</v>
      </c>
    </row>
    <row r="1034" spans="2:11" x14ac:dyDescent="0.35">
      <c r="B1034" s="62">
        <v>17.5</v>
      </c>
      <c r="C1034" s="471">
        <v>1050</v>
      </c>
      <c r="D1034" s="471">
        <v>1050</v>
      </c>
      <c r="E1034" s="469">
        <v>61.54</v>
      </c>
      <c r="F1034" s="469">
        <v>5</v>
      </c>
      <c r="G1034" s="469">
        <v>6.8</v>
      </c>
      <c r="H1034" s="470">
        <v>187</v>
      </c>
      <c r="I1034" s="470">
        <v>832</v>
      </c>
      <c r="J1034" s="470">
        <v>2832.2</v>
      </c>
      <c r="K1034" s="469">
        <v>1.45</v>
      </c>
    </row>
    <row r="1035" spans="2:11" x14ac:dyDescent="0.35">
      <c r="B1035" s="62">
        <v>17.5</v>
      </c>
      <c r="C1035" s="471">
        <v>1051</v>
      </c>
      <c r="D1035" s="471">
        <v>1051</v>
      </c>
      <c r="E1035" s="469">
        <v>14.14</v>
      </c>
      <c r="F1035" s="469">
        <v>4.8</v>
      </c>
      <c r="G1035" s="469">
        <v>5.7</v>
      </c>
      <c r="H1035" s="470">
        <v>111</v>
      </c>
      <c r="I1035" s="470">
        <v>679</v>
      </c>
      <c r="J1035" s="470">
        <v>1459.2</v>
      </c>
      <c r="K1035" s="469">
        <v>1.45</v>
      </c>
    </row>
    <row r="1036" spans="2:11" x14ac:dyDescent="0.35">
      <c r="B1036" s="62">
        <v>17.5</v>
      </c>
      <c r="C1036" s="471">
        <v>1052</v>
      </c>
      <c r="D1036" s="471">
        <v>1052</v>
      </c>
      <c r="E1036" s="469">
        <v>19.079999999999998</v>
      </c>
      <c r="F1036" s="469">
        <v>6.5</v>
      </c>
      <c r="G1036" s="469">
        <v>6.9</v>
      </c>
      <c r="H1036" s="470">
        <v>99</v>
      </c>
      <c r="I1036" s="470">
        <v>614</v>
      </c>
      <c r="J1036" s="470">
        <v>1046.8</v>
      </c>
      <c r="K1036" s="469">
        <v>1.45</v>
      </c>
    </row>
    <row r="1037" spans="2:11" x14ac:dyDescent="0.35">
      <c r="B1037" s="62">
        <v>17.5</v>
      </c>
      <c r="C1037" s="471">
        <v>1053</v>
      </c>
      <c r="D1037" s="471">
        <v>1053</v>
      </c>
      <c r="E1037" s="469">
        <v>13</v>
      </c>
      <c r="F1037" s="469">
        <v>6.5</v>
      </c>
      <c r="G1037" s="469">
        <v>5.5</v>
      </c>
      <c r="H1037" s="470">
        <v>100</v>
      </c>
      <c r="I1037" s="470">
        <v>602</v>
      </c>
      <c r="J1037" s="470">
        <v>988.2</v>
      </c>
      <c r="K1037" s="469">
        <v>1.45</v>
      </c>
    </row>
    <row r="1038" spans="2:11" x14ac:dyDescent="0.35">
      <c r="B1038" s="62">
        <v>17.5</v>
      </c>
      <c r="C1038" s="471">
        <v>1054</v>
      </c>
      <c r="D1038" s="471">
        <v>1054</v>
      </c>
      <c r="E1038" s="469">
        <v>12.85</v>
      </c>
      <c r="F1038" s="469">
        <v>5.9</v>
      </c>
      <c r="G1038" s="469">
        <v>5.0999999999999996</v>
      </c>
      <c r="H1038" s="470">
        <v>100</v>
      </c>
      <c r="I1038" s="470">
        <v>618</v>
      </c>
      <c r="J1038" s="470">
        <v>1108.5999999999999</v>
      </c>
      <c r="K1038" s="469">
        <v>1.45</v>
      </c>
    </row>
    <row r="1039" spans="2:11" x14ac:dyDescent="0.35">
      <c r="B1039" s="62">
        <v>12.25</v>
      </c>
      <c r="C1039" s="471">
        <v>1055</v>
      </c>
      <c r="D1039" s="471">
        <v>1049.8</v>
      </c>
      <c r="E1039" s="469">
        <v>15.46</v>
      </c>
      <c r="F1039" s="469">
        <v>3.3</v>
      </c>
      <c r="G1039" s="469">
        <v>3</v>
      </c>
      <c r="H1039" s="470">
        <v>109</v>
      </c>
      <c r="I1039" s="470">
        <v>740</v>
      </c>
      <c r="J1039" s="470">
        <v>1692</v>
      </c>
      <c r="K1039" s="469">
        <v>1.47</v>
      </c>
    </row>
    <row r="1040" spans="2:11" x14ac:dyDescent="0.35">
      <c r="B1040" s="62">
        <v>12.25</v>
      </c>
      <c r="C1040" s="471">
        <v>1056</v>
      </c>
      <c r="D1040" s="471">
        <v>1050.8</v>
      </c>
      <c r="E1040" s="469">
        <v>62.73</v>
      </c>
      <c r="F1040" s="469">
        <v>7.4</v>
      </c>
      <c r="G1040" s="469">
        <v>4.5</v>
      </c>
      <c r="H1040" s="470">
        <v>122</v>
      </c>
      <c r="I1040" s="470">
        <v>742</v>
      </c>
      <c r="J1040" s="470">
        <v>1712</v>
      </c>
      <c r="K1040" s="469">
        <v>1.47</v>
      </c>
    </row>
    <row r="1041" spans="2:11" x14ac:dyDescent="0.35">
      <c r="B1041" s="62">
        <v>12.25</v>
      </c>
      <c r="C1041" s="471">
        <v>1057</v>
      </c>
      <c r="D1041" s="471">
        <v>1051.8</v>
      </c>
      <c r="E1041" s="469">
        <v>73.13</v>
      </c>
      <c r="F1041" s="469">
        <v>8.4</v>
      </c>
      <c r="G1041" s="469">
        <v>5.2</v>
      </c>
      <c r="H1041" s="470">
        <v>122</v>
      </c>
      <c r="I1041" s="470">
        <v>743</v>
      </c>
      <c r="J1041" s="470">
        <v>1714</v>
      </c>
      <c r="K1041" s="469">
        <v>1.47</v>
      </c>
    </row>
    <row r="1042" spans="2:11" x14ac:dyDescent="0.35">
      <c r="B1042" s="62">
        <v>12.25</v>
      </c>
      <c r="C1042" s="471">
        <v>1058</v>
      </c>
      <c r="D1042" s="471">
        <v>1052.8</v>
      </c>
      <c r="E1042" s="469">
        <v>15.46</v>
      </c>
      <c r="F1042" s="469">
        <v>6.2</v>
      </c>
      <c r="G1042" s="469">
        <v>4.4000000000000004</v>
      </c>
      <c r="H1042" s="470">
        <v>114</v>
      </c>
      <c r="I1042" s="470">
        <v>747</v>
      </c>
      <c r="J1042" s="470">
        <v>1739</v>
      </c>
      <c r="K1042" s="469">
        <v>1.47</v>
      </c>
    </row>
    <row r="1043" spans="2:11" x14ac:dyDescent="0.35">
      <c r="B1043" s="62">
        <v>12.25</v>
      </c>
      <c r="C1043" s="471">
        <v>1059</v>
      </c>
      <c r="D1043" s="471">
        <v>1053.8</v>
      </c>
      <c r="E1043" s="469">
        <v>64.260000000000005</v>
      </c>
      <c r="F1043" s="469">
        <v>6.6</v>
      </c>
      <c r="G1043" s="469">
        <v>5.2</v>
      </c>
      <c r="H1043" s="470">
        <v>123</v>
      </c>
      <c r="I1043" s="470">
        <v>748</v>
      </c>
      <c r="J1043" s="470">
        <v>1729</v>
      </c>
      <c r="K1043" s="469">
        <v>1.47</v>
      </c>
    </row>
    <row r="1044" spans="2:11" x14ac:dyDescent="0.35">
      <c r="B1044" s="62">
        <v>12.25</v>
      </c>
      <c r="C1044" s="471">
        <v>1060</v>
      </c>
      <c r="D1044" s="471">
        <v>1054.7</v>
      </c>
      <c r="E1044" s="469">
        <v>63.33</v>
      </c>
      <c r="F1044" s="469">
        <v>6.9</v>
      </c>
      <c r="G1044" s="469">
        <v>5</v>
      </c>
      <c r="H1044" s="470">
        <v>123</v>
      </c>
      <c r="I1044" s="470">
        <v>748</v>
      </c>
      <c r="J1044" s="470">
        <v>1730</v>
      </c>
      <c r="K1044" s="469">
        <v>1.47</v>
      </c>
    </row>
    <row r="1045" spans="2:11" x14ac:dyDescent="0.35">
      <c r="B1045" s="62">
        <v>12.25</v>
      </c>
      <c r="C1045" s="471">
        <v>1061</v>
      </c>
      <c r="D1045" s="471">
        <v>1055.7</v>
      </c>
      <c r="E1045" s="469">
        <v>83.75</v>
      </c>
      <c r="F1045" s="469">
        <v>8.1</v>
      </c>
      <c r="G1045" s="469">
        <v>5.5</v>
      </c>
      <c r="H1045" s="470">
        <v>123</v>
      </c>
      <c r="I1045" s="470">
        <v>749</v>
      </c>
      <c r="J1045" s="470">
        <v>1725</v>
      </c>
      <c r="K1045" s="469">
        <v>1.47</v>
      </c>
    </row>
    <row r="1046" spans="2:11" x14ac:dyDescent="0.35">
      <c r="B1046" s="62">
        <v>12.25</v>
      </c>
      <c r="C1046" s="471">
        <v>1062</v>
      </c>
      <c r="D1046" s="471">
        <v>1056.7</v>
      </c>
      <c r="E1046" s="469">
        <v>79.03</v>
      </c>
      <c r="F1046" s="469">
        <v>9.1999999999999993</v>
      </c>
      <c r="G1046" s="469">
        <v>5.3</v>
      </c>
      <c r="H1046" s="470">
        <v>123</v>
      </c>
      <c r="I1046" s="470">
        <v>750</v>
      </c>
      <c r="J1046" s="470">
        <v>1716</v>
      </c>
      <c r="K1046" s="469">
        <v>1.47</v>
      </c>
    </row>
    <row r="1047" spans="2:11" x14ac:dyDescent="0.35">
      <c r="B1047" s="62">
        <v>12.25</v>
      </c>
      <c r="C1047" s="471">
        <v>1063</v>
      </c>
      <c r="D1047" s="471">
        <v>1057.7</v>
      </c>
      <c r="E1047" s="469">
        <v>70.98</v>
      </c>
      <c r="F1047" s="469">
        <v>8.3000000000000007</v>
      </c>
      <c r="G1047" s="469">
        <v>5.5</v>
      </c>
      <c r="H1047" s="470">
        <v>123</v>
      </c>
      <c r="I1047" s="470">
        <v>748</v>
      </c>
      <c r="J1047" s="470">
        <v>1718</v>
      </c>
      <c r="K1047" s="469">
        <v>1.47</v>
      </c>
    </row>
    <row r="1048" spans="2:11" x14ac:dyDescent="0.35">
      <c r="B1048" s="62">
        <v>12.25</v>
      </c>
      <c r="C1048" s="471">
        <v>1064</v>
      </c>
      <c r="D1048" s="471">
        <v>1058.7</v>
      </c>
      <c r="E1048" s="469">
        <v>86.9</v>
      </c>
      <c r="F1048" s="469">
        <v>8.9</v>
      </c>
      <c r="G1048" s="469">
        <v>5</v>
      </c>
      <c r="H1048" s="470">
        <v>123</v>
      </c>
      <c r="I1048" s="470">
        <v>749</v>
      </c>
      <c r="J1048" s="470">
        <v>1716</v>
      </c>
      <c r="K1048" s="469">
        <v>1.47</v>
      </c>
    </row>
    <row r="1049" spans="2:11" x14ac:dyDescent="0.35">
      <c r="B1049" s="62">
        <v>12.25</v>
      </c>
      <c r="C1049" s="471">
        <v>1065</v>
      </c>
      <c r="D1049" s="471">
        <v>1059.7</v>
      </c>
      <c r="E1049" s="469">
        <v>73.13</v>
      </c>
      <c r="F1049" s="469">
        <v>9.6</v>
      </c>
      <c r="G1049" s="469">
        <v>5.6</v>
      </c>
      <c r="H1049" s="470">
        <v>123</v>
      </c>
      <c r="I1049" s="470">
        <v>748</v>
      </c>
      <c r="J1049" s="470">
        <v>1710</v>
      </c>
      <c r="K1049" s="469">
        <v>1.47</v>
      </c>
    </row>
    <row r="1050" spans="2:11" x14ac:dyDescent="0.35">
      <c r="B1050" s="62">
        <v>12.25</v>
      </c>
      <c r="C1050" s="471">
        <v>1066</v>
      </c>
      <c r="D1050" s="471">
        <v>1060.7</v>
      </c>
      <c r="E1050" s="469">
        <v>58.5</v>
      </c>
      <c r="F1050" s="469">
        <v>8.8000000000000007</v>
      </c>
      <c r="G1050" s="469">
        <v>6.1</v>
      </c>
      <c r="H1050" s="470">
        <v>123</v>
      </c>
      <c r="I1050" s="470">
        <v>747</v>
      </c>
      <c r="J1050" s="470">
        <v>1705</v>
      </c>
      <c r="K1050" s="469">
        <v>1.47</v>
      </c>
    </row>
    <row r="1051" spans="2:11" x14ac:dyDescent="0.35">
      <c r="B1051" s="62">
        <v>12.25</v>
      </c>
      <c r="C1051" s="471">
        <v>1067</v>
      </c>
      <c r="D1051" s="471">
        <v>1061.7</v>
      </c>
      <c r="E1051" s="469">
        <v>32.9</v>
      </c>
      <c r="F1051" s="469">
        <v>5.7</v>
      </c>
      <c r="G1051" s="469">
        <v>4.9000000000000004</v>
      </c>
      <c r="H1051" s="470">
        <v>123</v>
      </c>
      <c r="I1051" s="470">
        <v>750</v>
      </c>
      <c r="J1051" s="470">
        <v>1699</v>
      </c>
      <c r="K1051" s="469">
        <v>1.47</v>
      </c>
    </row>
    <row r="1052" spans="2:11" x14ac:dyDescent="0.35">
      <c r="B1052" s="62">
        <v>12.25</v>
      </c>
      <c r="C1052" s="471">
        <v>1068</v>
      </c>
      <c r="D1052" s="471">
        <v>1062.7</v>
      </c>
      <c r="E1052" s="469">
        <v>57.83</v>
      </c>
      <c r="F1052" s="469">
        <v>6.2</v>
      </c>
      <c r="G1052" s="469">
        <v>5.3</v>
      </c>
      <c r="H1052" s="470">
        <v>123</v>
      </c>
      <c r="I1052" s="470">
        <v>748</v>
      </c>
      <c r="J1052" s="470">
        <v>1695</v>
      </c>
      <c r="K1052" s="469">
        <v>1.47</v>
      </c>
    </row>
    <row r="1053" spans="2:11" x14ac:dyDescent="0.35">
      <c r="B1053" s="62">
        <v>12.25</v>
      </c>
      <c r="C1053" s="471">
        <v>1069</v>
      </c>
      <c r="D1053" s="471">
        <v>1063.5999999999999</v>
      </c>
      <c r="E1053" s="469">
        <v>12.47</v>
      </c>
      <c r="F1053" s="469">
        <v>3.5</v>
      </c>
      <c r="G1053" s="469">
        <v>4.2</v>
      </c>
      <c r="H1053" s="470">
        <v>123</v>
      </c>
      <c r="I1053" s="470">
        <v>742</v>
      </c>
      <c r="J1053" s="470">
        <v>1742</v>
      </c>
      <c r="K1053" s="469">
        <v>1.5</v>
      </c>
    </row>
    <row r="1054" spans="2:11" x14ac:dyDescent="0.35">
      <c r="B1054" s="62">
        <v>12.25</v>
      </c>
      <c r="C1054" s="471">
        <v>1070</v>
      </c>
      <c r="D1054" s="471">
        <v>1064.7</v>
      </c>
      <c r="E1054" s="469">
        <v>61.18</v>
      </c>
      <c r="F1054" s="469">
        <v>5.7</v>
      </c>
      <c r="G1054" s="469">
        <v>5.0999999999999996</v>
      </c>
      <c r="H1054" s="470">
        <v>123</v>
      </c>
      <c r="I1054" s="470">
        <v>741</v>
      </c>
      <c r="J1054" s="470">
        <v>1750</v>
      </c>
      <c r="K1054" s="469">
        <v>1.5</v>
      </c>
    </row>
    <row r="1055" spans="2:11" x14ac:dyDescent="0.35">
      <c r="B1055" s="62">
        <v>12.25</v>
      </c>
      <c r="C1055" s="471">
        <v>1071</v>
      </c>
      <c r="D1055" s="471">
        <v>1065.5999999999999</v>
      </c>
      <c r="E1055" s="469">
        <v>74.06</v>
      </c>
      <c r="F1055" s="469">
        <v>8</v>
      </c>
      <c r="G1055" s="469">
        <v>5.6</v>
      </c>
      <c r="H1055" s="470">
        <v>123</v>
      </c>
      <c r="I1055" s="470">
        <v>740</v>
      </c>
      <c r="J1055" s="470">
        <v>1754</v>
      </c>
      <c r="K1055" s="469">
        <v>1.5</v>
      </c>
    </row>
    <row r="1056" spans="2:11" x14ac:dyDescent="0.35">
      <c r="B1056" s="62">
        <v>12.25</v>
      </c>
      <c r="C1056" s="471">
        <v>1072</v>
      </c>
      <c r="D1056" s="471">
        <v>1066.5999999999999</v>
      </c>
      <c r="E1056" s="469">
        <v>64.930000000000007</v>
      </c>
      <c r="F1056" s="469">
        <v>7.5</v>
      </c>
      <c r="G1056" s="469">
        <v>5.6</v>
      </c>
      <c r="H1056" s="470">
        <v>123</v>
      </c>
      <c r="I1056" s="470">
        <v>739</v>
      </c>
      <c r="J1056" s="470">
        <v>1759</v>
      </c>
      <c r="K1056" s="469">
        <v>1.5</v>
      </c>
    </row>
    <row r="1057" spans="2:11" x14ac:dyDescent="0.35">
      <c r="B1057" s="62">
        <v>12.25</v>
      </c>
      <c r="C1057" s="471">
        <v>1073</v>
      </c>
      <c r="D1057" s="471">
        <v>1067.5999999999999</v>
      </c>
      <c r="E1057" s="469">
        <v>68.83</v>
      </c>
      <c r="F1057" s="469">
        <v>8.9</v>
      </c>
      <c r="G1057" s="469">
        <v>5.9</v>
      </c>
      <c r="H1057" s="470">
        <v>123</v>
      </c>
      <c r="I1057" s="470">
        <v>740</v>
      </c>
      <c r="J1057" s="470">
        <v>1757</v>
      </c>
      <c r="K1057" s="469">
        <v>1.5</v>
      </c>
    </row>
    <row r="1058" spans="2:11" x14ac:dyDescent="0.35">
      <c r="B1058" s="62">
        <v>12.25</v>
      </c>
      <c r="C1058" s="471">
        <v>1074</v>
      </c>
      <c r="D1058" s="471">
        <v>1068.5999999999999</v>
      </c>
      <c r="E1058" s="469">
        <v>61.83</v>
      </c>
      <c r="F1058" s="469">
        <v>7.5</v>
      </c>
      <c r="G1058" s="469">
        <v>5.7</v>
      </c>
      <c r="H1058" s="470">
        <v>123</v>
      </c>
      <c r="I1058" s="470">
        <v>740</v>
      </c>
      <c r="J1058" s="470">
        <v>1758</v>
      </c>
      <c r="K1058" s="469">
        <v>1.5</v>
      </c>
    </row>
    <row r="1059" spans="2:11" x14ac:dyDescent="0.35">
      <c r="B1059" s="62">
        <v>12.25</v>
      </c>
      <c r="C1059" s="471">
        <v>1075</v>
      </c>
      <c r="D1059" s="471">
        <v>1069.5999999999999</v>
      </c>
      <c r="E1059" s="469">
        <v>71.900000000000006</v>
      </c>
      <c r="F1059" s="469">
        <v>6.8</v>
      </c>
      <c r="G1059" s="469">
        <v>4.8</v>
      </c>
      <c r="H1059" s="470">
        <v>123</v>
      </c>
      <c r="I1059" s="470">
        <v>740</v>
      </c>
      <c r="J1059" s="470">
        <v>1748</v>
      </c>
      <c r="K1059" s="469">
        <v>1.5</v>
      </c>
    </row>
    <row r="1060" spans="2:11" x14ac:dyDescent="0.35">
      <c r="B1060" s="62">
        <v>12.25</v>
      </c>
      <c r="C1060" s="471">
        <v>1076</v>
      </c>
      <c r="D1060" s="471">
        <v>1070.5999999999999</v>
      </c>
      <c r="E1060" s="469">
        <v>84.68</v>
      </c>
      <c r="F1060" s="469">
        <v>6.5</v>
      </c>
      <c r="G1060" s="469">
        <v>4.5999999999999996</v>
      </c>
      <c r="H1060" s="470">
        <v>123</v>
      </c>
      <c r="I1060" s="470">
        <v>741</v>
      </c>
      <c r="J1060" s="470">
        <v>1748</v>
      </c>
      <c r="K1060" s="469">
        <v>1.5</v>
      </c>
    </row>
    <row r="1061" spans="2:11" x14ac:dyDescent="0.35">
      <c r="B1061" s="62">
        <v>12.25</v>
      </c>
      <c r="C1061" s="471">
        <v>1077</v>
      </c>
      <c r="D1061" s="471">
        <v>1071.5</v>
      </c>
      <c r="E1061" s="469">
        <v>67.33</v>
      </c>
      <c r="F1061" s="469">
        <v>6.6</v>
      </c>
      <c r="G1061" s="469">
        <v>5</v>
      </c>
      <c r="H1061" s="470">
        <v>123</v>
      </c>
      <c r="I1061" s="470">
        <v>740</v>
      </c>
      <c r="J1061" s="470">
        <v>1752</v>
      </c>
      <c r="K1061" s="469">
        <v>1.5</v>
      </c>
    </row>
    <row r="1062" spans="2:11" x14ac:dyDescent="0.35">
      <c r="B1062" s="62">
        <v>12.25</v>
      </c>
      <c r="C1062" s="471">
        <v>1078</v>
      </c>
      <c r="D1062" s="471">
        <v>1072.5999999999999</v>
      </c>
      <c r="E1062" s="469">
        <v>55.72</v>
      </c>
      <c r="F1062" s="469">
        <v>5.9</v>
      </c>
      <c r="G1062" s="469">
        <v>4.5999999999999996</v>
      </c>
      <c r="H1062" s="470">
        <v>123</v>
      </c>
      <c r="I1062" s="470">
        <v>740</v>
      </c>
      <c r="J1062" s="470">
        <v>1752</v>
      </c>
      <c r="K1062" s="469">
        <v>1.5</v>
      </c>
    </row>
    <row r="1063" spans="2:11" x14ac:dyDescent="0.35">
      <c r="B1063" s="62">
        <v>12.25</v>
      </c>
      <c r="C1063" s="471">
        <v>1079</v>
      </c>
      <c r="D1063" s="471">
        <v>1073.5</v>
      </c>
      <c r="E1063" s="469">
        <v>26.55</v>
      </c>
      <c r="F1063" s="469">
        <v>1.8</v>
      </c>
      <c r="G1063" s="469">
        <v>2.5</v>
      </c>
      <c r="H1063" s="470">
        <v>123</v>
      </c>
      <c r="I1063" s="470">
        <v>741</v>
      </c>
      <c r="J1063" s="470">
        <v>1741</v>
      </c>
      <c r="K1063" s="469">
        <v>1.5</v>
      </c>
    </row>
    <row r="1064" spans="2:11" x14ac:dyDescent="0.35">
      <c r="B1064" s="62">
        <v>12.25</v>
      </c>
      <c r="C1064" s="471">
        <v>1080</v>
      </c>
      <c r="D1064" s="471">
        <v>1074.5</v>
      </c>
      <c r="E1064" s="469">
        <v>57.23</v>
      </c>
      <c r="F1064" s="469">
        <v>4.5</v>
      </c>
      <c r="G1064" s="469">
        <v>4.5999999999999996</v>
      </c>
      <c r="H1064" s="470">
        <v>122</v>
      </c>
      <c r="I1064" s="470">
        <v>741</v>
      </c>
      <c r="J1064" s="470">
        <v>1728</v>
      </c>
      <c r="K1064" s="469">
        <v>1.5</v>
      </c>
    </row>
    <row r="1065" spans="2:11" x14ac:dyDescent="0.35">
      <c r="B1065" s="62">
        <v>12.25</v>
      </c>
      <c r="C1065" s="471">
        <v>1081</v>
      </c>
      <c r="D1065" s="471">
        <v>1075.5</v>
      </c>
      <c r="E1065" s="469">
        <v>72.069999999999993</v>
      </c>
      <c r="F1065" s="469">
        <v>6.5</v>
      </c>
      <c r="G1065" s="469">
        <v>5</v>
      </c>
      <c r="H1065" s="470">
        <v>123</v>
      </c>
      <c r="I1065" s="470">
        <v>740</v>
      </c>
      <c r="J1065" s="470">
        <v>1732</v>
      </c>
      <c r="K1065" s="469">
        <v>1.5</v>
      </c>
    </row>
    <row r="1066" spans="2:11" x14ac:dyDescent="0.35">
      <c r="B1066" s="62">
        <v>12.25</v>
      </c>
      <c r="C1066" s="471">
        <v>1082</v>
      </c>
      <c r="D1066" s="471">
        <v>1076.5</v>
      </c>
      <c r="E1066" s="469">
        <v>53.65</v>
      </c>
      <c r="F1066" s="469">
        <v>6.1</v>
      </c>
      <c r="G1066" s="469">
        <v>4.7</v>
      </c>
      <c r="H1066" s="470">
        <v>123</v>
      </c>
      <c r="I1066" s="470">
        <v>741</v>
      </c>
      <c r="J1066" s="470">
        <v>1733</v>
      </c>
      <c r="K1066" s="469">
        <v>1.5</v>
      </c>
    </row>
    <row r="1067" spans="2:11" x14ac:dyDescent="0.35">
      <c r="B1067" s="62">
        <v>12.25</v>
      </c>
      <c r="C1067" s="471">
        <v>1083</v>
      </c>
      <c r="D1067" s="471">
        <v>1077.5</v>
      </c>
      <c r="E1067" s="469">
        <v>69.95</v>
      </c>
      <c r="F1067" s="469">
        <v>6</v>
      </c>
      <c r="G1067" s="469">
        <v>5</v>
      </c>
      <c r="H1067" s="470">
        <v>123</v>
      </c>
      <c r="I1067" s="470">
        <v>742</v>
      </c>
      <c r="J1067" s="470">
        <v>1733</v>
      </c>
      <c r="K1067" s="469">
        <v>1.5</v>
      </c>
    </row>
    <row r="1068" spans="2:11" x14ac:dyDescent="0.35">
      <c r="B1068" s="62">
        <v>12.25</v>
      </c>
      <c r="C1068" s="471">
        <v>1084</v>
      </c>
      <c r="D1068" s="471">
        <v>1078.5</v>
      </c>
      <c r="E1068" s="469">
        <v>45.31</v>
      </c>
      <c r="F1068" s="469">
        <v>6.2</v>
      </c>
      <c r="G1068" s="469">
        <v>5.2</v>
      </c>
      <c r="H1068" s="470">
        <v>123</v>
      </c>
      <c r="I1068" s="470">
        <v>741</v>
      </c>
      <c r="J1068" s="470">
        <v>1737</v>
      </c>
      <c r="K1068" s="469">
        <v>1.5</v>
      </c>
    </row>
    <row r="1069" spans="2:11" x14ac:dyDescent="0.35">
      <c r="B1069" s="62">
        <v>12.25</v>
      </c>
      <c r="C1069" s="471">
        <v>1085</v>
      </c>
      <c r="D1069" s="471">
        <v>1079.5</v>
      </c>
      <c r="E1069" s="469">
        <v>19.34</v>
      </c>
      <c r="F1069" s="469">
        <v>4.5999999999999996</v>
      </c>
      <c r="G1069" s="469">
        <v>3.8</v>
      </c>
      <c r="H1069" s="470">
        <v>151</v>
      </c>
      <c r="I1069" s="470">
        <v>746</v>
      </c>
      <c r="J1069" s="470">
        <v>2238</v>
      </c>
      <c r="K1069" s="469">
        <v>1.5</v>
      </c>
    </row>
    <row r="1070" spans="2:11" x14ac:dyDescent="0.35">
      <c r="B1070" s="62">
        <v>12.25</v>
      </c>
      <c r="C1070" s="471">
        <v>1086</v>
      </c>
      <c r="D1070" s="471">
        <v>1080.4000000000001</v>
      </c>
      <c r="E1070" s="469">
        <v>83.75</v>
      </c>
      <c r="F1070" s="469">
        <v>6.4</v>
      </c>
      <c r="G1070" s="469">
        <v>5.0999999999999996</v>
      </c>
      <c r="H1070" s="470">
        <v>150</v>
      </c>
      <c r="I1070" s="470">
        <v>740</v>
      </c>
      <c r="J1070" s="470">
        <v>2334</v>
      </c>
      <c r="K1070" s="469">
        <v>1.5</v>
      </c>
    </row>
    <row r="1071" spans="2:11" x14ac:dyDescent="0.35">
      <c r="B1071" s="62">
        <v>12.25</v>
      </c>
      <c r="C1071" s="471">
        <v>1087</v>
      </c>
      <c r="D1071" s="471">
        <v>1081.4000000000001</v>
      </c>
      <c r="E1071" s="469">
        <v>77.28</v>
      </c>
      <c r="F1071" s="469">
        <v>6.2</v>
      </c>
      <c r="G1071" s="469">
        <v>4.7</v>
      </c>
      <c r="H1071" s="470">
        <v>150</v>
      </c>
      <c r="I1071" s="470">
        <v>741</v>
      </c>
      <c r="J1071" s="470">
        <v>2317</v>
      </c>
      <c r="K1071" s="469">
        <v>1.5</v>
      </c>
    </row>
    <row r="1072" spans="2:11" x14ac:dyDescent="0.35">
      <c r="B1072" s="62">
        <v>12.25</v>
      </c>
      <c r="C1072" s="471">
        <v>1088</v>
      </c>
      <c r="D1072" s="471">
        <v>1082.4000000000001</v>
      </c>
      <c r="E1072" s="469">
        <v>66.23</v>
      </c>
      <c r="F1072" s="469">
        <v>7</v>
      </c>
      <c r="G1072" s="469">
        <v>4.7</v>
      </c>
      <c r="H1072" s="470">
        <v>150</v>
      </c>
      <c r="I1072" s="470">
        <v>741</v>
      </c>
      <c r="J1072" s="470">
        <v>2331</v>
      </c>
      <c r="K1072" s="469">
        <v>1.5</v>
      </c>
    </row>
    <row r="1073" spans="2:11" x14ac:dyDescent="0.35">
      <c r="B1073" s="62">
        <v>12.25</v>
      </c>
      <c r="C1073" s="471">
        <v>1089</v>
      </c>
      <c r="D1073" s="471">
        <v>1083.4000000000001</v>
      </c>
      <c r="E1073" s="469">
        <v>50.87</v>
      </c>
      <c r="F1073" s="469">
        <v>7</v>
      </c>
      <c r="G1073" s="469">
        <v>3.5</v>
      </c>
      <c r="H1073" s="470">
        <v>150</v>
      </c>
      <c r="I1073" s="470">
        <v>741</v>
      </c>
      <c r="J1073" s="470">
        <v>2313</v>
      </c>
      <c r="K1073" s="469">
        <v>1.5</v>
      </c>
    </row>
    <row r="1074" spans="2:11" x14ac:dyDescent="0.35">
      <c r="B1074" s="62">
        <v>12.25</v>
      </c>
      <c r="C1074" s="471">
        <v>1090</v>
      </c>
      <c r="D1074" s="471">
        <v>1084.4000000000001</v>
      </c>
      <c r="E1074" s="469">
        <v>68.97</v>
      </c>
      <c r="F1074" s="469">
        <v>5.7</v>
      </c>
      <c r="G1074" s="469">
        <v>4.9000000000000004</v>
      </c>
      <c r="H1074" s="470">
        <v>150</v>
      </c>
      <c r="I1074" s="470">
        <v>740</v>
      </c>
      <c r="J1074" s="470">
        <v>2321</v>
      </c>
      <c r="K1074" s="469">
        <v>1.5</v>
      </c>
    </row>
    <row r="1075" spans="2:11" x14ac:dyDescent="0.35">
      <c r="B1075" s="62">
        <v>12.25</v>
      </c>
      <c r="C1075" s="471">
        <v>1091</v>
      </c>
      <c r="D1075" s="471">
        <v>1085.4000000000001</v>
      </c>
      <c r="E1075" s="469">
        <v>66.09</v>
      </c>
      <c r="F1075" s="469">
        <v>5.7</v>
      </c>
      <c r="G1075" s="469">
        <v>4.7</v>
      </c>
      <c r="H1075" s="470">
        <v>150</v>
      </c>
      <c r="I1075" s="470">
        <v>741</v>
      </c>
      <c r="J1075" s="470">
        <v>2342</v>
      </c>
      <c r="K1075" s="469">
        <v>1.5</v>
      </c>
    </row>
    <row r="1076" spans="2:11" x14ac:dyDescent="0.35">
      <c r="B1076" s="62">
        <v>12.25</v>
      </c>
      <c r="C1076" s="471">
        <v>1092</v>
      </c>
      <c r="D1076" s="471">
        <v>1086.4000000000001</v>
      </c>
      <c r="E1076" s="469">
        <v>14.41</v>
      </c>
      <c r="F1076" s="469">
        <v>2.7</v>
      </c>
      <c r="G1076" s="469">
        <v>3.3</v>
      </c>
      <c r="H1076" s="470">
        <v>151</v>
      </c>
      <c r="I1076" s="470">
        <v>748</v>
      </c>
      <c r="J1076" s="470">
        <v>2251</v>
      </c>
      <c r="K1076" s="469">
        <v>1.5</v>
      </c>
    </row>
    <row r="1077" spans="2:11" x14ac:dyDescent="0.35">
      <c r="B1077" s="62">
        <v>12.25</v>
      </c>
      <c r="C1077" s="471">
        <v>1093</v>
      </c>
      <c r="D1077" s="471">
        <v>1087.4000000000001</v>
      </c>
      <c r="E1077" s="469">
        <v>34.159999999999997</v>
      </c>
      <c r="F1077" s="469">
        <v>4</v>
      </c>
      <c r="G1077" s="469">
        <v>3.6</v>
      </c>
      <c r="H1077" s="470">
        <v>151</v>
      </c>
      <c r="I1077" s="470">
        <v>749</v>
      </c>
      <c r="J1077" s="470">
        <v>2319</v>
      </c>
      <c r="K1077" s="469">
        <v>1.5</v>
      </c>
    </row>
    <row r="1078" spans="2:11" x14ac:dyDescent="0.35">
      <c r="B1078" s="62">
        <v>12.25</v>
      </c>
      <c r="C1078" s="471">
        <v>1094</v>
      </c>
      <c r="D1078" s="471">
        <v>1088.3</v>
      </c>
      <c r="E1078" s="469">
        <v>34.14</v>
      </c>
      <c r="F1078" s="469">
        <v>3</v>
      </c>
      <c r="G1078" s="469">
        <v>3.9</v>
      </c>
      <c r="H1078" s="470">
        <v>151</v>
      </c>
      <c r="I1078" s="470">
        <v>749</v>
      </c>
      <c r="J1078" s="470">
        <v>2272</v>
      </c>
      <c r="K1078" s="469">
        <v>1.5</v>
      </c>
    </row>
    <row r="1079" spans="2:11" x14ac:dyDescent="0.35">
      <c r="B1079" s="62">
        <v>12.25</v>
      </c>
      <c r="C1079" s="471">
        <v>1095</v>
      </c>
      <c r="D1079" s="471">
        <v>1089.3</v>
      </c>
      <c r="E1079" s="469">
        <v>37.729999999999997</v>
      </c>
      <c r="F1079" s="469">
        <v>3.7</v>
      </c>
      <c r="G1079" s="469">
        <v>3.6</v>
      </c>
      <c r="H1079" s="470">
        <v>151</v>
      </c>
      <c r="I1079" s="470">
        <v>748</v>
      </c>
      <c r="J1079" s="470">
        <v>2289</v>
      </c>
      <c r="K1079" s="469">
        <v>1.5</v>
      </c>
    </row>
    <row r="1080" spans="2:11" x14ac:dyDescent="0.35">
      <c r="B1080" s="62">
        <v>12.25</v>
      </c>
      <c r="C1080" s="471">
        <v>1096</v>
      </c>
      <c r="D1080" s="471">
        <v>1090.4000000000001</v>
      </c>
      <c r="E1080" s="469">
        <v>35.93</v>
      </c>
      <c r="F1080" s="469">
        <v>3.8</v>
      </c>
      <c r="G1080" s="469">
        <v>3.1</v>
      </c>
      <c r="H1080" s="470">
        <v>151</v>
      </c>
      <c r="I1080" s="470">
        <v>747</v>
      </c>
      <c r="J1080" s="470">
        <v>2271</v>
      </c>
      <c r="K1080" s="469">
        <v>1.5</v>
      </c>
    </row>
    <row r="1081" spans="2:11" x14ac:dyDescent="0.35">
      <c r="B1081" s="62">
        <v>12.25</v>
      </c>
      <c r="C1081" s="471">
        <v>1097</v>
      </c>
      <c r="D1081" s="471">
        <v>1091.3</v>
      </c>
      <c r="E1081" s="469">
        <v>37.770000000000003</v>
      </c>
      <c r="F1081" s="469">
        <v>3.7</v>
      </c>
      <c r="G1081" s="469">
        <v>3.6</v>
      </c>
      <c r="H1081" s="470">
        <v>151</v>
      </c>
      <c r="I1081" s="470">
        <v>747</v>
      </c>
      <c r="J1081" s="470">
        <v>2298</v>
      </c>
      <c r="K1081" s="469">
        <v>1.5</v>
      </c>
    </row>
    <row r="1082" spans="2:11" x14ac:dyDescent="0.35">
      <c r="B1082" s="62">
        <v>12.25</v>
      </c>
      <c r="C1082" s="471">
        <v>1098</v>
      </c>
      <c r="D1082" s="471">
        <v>1092.3</v>
      </c>
      <c r="E1082" s="469">
        <v>34.479999999999997</v>
      </c>
      <c r="F1082" s="469">
        <v>4.5999999999999996</v>
      </c>
      <c r="G1082" s="469">
        <v>4</v>
      </c>
      <c r="H1082" s="470">
        <v>151</v>
      </c>
      <c r="I1082" s="470">
        <v>748</v>
      </c>
      <c r="J1082" s="470">
        <v>2340</v>
      </c>
      <c r="K1082" s="469">
        <v>1.5</v>
      </c>
    </row>
    <row r="1083" spans="2:11" x14ac:dyDescent="0.35">
      <c r="B1083" s="62">
        <v>12.25</v>
      </c>
      <c r="C1083" s="471">
        <v>1099</v>
      </c>
      <c r="D1083" s="471">
        <v>1093.3</v>
      </c>
      <c r="E1083" s="469">
        <v>39.79</v>
      </c>
      <c r="F1083" s="469">
        <v>3.3</v>
      </c>
      <c r="G1083" s="469">
        <v>3.1</v>
      </c>
      <c r="H1083" s="470">
        <v>152</v>
      </c>
      <c r="I1083" s="470">
        <v>751</v>
      </c>
      <c r="J1083" s="470">
        <v>2307</v>
      </c>
      <c r="K1083" s="469">
        <v>1.5</v>
      </c>
    </row>
    <row r="1084" spans="2:11" x14ac:dyDescent="0.35">
      <c r="B1084" s="62">
        <v>12.25</v>
      </c>
      <c r="C1084" s="471">
        <v>1100</v>
      </c>
      <c r="D1084" s="471">
        <v>1094.3</v>
      </c>
      <c r="E1084" s="469">
        <v>34.08</v>
      </c>
      <c r="F1084" s="469">
        <v>3.4</v>
      </c>
      <c r="G1084" s="469">
        <v>3.4</v>
      </c>
      <c r="H1084" s="470">
        <v>152</v>
      </c>
      <c r="I1084" s="470">
        <v>749</v>
      </c>
      <c r="J1084" s="470">
        <v>2312</v>
      </c>
      <c r="K1084" s="469">
        <v>1.5</v>
      </c>
    </row>
    <row r="1085" spans="2:11" x14ac:dyDescent="0.35">
      <c r="B1085" s="62">
        <v>12.25</v>
      </c>
      <c r="C1085" s="471">
        <v>1101</v>
      </c>
      <c r="D1085" s="471">
        <v>1095.3</v>
      </c>
      <c r="E1085" s="469">
        <v>16.71</v>
      </c>
      <c r="F1085" s="469">
        <v>2.5</v>
      </c>
      <c r="G1085" s="469">
        <v>2.7</v>
      </c>
      <c r="H1085" s="470">
        <v>154</v>
      </c>
      <c r="I1085" s="470">
        <v>768</v>
      </c>
      <c r="J1085" s="470">
        <v>2357</v>
      </c>
      <c r="K1085" s="469">
        <v>1.5</v>
      </c>
    </row>
    <row r="1086" spans="2:11" x14ac:dyDescent="0.35">
      <c r="B1086" s="62">
        <v>12.25</v>
      </c>
      <c r="C1086" s="471">
        <v>1102</v>
      </c>
      <c r="D1086" s="471">
        <v>1096.3</v>
      </c>
      <c r="E1086" s="469">
        <v>46.4</v>
      </c>
      <c r="F1086" s="469">
        <v>4.5999999999999996</v>
      </c>
      <c r="G1086" s="469">
        <v>4.3</v>
      </c>
      <c r="H1086" s="470">
        <v>156</v>
      </c>
      <c r="I1086" s="470">
        <v>787</v>
      </c>
      <c r="J1086" s="470">
        <v>2590</v>
      </c>
      <c r="K1086" s="469">
        <v>1.5</v>
      </c>
    </row>
    <row r="1087" spans="2:11" x14ac:dyDescent="0.35">
      <c r="B1087" s="62">
        <v>12.25</v>
      </c>
      <c r="C1087" s="471">
        <v>1103</v>
      </c>
      <c r="D1087" s="471">
        <v>1097.2</v>
      </c>
      <c r="E1087" s="469">
        <v>51.07</v>
      </c>
      <c r="F1087" s="469">
        <v>5.4</v>
      </c>
      <c r="G1087" s="469">
        <v>5</v>
      </c>
      <c r="H1087" s="470">
        <v>155</v>
      </c>
      <c r="I1087" s="470">
        <v>783</v>
      </c>
      <c r="J1087" s="470">
        <v>2625</v>
      </c>
      <c r="K1087" s="469">
        <v>1.5</v>
      </c>
    </row>
    <row r="1088" spans="2:11" x14ac:dyDescent="0.35">
      <c r="B1088" s="62">
        <v>12.25</v>
      </c>
      <c r="C1088" s="471">
        <v>1104</v>
      </c>
      <c r="D1088" s="471">
        <v>1098.2</v>
      </c>
      <c r="E1088" s="469">
        <v>60.79</v>
      </c>
      <c r="F1088" s="469">
        <v>5.4</v>
      </c>
      <c r="G1088" s="469">
        <v>4.7</v>
      </c>
      <c r="H1088" s="470">
        <v>155</v>
      </c>
      <c r="I1088" s="470">
        <v>786</v>
      </c>
      <c r="J1088" s="470">
        <v>2613</v>
      </c>
      <c r="K1088" s="469">
        <v>1.5</v>
      </c>
    </row>
    <row r="1089" spans="2:11" x14ac:dyDescent="0.35">
      <c r="B1089" s="62">
        <v>12.25</v>
      </c>
      <c r="C1089" s="471">
        <v>1105</v>
      </c>
      <c r="D1089" s="471">
        <v>1099.2</v>
      </c>
      <c r="E1089" s="469">
        <v>53.65</v>
      </c>
      <c r="F1089" s="469">
        <v>5.3</v>
      </c>
      <c r="G1089" s="469">
        <v>3.7</v>
      </c>
      <c r="H1089" s="470">
        <v>156</v>
      </c>
      <c r="I1089" s="470">
        <v>785</v>
      </c>
      <c r="J1089" s="470">
        <v>2595</v>
      </c>
      <c r="K1089" s="469">
        <v>1.5</v>
      </c>
    </row>
    <row r="1090" spans="2:11" x14ac:dyDescent="0.35">
      <c r="B1090" s="62">
        <v>12.25</v>
      </c>
      <c r="C1090" s="471">
        <v>1106</v>
      </c>
      <c r="D1090" s="471">
        <v>1100.2</v>
      </c>
      <c r="E1090" s="469">
        <v>7.88</v>
      </c>
      <c r="F1090" s="469">
        <v>4.5</v>
      </c>
      <c r="G1090" s="469">
        <v>3.2</v>
      </c>
      <c r="H1090" s="470">
        <v>156</v>
      </c>
      <c r="I1090" s="470">
        <v>787</v>
      </c>
      <c r="J1090" s="470">
        <v>2593</v>
      </c>
      <c r="K1090" s="469">
        <v>1.5</v>
      </c>
    </row>
    <row r="1091" spans="2:11" x14ac:dyDescent="0.35">
      <c r="B1091" s="62">
        <v>12.25</v>
      </c>
      <c r="C1091" s="471">
        <v>1107</v>
      </c>
      <c r="D1091" s="471">
        <v>1101.2</v>
      </c>
      <c r="E1091" s="469">
        <v>63.36</v>
      </c>
      <c r="F1091" s="469">
        <v>6.5</v>
      </c>
      <c r="G1091" s="469">
        <v>4.7</v>
      </c>
      <c r="H1091" s="470">
        <v>155</v>
      </c>
      <c r="I1091" s="470">
        <v>785</v>
      </c>
      <c r="J1091" s="470">
        <v>2697</v>
      </c>
      <c r="K1091" s="469">
        <v>1.5</v>
      </c>
    </row>
    <row r="1092" spans="2:11" x14ac:dyDescent="0.35">
      <c r="B1092" s="62">
        <v>12.25</v>
      </c>
      <c r="C1092" s="471">
        <v>1108</v>
      </c>
      <c r="D1092" s="471">
        <v>1102.2</v>
      </c>
      <c r="E1092" s="469">
        <v>67.45</v>
      </c>
      <c r="F1092" s="469">
        <v>7.3</v>
      </c>
      <c r="G1092" s="469">
        <v>5.2</v>
      </c>
      <c r="H1092" s="470">
        <v>155</v>
      </c>
      <c r="I1092" s="470">
        <v>785</v>
      </c>
      <c r="J1092" s="470">
        <v>2746</v>
      </c>
      <c r="K1092" s="469">
        <v>1.5</v>
      </c>
    </row>
    <row r="1093" spans="2:11" x14ac:dyDescent="0.35">
      <c r="B1093" s="62">
        <v>12.25</v>
      </c>
      <c r="C1093" s="471">
        <v>1109</v>
      </c>
      <c r="D1093" s="471">
        <v>1103.2</v>
      </c>
      <c r="E1093" s="469">
        <v>52.74</v>
      </c>
      <c r="F1093" s="469">
        <v>5.5</v>
      </c>
      <c r="G1093" s="469">
        <v>3.8</v>
      </c>
      <c r="H1093" s="470">
        <v>155</v>
      </c>
      <c r="I1093" s="470">
        <v>785</v>
      </c>
      <c r="J1093" s="470">
        <v>2673</v>
      </c>
      <c r="K1093" s="469">
        <v>1.5</v>
      </c>
    </row>
    <row r="1094" spans="2:11" x14ac:dyDescent="0.35">
      <c r="B1094" s="62">
        <v>12.25</v>
      </c>
      <c r="C1094" s="471">
        <v>1110</v>
      </c>
      <c r="D1094" s="471">
        <v>1104.2</v>
      </c>
      <c r="E1094" s="469">
        <v>57.53</v>
      </c>
      <c r="F1094" s="469">
        <v>5.9</v>
      </c>
      <c r="G1094" s="469">
        <v>4.9000000000000004</v>
      </c>
      <c r="H1094" s="470">
        <v>155</v>
      </c>
      <c r="I1094" s="470">
        <v>786</v>
      </c>
      <c r="J1094" s="470">
        <v>2697</v>
      </c>
      <c r="K1094" s="469">
        <v>1.5</v>
      </c>
    </row>
    <row r="1095" spans="2:11" x14ac:dyDescent="0.35">
      <c r="B1095" s="62">
        <v>12.25</v>
      </c>
      <c r="C1095" s="471">
        <v>1111</v>
      </c>
      <c r="D1095" s="471">
        <v>1105.0999999999999</v>
      </c>
      <c r="E1095" s="469">
        <v>58.7</v>
      </c>
      <c r="F1095" s="469">
        <v>5.8</v>
      </c>
      <c r="G1095" s="469">
        <v>4.3</v>
      </c>
      <c r="H1095" s="470">
        <v>155</v>
      </c>
      <c r="I1095" s="470">
        <v>784</v>
      </c>
      <c r="J1095" s="470">
        <v>2674</v>
      </c>
      <c r="K1095" s="469">
        <v>1.5</v>
      </c>
    </row>
    <row r="1096" spans="2:11" x14ac:dyDescent="0.35">
      <c r="B1096" s="62">
        <v>12.25</v>
      </c>
      <c r="C1096" s="471">
        <v>1112</v>
      </c>
      <c r="D1096" s="471">
        <v>1106.0999999999999</v>
      </c>
      <c r="E1096" s="469">
        <v>62.92</v>
      </c>
      <c r="F1096" s="469">
        <v>6.4</v>
      </c>
      <c r="G1096" s="469">
        <v>5</v>
      </c>
      <c r="H1096" s="470">
        <v>155</v>
      </c>
      <c r="I1096" s="470">
        <v>784</v>
      </c>
      <c r="J1096" s="470">
        <v>2712</v>
      </c>
      <c r="K1096" s="469">
        <v>1.5</v>
      </c>
    </row>
    <row r="1097" spans="2:11" x14ac:dyDescent="0.35">
      <c r="B1097" s="62">
        <v>12.25</v>
      </c>
      <c r="C1097" s="471">
        <v>1113</v>
      </c>
      <c r="D1097" s="471">
        <v>1107.2</v>
      </c>
      <c r="E1097" s="469">
        <v>46.58</v>
      </c>
      <c r="F1097" s="469">
        <v>5.6</v>
      </c>
      <c r="G1097" s="469">
        <v>4</v>
      </c>
      <c r="H1097" s="470">
        <v>155</v>
      </c>
      <c r="I1097" s="470">
        <v>784</v>
      </c>
      <c r="J1097" s="470">
        <v>2660</v>
      </c>
      <c r="K1097" s="469">
        <v>1.5</v>
      </c>
    </row>
    <row r="1098" spans="2:11" x14ac:dyDescent="0.35">
      <c r="B1098" s="62">
        <v>12.25</v>
      </c>
      <c r="C1098" s="471">
        <v>1114</v>
      </c>
      <c r="D1098" s="471">
        <v>1108.0999999999999</v>
      </c>
      <c r="E1098" s="469">
        <v>61.77</v>
      </c>
      <c r="F1098" s="469">
        <v>5.2</v>
      </c>
      <c r="G1098" s="469">
        <v>3.7</v>
      </c>
      <c r="H1098" s="470">
        <v>155</v>
      </c>
      <c r="I1098" s="470">
        <v>784</v>
      </c>
      <c r="J1098" s="470">
        <v>2633</v>
      </c>
      <c r="K1098" s="469">
        <v>1.5</v>
      </c>
    </row>
    <row r="1099" spans="2:11" x14ac:dyDescent="0.35">
      <c r="B1099" s="62">
        <v>12.25</v>
      </c>
      <c r="C1099" s="471">
        <v>1115</v>
      </c>
      <c r="D1099" s="471">
        <v>1109.0999999999999</v>
      </c>
      <c r="E1099" s="469">
        <v>64.569999999999993</v>
      </c>
      <c r="F1099" s="469">
        <v>6.2</v>
      </c>
      <c r="G1099" s="469">
        <v>4.5</v>
      </c>
      <c r="H1099" s="470">
        <v>156</v>
      </c>
      <c r="I1099" s="470">
        <v>786</v>
      </c>
      <c r="J1099" s="470">
        <v>2682</v>
      </c>
      <c r="K1099" s="469">
        <v>1.5</v>
      </c>
    </row>
    <row r="1100" spans="2:11" x14ac:dyDescent="0.35">
      <c r="B1100" s="62">
        <v>12.25</v>
      </c>
      <c r="C1100" s="471">
        <v>1116</v>
      </c>
      <c r="D1100" s="471">
        <v>1110.0999999999999</v>
      </c>
      <c r="E1100" s="469">
        <v>62.73</v>
      </c>
      <c r="F1100" s="469">
        <v>5.4</v>
      </c>
      <c r="G1100" s="469">
        <v>4.0999999999999996</v>
      </c>
      <c r="H1100" s="470">
        <v>155</v>
      </c>
      <c r="I1100" s="470">
        <v>784</v>
      </c>
      <c r="J1100" s="470">
        <v>2648</v>
      </c>
      <c r="K1100" s="469">
        <v>1.5</v>
      </c>
    </row>
    <row r="1101" spans="2:11" x14ac:dyDescent="0.35">
      <c r="B1101" s="62">
        <v>12.25</v>
      </c>
      <c r="C1101" s="471">
        <v>1117</v>
      </c>
      <c r="D1101" s="471">
        <v>1111.0999999999999</v>
      </c>
      <c r="E1101" s="469">
        <v>56.26</v>
      </c>
      <c r="F1101" s="469">
        <v>5.4</v>
      </c>
      <c r="G1101" s="469">
        <v>4</v>
      </c>
      <c r="H1101" s="470">
        <v>155</v>
      </c>
      <c r="I1101" s="470">
        <v>783</v>
      </c>
      <c r="J1101" s="470">
        <v>2647</v>
      </c>
      <c r="K1101" s="469">
        <v>1.5</v>
      </c>
    </row>
    <row r="1102" spans="2:11" x14ac:dyDescent="0.35">
      <c r="B1102" s="62">
        <v>12.25</v>
      </c>
      <c r="C1102" s="471">
        <v>1118</v>
      </c>
      <c r="D1102" s="471">
        <v>1112.0999999999999</v>
      </c>
      <c r="E1102" s="469">
        <v>41.37</v>
      </c>
      <c r="F1102" s="469">
        <v>4.7</v>
      </c>
      <c r="G1102" s="469">
        <v>3.6</v>
      </c>
      <c r="H1102" s="470">
        <v>156</v>
      </c>
      <c r="I1102" s="470">
        <v>787</v>
      </c>
      <c r="J1102" s="470">
        <v>2609</v>
      </c>
      <c r="K1102" s="469">
        <v>1.5</v>
      </c>
    </row>
    <row r="1103" spans="2:11" x14ac:dyDescent="0.35">
      <c r="B1103" s="62">
        <v>12.25</v>
      </c>
      <c r="C1103" s="471">
        <v>1119</v>
      </c>
      <c r="D1103" s="471">
        <v>1113.0999999999999</v>
      </c>
      <c r="E1103" s="469">
        <v>38.93</v>
      </c>
      <c r="F1103" s="469">
        <v>4.9000000000000004</v>
      </c>
      <c r="G1103" s="469">
        <v>3.7</v>
      </c>
      <c r="H1103" s="470">
        <v>155</v>
      </c>
      <c r="I1103" s="470">
        <v>784</v>
      </c>
      <c r="J1103" s="470">
        <v>2620</v>
      </c>
      <c r="K1103" s="469">
        <v>1.5</v>
      </c>
    </row>
    <row r="1104" spans="2:11" x14ac:dyDescent="0.35">
      <c r="B1104" s="62">
        <v>12.25</v>
      </c>
      <c r="C1104" s="471">
        <v>1120</v>
      </c>
      <c r="D1104" s="471">
        <v>1114</v>
      </c>
      <c r="E1104" s="469">
        <v>39.369999999999997</v>
      </c>
      <c r="F1104" s="469">
        <v>4.4000000000000004</v>
      </c>
      <c r="G1104" s="469">
        <v>3.4</v>
      </c>
      <c r="H1104" s="470">
        <v>155</v>
      </c>
      <c r="I1104" s="470">
        <v>786</v>
      </c>
      <c r="J1104" s="470">
        <v>2581</v>
      </c>
      <c r="K1104" s="469">
        <v>1.5</v>
      </c>
    </row>
    <row r="1105" spans="2:11" x14ac:dyDescent="0.35">
      <c r="B1105" s="62">
        <v>12.25</v>
      </c>
      <c r="C1105" s="471">
        <v>1121</v>
      </c>
      <c r="D1105" s="471">
        <v>1115</v>
      </c>
      <c r="E1105" s="469">
        <v>16.22</v>
      </c>
      <c r="F1105" s="469">
        <v>4.3</v>
      </c>
      <c r="G1105" s="469">
        <v>4.5</v>
      </c>
      <c r="H1105" s="470">
        <v>153</v>
      </c>
      <c r="I1105" s="470">
        <v>781</v>
      </c>
      <c r="J1105" s="470">
        <v>2544</v>
      </c>
      <c r="K1105" s="469">
        <v>1.52</v>
      </c>
    </row>
    <row r="1106" spans="2:11" x14ac:dyDescent="0.35">
      <c r="B1106" s="62">
        <v>12.25</v>
      </c>
      <c r="C1106" s="471">
        <v>1122</v>
      </c>
      <c r="D1106" s="471">
        <v>1116</v>
      </c>
      <c r="E1106" s="469">
        <v>52.32</v>
      </c>
      <c r="F1106" s="469">
        <v>5.0999999999999996</v>
      </c>
      <c r="G1106" s="469">
        <v>4.7</v>
      </c>
      <c r="H1106" s="470">
        <v>157</v>
      </c>
      <c r="I1106" s="470">
        <v>785</v>
      </c>
      <c r="J1106" s="470">
        <v>2609</v>
      </c>
      <c r="K1106" s="469">
        <v>1.52</v>
      </c>
    </row>
    <row r="1107" spans="2:11" x14ac:dyDescent="0.35">
      <c r="B1107" s="62">
        <v>12.25</v>
      </c>
      <c r="C1107" s="471">
        <v>1123</v>
      </c>
      <c r="D1107" s="471">
        <v>1117</v>
      </c>
      <c r="E1107" s="469">
        <v>60.04</v>
      </c>
      <c r="F1107" s="469">
        <v>6.9</v>
      </c>
      <c r="G1107" s="469">
        <v>5.9</v>
      </c>
      <c r="H1107" s="470">
        <v>156</v>
      </c>
      <c r="I1107" s="470">
        <v>775</v>
      </c>
      <c r="J1107" s="470">
        <v>2712</v>
      </c>
      <c r="K1107" s="469">
        <v>1.52</v>
      </c>
    </row>
    <row r="1108" spans="2:11" x14ac:dyDescent="0.35">
      <c r="B1108" s="62">
        <v>12.25</v>
      </c>
      <c r="C1108" s="471">
        <v>1124</v>
      </c>
      <c r="D1108" s="471">
        <v>1118</v>
      </c>
      <c r="E1108" s="469">
        <v>78.040000000000006</v>
      </c>
      <c r="F1108" s="469">
        <v>7.2</v>
      </c>
      <c r="G1108" s="469">
        <v>6</v>
      </c>
      <c r="H1108" s="470">
        <v>155</v>
      </c>
      <c r="I1108" s="470">
        <v>774</v>
      </c>
      <c r="J1108" s="470">
        <v>2724</v>
      </c>
      <c r="K1108" s="469">
        <v>1.52</v>
      </c>
    </row>
    <row r="1109" spans="2:11" x14ac:dyDescent="0.35">
      <c r="B1109" s="62">
        <v>12.25</v>
      </c>
      <c r="C1109" s="471">
        <v>1125</v>
      </c>
      <c r="D1109" s="471">
        <v>1119</v>
      </c>
      <c r="E1109" s="469">
        <v>68.680000000000007</v>
      </c>
      <c r="F1109" s="469">
        <v>7.7</v>
      </c>
      <c r="G1109" s="469">
        <v>6</v>
      </c>
      <c r="H1109" s="470">
        <v>155</v>
      </c>
      <c r="I1109" s="470">
        <v>770</v>
      </c>
      <c r="J1109" s="470">
        <v>2755</v>
      </c>
      <c r="K1109" s="469">
        <v>1.52</v>
      </c>
    </row>
    <row r="1110" spans="2:11" x14ac:dyDescent="0.35">
      <c r="B1110" s="62">
        <v>12.25</v>
      </c>
      <c r="C1110" s="471">
        <v>1126</v>
      </c>
      <c r="D1110" s="471">
        <v>1120</v>
      </c>
      <c r="E1110" s="469">
        <v>67.739999999999995</v>
      </c>
      <c r="F1110" s="469">
        <v>6.4</v>
      </c>
      <c r="G1110" s="469">
        <v>5.8</v>
      </c>
      <c r="H1110" s="470">
        <v>156</v>
      </c>
      <c r="I1110" s="470">
        <v>776</v>
      </c>
      <c r="J1110" s="470">
        <v>2711</v>
      </c>
      <c r="K1110" s="469">
        <v>1.52</v>
      </c>
    </row>
    <row r="1111" spans="2:11" x14ac:dyDescent="0.35">
      <c r="B1111" s="62">
        <v>12.25</v>
      </c>
      <c r="C1111" s="471">
        <v>1127</v>
      </c>
      <c r="D1111" s="471">
        <v>1121</v>
      </c>
      <c r="E1111" s="469">
        <v>53.94</v>
      </c>
      <c r="F1111" s="469">
        <v>7.5</v>
      </c>
      <c r="G1111" s="469">
        <v>5.7</v>
      </c>
      <c r="H1111" s="470">
        <v>155</v>
      </c>
      <c r="I1111" s="470">
        <v>771</v>
      </c>
      <c r="J1111" s="470">
        <v>2747</v>
      </c>
      <c r="K1111" s="469">
        <v>1.52</v>
      </c>
    </row>
    <row r="1112" spans="2:11" x14ac:dyDescent="0.35">
      <c r="B1112" s="62">
        <v>12.25</v>
      </c>
      <c r="C1112" s="471">
        <v>1128</v>
      </c>
      <c r="D1112" s="471">
        <v>1122</v>
      </c>
      <c r="E1112" s="469">
        <v>79.62</v>
      </c>
      <c r="F1112" s="469">
        <v>6.6</v>
      </c>
      <c r="G1112" s="469">
        <v>4.4000000000000004</v>
      </c>
      <c r="H1112" s="470">
        <v>155</v>
      </c>
      <c r="I1112" s="470">
        <v>774</v>
      </c>
      <c r="J1112" s="470">
        <v>2690</v>
      </c>
      <c r="K1112" s="469">
        <v>1.52</v>
      </c>
    </row>
    <row r="1113" spans="2:11" x14ac:dyDescent="0.35">
      <c r="B1113" s="62">
        <v>12.25</v>
      </c>
      <c r="C1113" s="471">
        <v>1129</v>
      </c>
      <c r="D1113" s="471">
        <v>1122.9000000000001</v>
      </c>
      <c r="E1113" s="469">
        <v>79.099999999999994</v>
      </c>
      <c r="F1113" s="469">
        <v>7.5</v>
      </c>
      <c r="G1113" s="469">
        <v>5</v>
      </c>
      <c r="H1113" s="470">
        <v>155</v>
      </c>
      <c r="I1113" s="470">
        <v>772</v>
      </c>
      <c r="J1113" s="470">
        <v>2726</v>
      </c>
      <c r="K1113" s="469">
        <v>1.52</v>
      </c>
    </row>
    <row r="1114" spans="2:11" x14ac:dyDescent="0.35">
      <c r="B1114" s="62">
        <v>12.25</v>
      </c>
      <c r="C1114" s="471">
        <v>1130</v>
      </c>
      <c r="D1114" s="471">
        <v>1123.9000000000001</v>
      </c>
      <c r="E1114" s="469">
        <v>55.38</v>
      </c>
      <c r="F1114" s="469">
        <v>6.7</v>
      </c>
      <c r="G1114" s="469">
        <v>5.5</v>
      </c>
      <c r="H1114" s="470">
        <v>155</v>
      </c>
      <c r="I1114" s="470">
        <v>774</v>
      </c>
      <c r="J1114" s="470">
        <v>2729</v>
      </c>
      <c r="K1114" s="469">
        <v>1.52</v>
      </c>
    </row>
    <row r="1115" spans="2:11" x14ac:dyDescent="0.35">
      <c r="B1115" s="62">
        <v>12.25</v>
      </c>
      <c r="C1115" s="471">
        <v>1131</v>
      </c>
      <c r="D1115" s="471">
        <v>1124.9000000000001</v>
      </c>
      <c r="E1115" s="469">
        <v>87.21</v>
      </c>
      <c r="F1115" s="469">
        <v>7.7</v>
      </c>
      <c r="G1115" s="469">
        <v>5.6</v>
      </c>
      <c r="H1115" s="470">
        <v>155</v>
      </c>
      <c r="I1115" s="470">
        <v>771</v>
      </c>
      <c r="J1115" s="470">
        <v>2750</v>
      </c>
      <c r="K1115" s="469">
        <v>1.52</v>
      </c>
    </row>
    <row r="1116" spans="2:11" x14ac:dyDescent="0.35">
      <c r="B1116" s="62">
        <v>12.25</v>
      </c>
      <c r="C1116" s="471">
        <v>1132</v>
      </c>
      <c r="D1116" s="471">
        <v>1125.9000000000001</v>
      </c>
      <c r="E1116" s="469">
        <v>68.239999999999995</v>
      </c>
      <c r="F1116" s="469">
        <v>7.6</v>
      </c>
      <c r="G1116" s="469">
        <v>5.0999999999999996</v>
      </c>
      <c r="H1116" s="470">
        <v>155</v>
      </c>
      <c r="I1116" s="470">
        <v>771</v>
      </c>
      <c r="J1116" s="470">
        <v>2746</v>
      </c>
      <c r="K1116" s="469">
        <v>1.52</v>
      </c>
    </row>
    <row r="1117" spans="2:11" x14ac:dyDescent="0.35">
      <c r="B1117" s="62">
        <v>12.25</v>
      </c>
      <c r="C1117" s="471">
        <v>1133</v>
      </c>
      <c r="D1117" s="471">
        <v>1126.9000000000001</v>
      </c>
      <c r="E1117" s="469">
        <v>17.329999999999998</v>
      </c>
      <c r="F1117" s="469">
        <v>5</v>
      </c>
      <c r="G1117" s="469">
        <v>4.3</v>
      </c>
      <c r="H1117" s="470">
        <v>153</v>
      </c>
      <c r="I1117" s="470">
        <v>757</v>
      </c>
      <c r="J1117" s="470">
        <v>2539</v>
      </c>
      <c r="K1117" s="469">
        <v>1.52</v>
      </c>
    </row>
    <row r="1118" spans="2:11" x14ac:dyDescent="0.35">
      <c r="B1118" s="62">
        <v>12.25</v>
      </c>
      <c r="C1118" s="471">
        <v>1134</v>
      </c>
      <c r="D1118" s="471">
        <v>1127.9000000000001</v>
      </c>
      <c r="E1118" s="469">
        <v>16.510000000000002</v>
      </c>
      <c r="F1118" s="469">
        <v>2.8</v>
      </c>
      <c r="G1118" s="469">
        <v>2.9</v>
      </c>
      <c r="H1118" s="470">
        <v>152</v>
      </c>
      <c r="I1118" s="470">
        <v>739</v>
      </c>
      <c r="J1118" s="470">
        <v>2363</v>
      </c>
      <c r="K1118" s="469">
        <v>1.52</v>
      </c>
    </row>
    <row r="1119" spans="2:11" x14ac:dyDescent="0.35">
      <c r="B1119" s="62">
        <v>12.25</v>
      </c>
      <c r="C1119" s="471">
        <v>1135</v>
      </c>
      <c r="D1119" s="471">
        <v>1128.8</v>
      </c>
      <c r="E1119" s="469">
        <v>61.32</v>
      </c>
      <c r="F1119" s="469">
        <v>6.1</v>
      </c>
      <c r="G1119" s="469">
        <v>4.5999999999999996</v>
      </c>
      <c r="H1119" s="470">
        <v>156</v>
      </c>
      <c r="I1119" s="470">
        <v>778</v>
      </c>
      <c r="J1119" s="470">
        <v>2803</v>
      </c>
      <c r="K1119" s="469">
        <v>1.52</v>
      </c>
    </row>
    <row r="1120" spans="2:11" x14ac:dyDescent="0.35">
      <c r="B1120" s="62">
        <v>12.25</v>
      </c>
      <c r="C1120" s="471">
        <v>1136</v>
      </c>
      <c r="D1120" s="471">
        <v>1129.9000000000001</v>
      </c>
      <c r="E1120" s="469">
        <v>38.15</v>
      </c>
      <c r="F1120" s="469">
        <v>5.2</v>
      </c>
      <c r="G1120" s="469">
        <v>4</v>
      </c>
      <c r="H1120" s="470">
        <v>156</v>
      </c>
      <c r="I1120" s="470">
        <v>778</v>
      </c>
      <c r="J1120" s="470">
        <v>2754</v>
      </c>
      <c r="K1120" s="469">
        <v>1.52</v>
      </c>
    </row>
    <row r="1121" spans="2:11" x14ac:dyDescent="0.35">
      <c r="B1121" s="62">
        <v>12.25</v>
      </c>
      <c r="C1121" s="471">
        <v>1137</v>
      </c>
      <c r="D1121" s="471">
        <v>1130.9000000000001</v>
      </c>
      <c r="E1121" s="469">
        <v>31.04</v>
      </c>
      <c r="F1121" s="469">
        <v>5.0999999999999996</v>
      </c>
      <c r="G1121" s="469">
        <v>4.2</v>
      </c>
      <c r="H1121" s="470">
        <v>152</v>
      </c>
      <c r="I1121" s="470">
        <v>743</v>
      </c>
      <c r="J1121" s="470">
        <v>2624</v>
      </c>
      <c r="K1121" s="469">
        <v>1.52</v>
      </c>
    </row>
    <row r="1122" spans="2:11" x14ac:dyDescent="0.35">
      <c r="B1122" s="62">
        <v>12.25</v>
      </c>
      <c r="C1122" s="471">
        <v>1138</v>
      </c>
      <c r="D1122" s="471">
        <v>1131.8</v>
      </c>
      <c r="E1122" s="469">
        <v>63.37</v>
      </c>
      <c r="F1122" s="469">
        <v>6.8</v>
      </c>
      <c r="G1122" s="469">
        <v>5.3</v>
      </c>
      <c r="H1122" s="470">
        <v>144</v>
      </c>
      <c r="I1122" s="470">
        <v>671</v>
      </c>
      <c r="J1122" s="470">
        <v>2148</v>
      </c>
      <c r="K1122" s="469">
        <v>1.52</v>
      </c>
    </row>
    <row r="1123" spans="2:11" x14ac:dyDescent="0.35">
      <c r="B1123" s="62">
        <v>12.25</v>
      </c>
      <c r="C1123" s="471">
        <v>1139</v>
      </c>
      <c r="D1123" s="471">
        <v>1132.9000000000001</v>
      </c>
      <c r="E1123" s="469">
        <v>67.290000000000006</v>
      </c>
      <c r="F1123" s="469">
        <v>6.9</v>
      </c>
      <c r="G1123" s="469">
        <v>5.2</v>
      </c>
      <c r="H1123" s="470">
        <v>153</v>
      </c>
      <c r="I1123" s="470">
        <v>750</v>
      </c>
      <c r="J1123" s="470">
        <v>2710</v>
      </c>
      <c r="K1123" s="469">
        <v>1.52</v>
      </c>
    </row>
    <row r="1124" spans="2:11" x14ac:dyDescent="0.35">
      <c r="B1124" s="62">
        <v>12.25</v>
      </c>
      <c r="C1124" s="471">
        <v>1140</v>
      </c>
      <c r="D1124" s="471">
        <v>1133.8</v>
      </c>
      <c r="E1124" s="469">
        <v>46.74</v>
      </c>
      <c r="F1124" s="469">
        <v>5.7</v>
      </c>
      <c r="G1124" s="469">
        <v>4.5</v>
      </c>
      <c r="H1124" s="470">
        <v>148</v>
      </c>
      <c r="I1124" s="470">
        <v>701</v>
      </c>
      <c r="J1124" s="470">
        <v>2289</v>
      </c>
      <c r="K1124" s="469">
        <v>1.52</v>
      </c>
    </row>
    <row r="1125" spans="2:11" x14ac:dyDescent="0.35">
      <c r="B1125" s="62">
        <v>12.25</v>
      </c>
      <c r="C1125" s="471">
        <v>1141</v>
      </c>
      <c r="D1125" s="471">
        <v>1134.8</v>
      </c>
      <c r="E1125" s="469">
        <v>61.92</v>
      </c>
      <c r="F1125" s="469">
        <v>6.1</v>
      </c>
      <c r="G1125" s="469">
        <v>4.4000000000000004</v>
      </c>
      <c r="H1125" s="470">
        <v>147</v>
      </c>
      <c r="I1125" s="470">
        <v>695</v>
      </c>
      <c r="J1125" s="470">
        <v>2335</v>
      </c>
      <c r="K1125" s="469">
        <v>1.52</v>
      </c>
    </row>
    <row r="1126" spans="2:11" x14ac:dyDescent="0.35">
      <c r="B1126" s="62">
        <v>12.25</v>
      </c>
      <c r="C1126" s="471">
        <v>1142</v>
      </c>
      <c r="D1126" s="471">
        <v>1135.8</v>
      </c>
      <c r="E1126" s="469">
        <v>57.23</v>
      </c>
      <c r="F1126" s="469">
        <v>7.2</v>
      </c>
      <c r="G1126" s="469">
        <v>5.4</v>
      </c>
      <c r="H1126" s="470">
        <v>153</v>
      </c>
      <c r="I1126" s="470">
        <v>750</v>
      </c>
      <c r="J1126" s="470">
        <v>2660</v>
      </c>
      <c r="K1126" s="469">
        <v>1.52</v>
      </c>
    </row>
    <row r="1127" spans="2:11" x14ac:dyDescent="0.35">
      <c r="B1127" s="62">
        <v>12.25</v>
      </c>
      <c r="C1127" s="471">
        <v>1143</v>
      </c>
      <c r="D1127" s="471">
        <v>1136.8</v>
      </c>
      <c r="E1127" s="469">
        <v>59.2</v>
      </c>
      <c r="F1127" s="469">
        <v>5.3</v>
      </c>
      <c r="G1127" s="469">
        <v>3.8</v>
      </c>
      <c r="H1127" s="470">
        <v>150</v>
      </c>
      <c r="I1127" s="470">
        <v>725</v>
      </c>
      <c r="J1127" s="470">
        <v>2292</v>
      </c>
      <c r="K1127" s="469">
        <v>1.52</v>
      </c>
    </row>
    <row r="1128" spans="2:11" x14ac:dyDescent="0.35">
      <c r="B1128" s="62">
        <v>12.25</v>
      </c>
      <c r="C1128" s="471">
        <v>1144</v>
      </c>
      <c r="D1128" s="471">
        <v>1137.7</v>
      </c>
      <c r="E1128" s="469">
        <v>31.74</v>
      </c>
      <c r="F1128" s="469">
        <v>3.8</v>
      </c>
      <c r="G1128" s="469">
        <v>2.8</v>
      </c>
      <c r="H1128" s="470">
        <v>149</v>
      </c>
      <c r="I1128" s="470">
        <v>709</v>
      </c>
      <c r="J1128" s="470">
        <v>2217</v>
      </c>
      <c r="K1128" s="469">
        <v>1.52</v>
      </c>
    </row>
    <row r="1129" spans="2:11" x14ac:dyDescent="0.35">
      <c r="B1129" s="62">
        <v>12.25</v>
      </c>
      <c r="C1129" s="471">
        <v>1145</v>
      </c>
      <c r="D1129" s="471">
        <v>1138.8</v>
      </c>
      <c r="E1129" s="469">
        <v>48.98</v>
      </c>
      <c r="F1129" s="469">
        <v>5.7</v>
      </c>
      <c r="G1129" s="469">
        <v>4.3</v>
      </c>
      <c r="H1129" s="470">
        <v>150</v>
      </c>
      <c r="I1129" s="470">
        <v>726</v>
      </c>
      <c r="J1129" s="470">
        <v>2413</v>
      </c>
      <c r="K1129" s="469">
        <v>1.52</v>
      </c>
    </row>
    <row r="1130" spans="2:11" x14ac:dyDescent="0.35">
      <c r="B1130" s="62">
        <v>12.25</v>
      </c>
      <c r="C1130" s="471">
        <v>1146</v>
      </c>
      <c r="D1130" s="471">
        <v>1139.7</v>
      </c>
      <c r="E1130" s="469">
        <v>67.5</v>
      </c>
      <c r="F1130" s="469">
        <v>4.8</v>
      </c>
      <c r="G1130" s="469">
        <v>3.9</v>
      </c>
      <c r="H1130" s="470">
        <v>150</v>
      </c>
      <c r="I1130" s="470">
        <v>722</v>
      </c>
      <c r="J1130" s="470">
        <v>2419</v>
      </c>
      <c r="K1130" s="469">
        <v>1.52</v>
      </c>
    </row>
    <row r="1131" spans="2:11" x14ac:dyDescent="0.35">
      <c r="B1131" s="62">
        <v>12.25</v>
      </c>
      <c r="C1131" s="471">
        <v>1147</v>
      </c>
      <c r="D1131" s="471">
        <v>1140.7</v>
      </c>
      <c r="E1131" s="469">
        <v>32.39</v>
      </c>
      <c r="F1131" s="469">
        <v>4.0999999999999996</v>
      </c>
      <c r="G1131" s="469">
        <v>3.7</v>
      </c>
      <c r="H1131" s="470">
        <v>148</v>
      </c>
      <c r="I1131" s="470">
        <v>705</v>
      </c>
      <c r="J1131" s="470">
        <v>2219</v>
      </c>
      <c r="K1131" s="469">
        <v>1.52</v>
      </c>
    </row>
    <row r="1132" spans="2:11" x14ac:dyDescent="0.35">
      <c r="B1132" s="62">
        <v>12.25</v>
      </c>
      <c r="C1132" s="471">
        <v>1148</v>
      </c>
      <c r="D1132" s="471">
        <v>1141.7</v>
      </c>
      <c r="E1132" s="469">
        <v>26.32</v>
      </c>
      <c r="F1132" s="469">
        <v>4.9000000000000004</v>
      </c>
      <c r="G1132" s="469">
        <v>3.4</v>
      </c>
      <c r="H1132" s="470">
        <v>156</v>
      </c>
      <c r="I1132" s="470">
        <v>781</v>
      </c>
      <c r="J1132" s="470">
        <v>2615</v>
      </c>
      <c r="K1132" s="469">
        <v>1.52</v>
      </c>
    </row>
    <row r="1133" spans="2:11" x14ac:dyDescent="0.35">
      <c r="B1133" s="62">
        <v>12.25</v>
      </c>
      <c r="C1133" s="471">
        <v>1149</v>
      </c>
      <c r="D1133" s="471">
        <v>1142.4000000000001</v>
      </c>
      <c r="E1133" s="469">
        <v>20.63</v>
      </c>
      <c r="F1133" s="469">
        <v>7.3</v>
      </c>
      <c r="G1133" s="469">
        <v>5.2</v>
      </c>
      <c r="H1133" s="470">
        <v>156</v>
      </c>
      <c r="I1133" s="470">
        <v>780</v>
      </c>
      <c r="J1133" s="470">
        <v>2694</v>
      </c>
      <c r="K1133" s="469">
        <v>1.52</v>
      </c>
    </row>
    <row r="1134" spans="2:11" x14ac:dyDescent="0.35">
      <c r="B1134" s="62">
        <v>12.25</v>
      </c>
      <c r="C1134" s="471">
        <v>1150</v>
      </c>
      <c r="D1134" s="471">
        <v>1143.4000000000001</v>
      </c>
      <c r="E1134" s="469">
        <v>35.18</v>
      </c>
      <c r="F1134" s="469">
        <v>4</v>
      </c>
      <c r="G1134" s="469">
        <v>4.8</v>
      </c>
      <c r="H1134" s="470">
        <v>153</v>
      </c>
      <c r="I1134" s="470">
        <v>770</v>
      </c>
      <c r="J1134" s="470">
        <v>2569</v>
      </c>
      <c r="K1134" s="469">
        <v>1.53</v>
      </c>
    </row>
    <row r="1135" spans="2:11" x14ac:dyDescent="0.35">
      <c r="B1135" s="62">
        <v>12.25</v>
      </c>
      <c r="C1135" s="471">
        <v>1151</v>
      </c>
      <c r="D1135" s="471">
        <v>1144.3</v>
      </c>
      <c r="E1135" s="469">
        <v>61.05</v>
      </c>
      <c r="F1135" s="469">
        <v>4.4000000000000004</v>
      </c>
      <c r="G1135" s="469">
        <v>4.4000000000000004</v>
      </c>
      <c r="H1135" s="470">
        <v>153</v>
      </c>
      <c r="I1135" s="470">
        <v>771</v>
      </c>
      <c r="J1135" s="470">
        <v>2606</v>
      </c>
      <c r="K1135" s="469">
        <v>1.53</v>
      </c>
    </row>
    <row r="1136" spans="2:11" x14ac:dyDescent="0.35">
      <c r="B1136" s="62">
        <v>12.25</v>
      </c>
      <c r="C1136" s="471">
        <v>1152</v>
      </c>
      <c r="D1136" s="471">
        <v>1145.3</v>
      </c>
      <c r="E1136" s="469">
        <v>63.85</v>
      </c>
      <c r="F1136" s="469">
        <v>5.2</v>
      </c>
      <c r="G1136" s="469">
        <v>4.5999999999999996</v>
      </c>
      <c r="H1136" s="470">
        <v>153</v>
      </c>
      <c r="I1136" s="470">
        <v>770</v>
      </c>
      <c r="J1136" s="470">
        <v>2631</v>
      </c>
      <c r="K1136" s="469">
        <v>1.53</v>
      </c>
    </row>
    <row r="1137" spans="2:11" x14ac:dyDescent="0.35">
      <c r="B1137" s="62">
        <v>12.25</v>
      </c>
      <c r="C1137" s="471">
        <v>1153</v>
      </c>
      <c r="D1137" s="471">
        <v>1146.3</v>
      </c>
      <c r="E1137" s="469">
        <v>77.17</v>
      </c>
      <c r="F1137" s="469">
        <v>6.3</v>
      </c>
      <c r="G1137" s="469">
        <v>5</v>
      </c>
      <c r="H1137" s="470">
        <v>153</v>
      </c>
      <c r="I1137" s="470">
        <v>769</v>
      </c>
      <c r="J1137" s="470">
        <v>2656</v>
      </c>
      <c r="K1137" s="469">
        <v>1.53</v>
      </c>
    </row>
    <row r="1138" spans="2:11" x14ac:dyDescent="0.35">
      <c r="B1138" s="62">
        <v>12.25</v>
      </c>
      <c r="C1138" s="471">
        <v>1154</v>
      </c>
      <c r="D1138" s="471">
        <v>1147.3</v>
      </c>
      <c r="E1138" s="469">
        <v>74.02</v>
      </c>
      <c r="F1138" s="469">
        <v>6.4</v>
      </c>
      <c r="G1138" s="469">
        <v>5.4</v>
      </c>
      <c r="H1138" s="470">
        <v>153</v>
      </c>
      <c r="I1138" s="470">
        <v>771</v>
      </c>
      <c r="J1138" s="470">
        <v>2685</v>
      </c>
      <c r="K1138" s="469">
        <v>1.53</v>
      </c>
    </row>
    <row r="1139" spans="2:11" x14ac:dyDescent="0.35">
      <c r="B1139" s="62">
        <v>12.25</v>
      </c>
      <c r="C1139" s="471">
        <v>1155</v>
      </c>
      <c r="D1139" s="471">
        <v>1148.3</v>
      </c>
      <c r="E1139" s="469">
        <v>63.83</v>
      </c>
      <c r="F1139" s="469">
        <v>6.6</v>
      </c>
      <c r="G1139" s="469">
        <v>5.5</v>
      </c>
      <c r="H1139" s="470">
        <v>153</v>
      </c>
      <c r="I1139" s="470">
        <v>771</v>
      </c>
      <c r="J1139" s="470">
        <v>2685</v>
      </c>
      <c r="K1139" s="469">
        <v>1.53</v>
      </c>
    </row>
    <row r="1140" spans="2:11" x14ac:dyDescent="0.35">
      <c r="B1140" s="62">
        <v>12.25</v>
      </c>
      <c r="C1140" s="471">
        <v>1156</v>
      </c>
      <c r="D1140" s="471">
        <v>1149.3</v>
      </c>
      <c r="E1140" s="469">
        <v>74.81</v>
      </c>
      <c r="F1140" s="469">
        <v>7.1</v>
      </c>
      <c r="G1140" s="469">
        <v>5.5</v>
      </c>
      <c r="H1140" s="470">
        <v>153</v>
      </c>
      <c r="I1140" s="470">
        <v>770</v>
      </c>
      <c r="J1140" s="470">
        <v>2714</v>
      </c>
      <c r="K1140" s="469">
        <v>1.53</v>
      </c>
    </row>
    <row r="1141" spans="2:11" x14ac:dyDescent="0.35">
      <c r="B1141" s="62">
        <v>12.25</v>
      </c>
      <c r="C1141" s="471">
        <v>1157</v>
      </c>
      <c r="D1141" s="471">
        <v>1150.3</v>
      </c>
      <c r="E1141" s="469">
        <v>53.08</v>
      </c>
      <c r="F1141" s="469">
        <v>5.5</v>
      </c>
      <c r="G1141" s="469">
        <v>4.9000000000000004</v>
      </c>
      <c r="H1141" s="470">
        <v>153</v>
      </c>
      <c r="I1141" s="470">
        <v>770</v>
      </c>
      <c r="J1141" s="470">
        <v>2652</v>
      </c>
      <c r="K1141" s="469">
        <v>1.53</v>
      </c>
    </row>
    <row r="1142" spans="2:11" x14ac:dyDescent="0.35">
      <c r="B1142" s="62">
        <v>12.25</v>
      </c>
      <c r="C1142" s="471">
        <v>1158</v>
      </c>
      <c r="D1142" s="471">
        <v>1151.3</v>
      </c>
      <c r="E1142" s="469">
        <v>58.85</v>
      </c>
      <c r="F1142" s="469">
        <v>4.9000000000000004</v>
      </c>
      <c r="G1142" s="469">
        <v>4.5</v>
      </c>
      <c r="H1142" s="470">
        <v>153</v>
      </c>
      <c r="I1142" s="470">
        <v>771</v>
      </c>
      <c r="J1142" s="470">
        <v>2642</v>
      </c>
      <c r="K1142" s="469">
        <v>1.53</v>
      </c>
    </row>
    <row r="1143" spans="2:11" x14ac:dyDescent="0.35">
      <c r="B1143" s="62">
        <v>12.25</v>
      </c>
      <c r="C1143" s="471">
        <v>1159</v>
      </c>
      <c r="D1143" s="471">
        <v>1152.3</v>
      </c>
      <c r="E1143" s="469">
        <v>66.41</v>
      </c>
      <c r="F1143" s="469">
        <v>6.5</v>
      </c>
      <c r="G1143" s="469">
        <v>4.9000000000000004</v>
      </c>
      <c r="H1143" s="470">
        <v>153</v>
      </c>
      <c r="I1143" s="470">
        <v>770</v>
      </c>
      <c r="J1143" s="470">
        <v>2701</v>
      </c>
      <c r="K1143" s="469">
        <v>1.53</v>
      </c>
    </row>
    <row r="1144" spans="2:11" x14ac:dyDescent="0.35">
      <c r="B1144" s="62">
        <v>12.25</v>
      </c>
      <c r="C1144" s="471">
        <v>1160</v>
      </c>
      <c r="D1144" s="471">
        <v>1153.3</v>
      </c>
      <c r="E1144" s="469">
        <v>60.64</v>
      </c>
      <c r="F1144" s="469">
        <v>6</v>
      </c>
      <c r="G1144" s="469">
        <v>4.3</v>
      </c>
      <c r="H1144" s="470">
        <v>153</v>
      </c>
      <c r="I1144" s="470">
        <v>770</v>
      </c>
      <c r="J1144" s="470">
        <v>2672</v>
      </c>
      <c r="K1144" s="469">
        <v>1.53</v>
      </c>
    </row>
    <row r="1145" spans="2:11" x14ac:dyDescent="0.35">
      <c r="B1145" s="62">
        <v>12.25</v>
      </c>
      <c r="C1145" s="471">
        <v>1161</v>
      </c>
      <c r="D1145" s="471">
        <v>1154.2</v>
      </c>
      <c r="E1145" s="469">
        <v>53.65</v>
      </c>
      <c r="F1145" s="469">
        <v>6.6</v>
      </c>
      <c r="G1145" s="469">
        <v>6.1</v>
      </c>
      <c r="H1145" s="470">
        <v>153</v>
      </c>
      <c r="I1145" s="470">
        <v>770</v>
      </c>
      <c r="J1145" s="470">
        <v>2721</v>
      </c>
      <c r="K1145" s="469">
        <v>1.53</v>
      </c>
    </row>
    <row r="1146" spans="2:11" x14ac:dyDescent="0.35">
      <c r="B1146" s="62">
        <v>12.25</v>
      </c>
      <c r="C1146" s="471">
        <v>1162</v>
      </c>
      <c r="D1146" s="471">
        <v>1155.2</v>
      </c>
      <c r="E1146" s="469">
        <v>47.83</v>
      </c>
      <c r="F1146" s="469">
        <v>6</v>
      </c>
      <c r="G1146" s="469">
        <v>5.0999999999999996</v>
      </c>
      <c r="H1146" s="470">
        <v>153</v>
      </c>
      <c r="I1146" s="470">
        <v>771</v>
      </c>
      <c r="J1146" s="470">
        <v>2689</v>
      </c>
      <c r="K1146" s="469">
        <v>1.53</v>
      </c>
    </row>
    <row r="1147" spans="2:11" x14ac:dyDescent="0.35">
      <c r="B1147" s="62">
        <v>12.25</v>
      </c>
      <c r="C1147" s="471">
        <v>1163</v>
      </c>
      <c r="D1147" s="471">
        <v>1156.2</v>
      </c>
      <c r="E1147" s="469">
        <v>70.08</v>
      </c>
      <c r="F1147" s="469">
        <v>7</v>
      </c>
      <c r="G1147" s="469">
        <v>5.3</v>
      </c>
      <c r="H1147" s="470">
        <v>153</v>
      </c>
      <c r="I1147" s="470">
        <v>771</v>
      </c>
      <c r="J1147" s="470">
        <v>2720</v>
      </c>
      <c r="K1147" s="469">
        <v>1.53</v>
      </c>
    </row>
    <row r="1148" spans="2:11" x14ac:dyDescent="0.35">
      <c r="B1148" s="62">
        <v>12.25</v>
      </c>
      <c r="C1148" s="471">
        <v>1164</v>
      </c>
      <c r="D1148" s="471">
        <v>1157.2</v>
      </c>
      <c r="E1148" s="469">
        <v>56.94</v>
      </c>
      <c r="F1148" s="469">
        <v>6.2</v>
      </c>
      <c r="G1148" s="469">
        <v>4.9000000000000004</v>
      </c>
      <c r="H1148" s="470">
        <v>153</v>
      </c>
      <c r="I1148" s="470">
        <v>771</v>
      </c>
      <c r="J1148" s="470">
        <v>2699</v>
      </c>
      <c r="K1148" s="469">
        <v>1.53</v>
      </c>
    </row>
    <row r="1149" spans="2:11" x14ac:dyDescent="0.35">
      <c r="B1149" s="62">
        <v>12.25</v>
      </c>
      <c r="C1149" s="471">
        <v>1165</v>
      </c>
      <c r="D1149" s="471">
        <v>1158.0999999999999</v>
      </c>
      <c r="E1149" s="469">
        <v>65.900000000000006</v>
      </c>
      <c r="F1149" s="469">
        <v>6.5</v>
      </c>
      <c r="G1149" s="469">
        <v>6</v>
      </c>
      <c r="H1149" s="470">
        <v>153</v>
      </c>
      <c r="I1149" s="470">
        <v>770</v>
      </c>
      <c r="J1149" s="470">
        <v>2725</v>
      </c>
      <c r="K1149" s="469">
        <v>1.53</v>
      </c>
    </row>
    <row r="1150" spans="2:11" x14ac:dyDescent="0.35">
      <c r="B1150" s="62">
        <v>12.25</v>
      </c>
      <c r="C1150" s="471">
        <v>1166</v>
      </c>
      <c r="D1150" s="471">
        <v>1159.2</v>
      </c>
      <c r="E1150" s="469">
        <v>53.18</v>
      </c>
      <c r="F1150" s="469">
        <v>5.9</v>
      </c>
      <c r="G1150" s="469">
        <v>5.0999999999999996</v>
      </c>
      <c r="H1150" s="470">
        <v>153</v>
      </c>
      <c r="I1150" s="470">
        <v>772</v>
      </c>
      <c r="J1150" s="470">
        <v>2684</v>
      </c>
      <c r="K1150" s="469">
        <v>1.53</v>
      </c>
    </row>
    <row r="1151" spans="2:11" x14ac:dyDescent="0.35">
      <c r="B1151" s="62">
        <v>12.25</v>
      </c>
      <c r="C1151" s="471">
        <v>1167</v>
      </c>
      <c r="D1151" s="471">
        <v>1160.0999999999999</v>
      </c>
      <c r="E1151" s="469">
        <v>72.569999999999993</v>
      </c>
      <c r="F1151" s="469">
        <v>7</v>
      </c>
      <c r="G1151" s="469">
        <v>5.5</v>
      </c>
      <c r="H1151" s="470">
        <v>153</v>
      </c>
      <c r="I1151" s="470">
        <v>771</v>
      </c>
      <c r="J1151" s="470">
        <v>2722</v>
      </c>
      <c r="K1151" s="469">
        <v>1.53</v>
      </c>
    </row>
    <row r="1152" spans="2:11" x14ac:dyDescent="0.35">
      <c r="B1152" s="62">
        <v>12.25</v>
      </c>
      <c r="C1152" s="471">
        <v>1168</v>
      </c>
      <c r="D1152" s="471">
        <v>1161.0999999999999</v>
      </c>
      <c r="E1152" s="469">
        <v>48.46</v>
      </c>
      <c r="F1152" s="469">
        <v>6.1</v>
      </c>
      <c r="G1152" s="469">
        <v>5.6</v>
      </c>
      <c r="H1152" s="470">
        <v>153</v>
      </c>
      <c r="I1152" s="470">
        <v>771</v>
      </c>
      <c r="J1152" s="470">
        <v>2696</v>
      </c>
      <c r="K1152" s="469">
        <v>1.53</v>
      </c>
    </row>
    <row r="1153" spans="2:11" x14ac:dyDescent="0.35">
      <c r="B1153" s="62">
        <v>12.25</v>
      </c>
      <c r="C1153" s="471">
        <v>1169</v>
      </c>
      <c r="D1153" s="471">
        <v>1162.0999999999999</v>
      </c>
      <c r="E1153" s="469">
        <v>60.9</v>
      </c>
      <c r="F1153" s="469">
        <v>5.9</v>
      </c>
      <c r="G1153" s="469">
        <v>5.2</v>
      </c>
      <c r="H1153" s="470">
        <v>153</v>
      </c>
      <c r="I1153" s="470">
        <v>770</v>
      </c>
      <c r="J1153" s="470">
        <v>2707</v>
      </c>
      <c r="K1153" s="469">
        <v>1.53</v>
      </c>
    </row>
    <row r="1154" spans="2:11" x14ac:dyDescent="0.35">
      <c r="B1154" s="62">
        <v>12.25</v>
      </c>
      <c r="C1154" s="471">
        <v>1170</v>
      </c>
      <c r="D1154" s="471">
        <v>1163.0999999999999</v>
      </c>
      <c r="E1154" s="469">
        <v>52.39</v>
      </c>
      <c r="F1154" s="469">
        <v>6.4</v>
      </c>
      <c r="G1154" s="469">
        <v>5.5</v>
      </c>
      <c r="H1154" s="470">
        <v>153</v>
      </c>
      <c r="I1154" s="470">
        <v>770</v>
      </c>
      <c r="J1154" s="470">
        <v>2722</v>
      </c>
      <c r="K1154" s="469">
        <v>1.53</v>
      </c>
    </row>
    <row r="1155" spans="2:11" x14ac:dyDescent="0.35">
      <c r="B1155" s="62">
        <v>12.25</v>
      </c>
      <c r="C1155" s="471">
        <v>1171</v>
      </c>
      <c r="D1155" s="471">
        <v>1164.0999999999999</v>
      </c>
      <c r="E1155" s="469">
        <v>55.72</v>
      </c>
      <c r="F1155" s="469">
        <v>5.6</v>
      </c>
      <c r="G1155" s="469">
        <v>4.9000000000000004</v>
      </c>
      <c r="H1155" s="470">
        <v>153</v>
      </c>
      <c r="I1155" s="470">
        <v>771</v>
      </c>
      <c r="J1155" s="470">
        <v>2686</v>
      </c>
      <c r="K1155" s="469">
        <v>1.53</v>
      </c>
    </row>
    <row r="1156" spans="2:11" x14ac:dyDescent="0.35">
      <c r="B1156" s="62">
        <v>12.25</v>
      </c>
      <c r="C1156" s="471">
        <v>1172</v>
      </c>
      <c r="D1156" s="471">
        <v>1165.0999999999999</v>
      </c>
      <c r="E1156" s="469">
        <v>55.59</v>
      </c>
      <c r="F1156" s="469">
        <v>5.6</v>
      </c>
      <c r="G1156" s="469">
        <v>5.2</v>
      </c>
      <c r="H1156" s="470">
        <v>153</v>
      </c>
      <c r="I1156" s="470">
        <v>772</v>
      </c>
      <c r="J1156" s="470">
        <v>2681</v>
      </c>
      <c r="K1156" s="469">
        <v>1.53</v>
      </c>
    </row>
    <row r="1157" spans="2:11" x14ac:dyDescent="0.35">
      <c r="B1157" s="62">
        <v>12.25</v>
      </c>
      <c r="C1157" s="471">
        <v>1173</v>
      </c>
      <c r="D1157" s="471">
        <v>1166.0999999999999</v>
      </c>
      <c r="E1157" s="469">
        <v>59.96</v>
      </c>
      <c r="F1157" s="469">
        <v>5.6</v>
      </c>
      <c r="G1157" s="469">
        <v>4.8</v>
      </c>
      <c r="H1157" s="470">
        <v>153</v>
      </c>
      <c r="I1157" s="470">
        <v>772</v>
      </c>
      <c r="J1157" s="470">
        <v>2688</v>
      </c>
      <c r="K1157" s="469">
        <v>1.53</v>
      </c>
    </row>
    <row r="1158" spans="2:11" x14ac:dyDescent="0.35">
      <c r="B1158" s="62">
        <v>12.25</v>
      </c>
      <c r="C1158" s="471">
        <v>1174</v>
      </c>
      <c r="D1158" s="471">
        <v>1167.0999999999999</v>
      </c>
      <c r="E1158" s="469">
        <v>56.07</v>
      </c>
      <c r="F1158" s="469">
        <v>5.2</v>
      </c>
      <c r="G1158" s="469">
        <v>4.9000000000000004</v>
      </c>
      <c r="H1158" s="470">
        <v>153</v>
      </c>
      <c r="I1158" s="470">
        <v>771</v>
      </c>
      <c r="J1158" s="470">
        <v>2664</v>
      </c>
      <c r="K1158" s="469">
        <v>1.53</v>
      </c>
    </row>
    <row r="1159" spans="2:11" x14ac:dyDescent="0.35">
      <c r="B1159" s="62">
        <v>12.25</v>
      </c>
      <c r="C1159" s="471">
        <v>1175</v>
      </c>
      <c r="D1159" s="471">
        <v>1168</v>
      </c>
      <c r="E1159" s="469">
        <v>49.55</v>
      </c>
      <c r="F1159" s="469">
        <v>4.7</v>
      </c>
      <c r="G1159" s="469">
        <v>4.5</v>
      </c>
      <c r="H1159" s="470">
        <v>150</v>
      </c>
      <c r="I1159" s="470">
        <v>745</v>
      </c>
      <c r="J1159" s="470">
        <v>2566</v>
      </c>
      <c r="K1159" s="469">
        <v>1.53</v>
      </c>
    </row>
    <row r="1160" spans="2:11" x14ac:dyDescent="0.35">
      <c r="B1160" s="62">
        <v>12.25</v>
      </c>
      <c r="C1160" s="471">
        <v>1176</v>
      </c>
      <c r="D1160" s="471">
        <v>1169</v>
      </c>
      <c r="E1160" s="469">
        <v>12.21</v>
      </c>
      <c r="F1160" s="469">
        <v>3.5</v>
      </c>
      <c r="G1160" s="469">
        <v>3.8</v>
      </c>
      <c r="H1160" s="470">
        <v>148</v>
      </c>
      <c r="I1160" s="470">
        <v>727</v>
      </c>
      <c r="J1160" s="470">
        <v>2352</v>
      </c>
      <c r="K1160" s="469">
        <v>1.53</v>
      </c>
    </row>
    <row r="1161" spans="2:11" x14ac:dyDescent="0.35">
      <c r="B1161" s="62">
        <v>12.25</v>
      </c>
      <c r="C1161" s="471">
        <v>1177</v>
      </c>
      <c r="D1161" s="471">
        <v>1170</v>
      </c>
      <c r="E1161" s="469">
        <v>61.54</v>
      </c>
      <c r="F1161" s="469">
        <v>6.4</v>
      </c>
      <c r="G1161" s="469">
        <v>5.4</v>
      </c>
      <c r="H1161" s="470">
        <v>153</v>
      </c>
      <c r="I1161" s="470">
        <v>770</v>
      </c>
      <c r="J1161" s="470">
        <v>2724</v>
      </c>
      <c r="K1161" s="469">
        <v>1.54</v>
      </c>
    </row>
    <row r="1162" spans="2:11" x14ac:dyDescent="0.35">
      <c r="B1162" s="62">
        <v>12.25</v>
      </c>
      <c r="C1162" s="471">
        <v>1178</v>
      </c>
      <c r="D1162" s="471">
        <v>1170.9000000000001</v>
      </c>
      <c r="E1162" s="469">
        <v>24.02</v>
      </c>
      <c r="F1162" s="469">
        <v>5.4</v>
      </c>
      <c r="G1162" s="469">
        <v>4.9000000000000004</v>
      </c>
      <c r="H1162" s="470">
        <v>153</v>
      </c>
      <c r="I1162" s="470">
        <v>772</v>
      </c>
      <c r="J1162" s="470">
        <v>2682</v>
      </c>
      <c r="K1162" s="469">
        <v>1.54</v>
      </c>
    </row>
    <row r="1163" spans="2:11" x14ac:dyDescent="0.35">
      <c r="B1163" s="62">
        <v>12.25</v>
      </c>
      <c r="C1163" s="471">
        <v>1179</v>
      </c>
      <c r="D1163" s="471">
        <v>1171.9000000000001</v>
      </c>
      <c r="E1163" s="469">
        <v>33.75</v>
      </c>
      <c r="F1163" s="469">
        <v>3.6</v>
      </c>
      <c r="G1163" s="469">
        <v>4.0999999999999996</v>
      </c>
      <c r="H1163" s="470">
        <v>154</v>
      </c>
      <c r="I1163" s="470">
        <v>782</v>
      </c>
      <c r="J1163" s="470">
        <v>2705</v>
      </c>
      <c r="K1163" s="469">
        <v>1.55</v>
      </c>
    </row>
    <row r="1164" spans="2:11" x14ac:dyDescent="0.35">
      <c r="B1164" s="62">
        <v>12.25</v>
      </c>
      <c r="C1164" s="471">
        <v>1180</v>
      </c>
      <c r="D1164" s="471">
        <v>1172.9000000000001</v>
      </c>
      <c r="E1164" s="469">
        <v>52.12</v>
      </c>
      <c r="F1164" s="469">
        <v>5.2</v>
      </c>
      <c r="G1164" s="469">
        <v>4.3</v>
      </c>
      <c r="H1164" s="470">
        <v>154</v>
      </c>
      <c r="I1164" s="470">
        <v>778</v>
      </c>
      <c r="J1164" s="470">
        <v>2746</v>
      </c>
      <c r="K1164" s="469">
        <v>1.55</v>
      </c>
    </row>
    <row r="1165" spans="2:11" x14ac:dyDescent="0.35">
      <c r="B1165" s="62">
        <v>12.25</v>
      </c>
      <c r="C1165" s="471">
        <v>1181</v>
      </c>
      <c r="D1165" s="471">
        <v>1174</v>
      </c>
      <c r="E1165" s="469">
        <v>42.92</v>
      </c>
      <c r="F1165" s="469">
        <v>6</v>
      </c>
      <c r="G1165" s="469">
        <v>4.5</v>
      </c>
      <c r="H1165" s="470">
        <v>154</v>
      </c>
      <c r="I1165" s="470">
        <v>781</v>
      </c>
      <c r="J1165" s="470">
        <v>2783</v>
      </c>
      <c r="K1165" s="469">
        <v>1.55</v>
      </c>
    </row>
    <row r="1166" spans="2:11" x14ac:dyDescent="0.35">
      <c r="B1166" s="62">
        <v>12.25</v>
      </c>
      <c r="C1166" s="471">
        <v>1182</v>
      </c>
      <c r="D1166" s="471">
        <v>1174.9000000000001</v>
      </c>
      <c r="E1166" s="469">
        <v>51.4</v>
      </c>
      <c r="F1166" s="469">
        <v>5.7</v>
      </c>
      <c r="G1166" s="469">
        <v>4.7</v>
      </c>
      <c r="H1166" s="470">
        <v>154</v>
      </c>
      <c r="I1166" s="470">
        <v>779</v>
      </c>
      <c r="J1166" s="470">
        <v>2777</v>
      </c>
      <c r="K1166" s="469">
        <v>1.55</v>
      </c>
    </row>
    <row r="1167" spans="2:11" x14ac:dyDescent="0.35">
      <c r="B1167" s="62">
        <v>12.25</v>
      </c>
      <c r="C1167" s="471">
        <v>1183</v>
      </c>
      <c r="D1167" s="471">
        <v>1175.9000000000001</v>
      </c>
      <c r="E1167" s="469">
        <v>42.56</v>
      </c>
      <c r="F1167" s="469">
        <v>5.4</v>
      </c>
      <c r="G1167" s="469">
        <v>4.4000000000000004</v>
      </c>
      <c r="H1167" s="470">
        <v>154</v>
      </c>
      <c r="I1167" s="470">
        <v>779</v>
      </c>
      <c r="J1167" s="470">
        <v>2769</v>
      </c>
      <c r="K1167" s="469">
        <v>1.55</v>
      </c>
    </row>
    <row r="1168" spans="2:11" x14ac:dyDescent="0.35">
      <c r="B1168" s="62">
        <v>12.25</v>
      </c>
      <c r="C1168" s="471">
        <v>1184</v>
      </c>
      <c r="D1168" s="471">
        <v>1176.9000000000001</v>
      </c>
      <c r="E1168" s="469">
        <v>64.3</v>
      </c>
      <c r="F1168" s="469">
        <v>7.4</v>
      </c>
      <c r="G1168" s="469">
        <v>5.7</v>
      </c>
      <c r="H1168" s="470">
        <v>154</v>
      </c>
      <c r="I1168" s="470">
        <v>779</v>
      </c>
      <c r="J1168" s="470">
        <v>2831</v>
      </c>
      <c r="K1168" s="469">
        <v>1.55</v>
      </c>
    </row>
    <row r="1169" spans="2:11" x14ac:dyDescent="0.35">
      <c r="B1169" s="62">
        <v>12.25</v>
      </c>
      <c r="C1169" s="471">
        <v>1185</v>
      </c>
      <c r="D1169" s="471">
        <v>1177.9000000000001</v>
      </c>
      <c r="E1169" s="469">
        <v>64.510000000000005</v>
      </c>
      <c r="F1169" s="469">
        <v>8</v>
      </c>
      <c r="G1169" s="469">
        <v>5.5</v>
      </c>
      <c r="H1169" s="470">
        <v>154</v>
      </c>
      <c r="I1169" s="470">
        <v>779</v>
      </c>
      <c r="J1169" s="470">
        <v>2843</v>
      </c>
      <c r="K1169" s="469">
        <v>1.55</v>
      </c>
    </row>
    <row r="1170" spans="2:11" x14ac:dyDescent="0.35">
      <c r="B1170" s="62">
        <v>12.25</v>
      </c>
      <c r="C1170" s="471">
        <v>1186</v>
      </c>
      <c r="D1170" s="471">
        <v>1178.8</v>
      </c>
      <c r="E1170" s="469">
        <v>75.48</v>
      </c>
      <c r="F1170" s="469">
        <v>8.3000000000000007</v>
      </c>
      <c r="G1170" s="469">
        <v>6.1</v>
      </c>
      <c r="H1170" s="470">
        <v>153</v>
      </c>
      <c r="I1170" s="470">
        <v>778</v>
      </c>
      <c r="J1170" s="470">
        <v>2843</v>
      </c>
      <c r="K1170" s="469">
        <v>1.55</v>
      </c>
    </row>
    <row r="1171" spans="2:11" x14ac:dyDescent="0.35">
      <c r="B1171" s="62">
        <v>12.25</v>
      </c>
      <c r="C1171" s="471">
        <v>1187</v>
      </c>
      <c r="D1171" s="471">
        <v>1179.8</v>
      </c>
      <c r="E1171" s="469">
        <v>83.75</v>
      </c>
      <c r="F1171" s="469">
        <v>7.7</v>
      </c>
      <c r="G1171" s="469">
        <v>5.9</v>
      </c>
      <c r="H1171" s="470">
        <v>154</v>
      </c>
      <c r="I1171" s="470">
        <v>780</v>
      </c>
      <c r="J1171" s="470">
        <v>2831</v>
      </c>
      <c r="K1171" s="469">
        <v>1.55</v>
      </c>
    </row>
    <row r="1172" spans="2:11" x14ac:dyDescent="0.35">
      <c r="B1172" s="62">
        <v>12.25</v>
      </c>
      <c r="C1172" s="471">
        <v>1188</v>
      </c>
      <c r="D1172" s="471">
        <v>1180.8</v>
      </c>
      <c r="E1172" s="469">
        <v>65.08</v>
      </c>
      <c r="F1172" s="469">
        <v>9.4</v>
      </c>
      <c r="G1172" s="469">
        <v>5.4</v>
      </c>
      <c r="H1172" s="470">
        <v>153</v>
      </c>
      <c r="I1172" s="470">
        <v>777</v>
      </c>
      <c r="J1172" s="470">
        <v>2870</v>
      </c>
      <c r="K1172" s="469">
        <v>1.55</v>
      </c>
    </row>
    <row r="1173" spans="2:11" x14ac:dyDescent="0.35">
      <c r="B1173" s="62">
        <v>12.25</v>
      </c>
      <c r="C1173" s="471">
        <v>1189</v>
      </c>
      <c r="D1173" s="471">
        <v>1181.8</v>
      </c>
      <c r="E1173" s="469">
        <v>65.709999999999994</v>
      </c>
      <c r="F1173" s="469">
        <v>8.1</v>
      </c>
      <c r="G1173" s="469">
        <v>6</v>
      </c>
      <c r="H1173" s="470">
        <v>154</v>
      </c>
      <c r="I1173" s="470">
        <v>779</v>
      </c>
      <c r="J1173" s="470">
        <v>2855</v>
      </c>
      <c r="K1173" s="469">
        <v>1.55</v>
      </c>
    </row>
    <row r="1174" spans="2:11" x14ac:dyDescent="0.35">
      <c r="B1174" s="62">
        <v>12.25</v>
      </c>
      <c r="C1174" s="471">
        <v>1190</v>
      </c>
      <c r="D1174" s="471">
        <v>1182.8</v>
      </c>
      <c r="E1174" s="469">
        <v>72.33</v>
      </c>
      <c r="F1174" s="469">
        <v>8.5</v>
      </c>
      <c r="G1174" s="469">
        <v>6.1</v>
      </c>
      <c r="H1174" s="470">
        <v>153</v>
      </c>
      <c r="I1174" s="470">
        <v>778</v>
      </c>
      <c r="J1174" s="470">
        <v>2862</v>
      </c>
      <c r="K1174" s="469">
        <v>1.55</v>
      </c>
    </row>
    <row r="1175" spans="2:11" x14ac:dyDescent="0.35">
      <c r="B1175" s="62">
        <v>12.25</v>
      </c>
      <c r="C1175" s="471">
        <v>1191</v>
      </c>
      <c r="D1175" s="471">
        <v>1183.8</v>
      </c>
      <c r="E1175" s="469">
        <v>62.63</v>
      </c>
      <c r="F1175" s="469">
        <v>8.3000000000000007</v>
      </c>
      <c r="G1175" s="469">
        <v>6.1</v>
      </c>
      <c r="H1175" s="470">
        <v>153</v>
      </c>
      <c r="I1175" s="470">
        <v>778</v>
      </c>
      <c r="J1175" s="470">
        <v>2856</v>
      </c>
      <c r="K1175" s="469">
        <v>1.55</v>
      </c>
    </row>
    <row r="1176" spans="2:11" x14ac:dyDescent="0.35">
      <c r="B1176" s="62">
        <v>12.25</v>
      </c>
      <c r="C1176" s="471">
        <v>1192</v>
      </c>
      <c r="D1176" s="471">
        <v>1184.7</v>
      </c>
      <c r="E1176" s="469">
        <v>73.13</v>
      </c>
      <c r="F1176" s="469">
        <v>6.3</v>
      </c>
      <c r="G1176" s="469">
        <v>4.8</v>
      </c>
      <c r="H1176" s="470">
        <v>154</v>
      </c>
      <c r="I1176" s="470">
        <v>778</v>
      </c>
      <c r="J1176" s="470">
        <v>2781</v>
      </c>
      <c r="K1176" s="469">
        <v>1.55</v>
      </c>
    </row>
    <row r="1177" spans="2:11" x14ac:dyDescent="0.35">
      <c r="B1177" s="62">
        <v>12.25</v>
      </c>
      <c r="C1177" s="471">
        <v>1193</v>
      </c>
      <c r="D1177" s="471">
        <v>1185.7</v>
      </c>
      <c r="E1177" s="469">
        <v>91.57</v>
      </c>
      <c r="F1177" s="469">
        <v>9.4</v>
      </c>
      <c r="G1177" s="469">
        <v>5.8</v>
      </c>
      <c r="H1177" s="470">
        <v>154</v>
      </c>
      <c r="I1177" s="470">
        <v>778</v>
      </c>
      <c r="J1177" s="470">
        <v>2828</v>
      </c>
      <c r="K1177" s="469">
        <v>1.55</v>
      </c>
    </row>
    <row r="1178" spans="2:11" x14ac:dyDescent="0.35">
      <c r="B1178" s="62">
        <v>12.25</v>
      </c>
      <c r="C1178" s="471">
        <v>1194</v>
      </c>
      <c r="D1178" s="471">
        <v>1186.7</v>
      </c>
      <c r="E1178" s="469">
        <v>56.63</v>
      </c>
      <c r="F1178" s="469">
        <v>8.5</v>
      </c>
      <c r="G1178" s="469">
        <v>5.9</v>
      </c>
      <c r="H1178" s="470">
        <v>154</v>
      </c>
      <c r="I1178" s="470">
        <v>779</v>
      </c>
      <c r="J1178" s="470">
        <v>2846</v>
      </c>
      <c r="K1178" s="469">
        <v>1.55</v>
      </c>
    </row>
    <row r="1179" spans="2:11" x14ac:dyDescent="0.35">
      <c r="B1179" s="62">
        <v>12.25</v>
      </c>
      <c r="C1179" s="471">
        <v>1195</v>
      </c>
      <c r="D1179" s="471">
        <v>1187.7</v>
      </c>
      <c r="E1179" s="469">
        <v>79.78</v>
      </c>
      <c r="F1179" s="469">
        <v>7.4</v>
      </c>
      <c r="G1179" s="469">
        <v>5.9</v>
      </c>
      <c r="H1179" s="470">
        <v>154</v>
      </c>
      <c r="I1179" s="470">
        <v>778</v>
      </c>
      <c r="J1179" s="470">
        <v>2822</v>
      </c>
      <c r="K1179" s="469">
        <v>1.55</v>
      </c>
    </row>
    <row r="1180" spans="2:11" x14ac:dyDescent="0.35">
      <c r="B1180" s="62">
        <v>12.25</v>
      </c>
      <c r="C1180" s="471">
        <v>1196</v>
      </c>
      <c r="D1180" s="471">
        <v>1188.7</v>
      </c>
      <c r="E1180" s="469">
        <v>60.06</v>
      </c>
      <c r="F1180" s="469">
        <v>6.7</v>
      </c>
      <c r="G1180" s="469">
        <v>5.4</v>
      </c>
      <c r="H1180" s="470">
        <v>153</v>
      </c>
      <c r="I1180" s="470">
        <v>777</v>
      </c>
      <c r="J1180" s="470">
        <v>2779</v>
      </c>
      <c r="K1180" s="469">
        <v>1.55</v>
      </c>
    </row>
    <row r="1181" spans="2:11" x14ac:dyDescent="0.35">
      <c r="B1181" s="62">
        <v>12.25</v>
      </c>
      <c r="C1181" s="471">
        <v>1197</v>
      </c>
      <c r="D1181" s="471">
        <v>1189.7</v>
      </c>
      <c r="E1181" s="469">
        <v>68.680000000000007</v>
      </c>
      <c r="F1181" s="469">
        <v>7</v>
      </c>
      <c r="G1181" s="469">
        <v>5.0999999999999996</v>
      </c>
      <c r="H1181" s="470">
        <v>153</v>
      </c>
      <c r="I1181" s="470">
        <v>778</v>
      </c>
      <c r="J1181" s="470">
        <v>2806</v>
      </c>
      <c r="K1181" s="469">
        <v>1.55</v>
      </c>
    </row>
    <row r="1182" spans="2:11" x14ac:dyDescent="0.35">
      <c r="B1182" s="62">
        <v>12.25</v>
      </c>
      <c r="C1182" s="471">
        <v>1198</v>
      </c>
      <c r="D1182" s="471">
        <v>1190.5999999999999</v>
      </c>
      <c r="E1182" s="469">
        <v>43.92</v>
      </c>
      <c r="F1182" s="469">
        <v>7.7</v>
      </c>
      <c r="G1182" s="469">
        <v>4.8</v>
      </c>
      <c r="H1182" s="470">
        <v>154</v>
      </c>
      <c r="I1182" s="470">
        <v>780</v>
      </c>
      <c r="J1182" s="470">
        <v>2790</v>
      </c>
      <c r="K1182" s="469">
        <v>1.55</v>
      </c>
    </row>
    <row r="1183" spans="2:11" x14ac:dyDescent="0.35">
      <c r="B1183" s="62">
        <v>12.25</v>
      </c>
      <c r="C1183" s="471">
        <v>1199</v>
      </c>
      <c r="D1183" s="471">
        <v>1191.5999999999999</v>
      </c>
      <c r="E1183" s="469">
        <v>65.599999999999994</v>
      </c>
      <c r="F1183" s="469">
        <v>6</v>
      </c>
      <c r="G1183" s="469">
        <v>4.7</v>
      </c>
      <c r="H1183" s="470">
        <v>153</v>
      </c>
      <c r="I1183" s="470">
        <v>777</v>
      </c>
      <c r="J1183" s="470">
        <v>2759</v>
      </c>
      <c r="K1183" s="469">
        <v>1.57</v>
      </c>
    </row>
    <row r="1184" spans="2:11" x14ac:dyDescent="0.35">
      <c r="B1184" s="62">
        <v>12.25</v>
      </c>
      <c r="C1184" s="471">
        <v>1200</v>
      </c>
      <c r="D1184" s="471">
        <v>1192.7</v>
      </c>
      <c r="E1184" s="469">
        <v>76.31</v>
      </c>
      <c r="F1184" s="469">
        <v>7</v>
      </c>
      <c r="G1184" s="469">
        <v>4.9000000000000004</v>
      </c>
      <c r="H1184" s="470">
        <v>154</v>
      </c>
      <c r="I1184" s="470">
        <v>779</v>
      </c>
      <c r="J1184" s="470">
        <v>2789</v>
      </c>
      <c r="K1184" s="469">
        <v>1.57</v>
      </c>
    </row>
    <row r="1185" spans="2:11" x14ac:dyDescent="0.35">
      <c r="B1185" s="62">
        <v>12.25</v>
      </c>
      <c r="C1185" s="471">
        <v>1201</v>
      </c>
      <c r="D1185" s="471">
        <v>1193.5999999999999</v>
      </c>
      <c r="E1185" s="469">
        <v>55.59</v>
      </c>
      <c r="F1185" s="469">
        <v>6.9</v>
      </c>
      <c r="G1185" s="469">
        <v>4.2</v>
      </c>
      <c r="H1185" s="470">
        <v>154</v>
      </c>
      <c r="I1185" s="470">
        <v>783</v>
      </c>
      <c r="J1185" s="470">
        <v>2768</v>
      </c>
      <c r="K1185" s="469">
        <v>1.57</v>
      </c>
    </row>
    <row r="1186" spans="2:11" x14ac:dyDescent="0.35">
      <c r="B1186" s="62">
        <v>12.25</v>
      </c>
      <c r="C1186" s="471">
        <v>1202</v>
      </c>
      <c r="D1186" s="471">
        <v>1194.5999999999999</v>
      </c>
      <c r="E1186" s="469">
        <v>61.83</v>
      </c>
      <c r="F1186" s="469">
        <v>6.2</v>
      </c>
      <c r="G1186" s="469">
        <v>5.0999999999999996</v>
      </c>
      <c r="H1186" s="470">
        <v>154</v>
      </c>
      <c r="I1186" s="470">
        <v>779</v>
      </c>
      <c r="J1186" s="470">
        <v>2784</v>
      </c>
      <c r="K1186" s="469">
        <v>1.57</v>
      </c>
    </row>
    <row r="1187" spans="2:11" x14ac:dyDescent="0.35">
      <c r="B1187" s="62">
        <v>12.25</v>
      </c>
      <c r="C1187" s="471">
        <v>1203</v>
      </c>
      <c r="D1187" s="471">
        <v>1195.5999999999999</v>
      </c>
      <c r="E1187" s="469">
        <v>54</v>
      </c>
      <c r="F1187" s="469">
        <v>6.3</v>
      </c>
      <c r="G1187" s="469">
        <v>5.0999999999999996</v>
      </c>
      <c r="H1187" s="470">
        <v>154</v>
      </c>
      <c r="I1187" s="470">
        <v>780</v>
      </c>
      <c r="J1187" s="470">
        <v>2773</v>
      </c>
      <c r="K1187" s="469">
        <v>1.57</v>
      </c>
    </row>
    <row r="1188" spans="2:11" x14ac:dyDescent="0.35">
      <c r="B1188" s="62">
        <v>12.25</v>
      </c>
      <c r="C1188" s="471">
        <v>1204</v>
      </c>
      <c r="D1188" s="471">
        <v>1196.5999999999999</v>
      </c>
      <c r="E1188" s="469">
        <v>14.85</v>
      </c>
      <c r="F1188" s="469">
        <v>3.9</v>
      </c>
      <c r="G1188" s="469">
        <v>3.7</v>
      </c>
      <c r="H1188" s="470">
        <v>149</v>
      </c>
      <c r="I1188" s="470">
        <v>737</v>
      </c>
      <c r="J1188" s="470">
        <v>2416</v>
      </c>
      <c r="K1188" s="469">
        <v>1.57</v>
      </c>
    </row>
    <row r="1189" spans="2:11" x14ac:dyDescent="0.35">
      <c r="B1189" s="62">
        <v>12.25</v>
      </c>
      <c r="C1189" s="471">
        <v>1205</v>
      </c>
      <c r="D1189" s="471">
        <v>1197.5999999999999</v>
      </c>
      <c r="E1189" s="469">
        <v>38.549999999999997</v>
      </c>
      <c r="F1189" s="469">
        <v>5.2</v>
      </c>
      <c r="G1189" s="469">
        <v>4.8</v>
      </c>
      <c r="H1189" s="470">
        <v>149</v>
      </c>
      <c r="I1189" s="470">
        <v>738</v>
      </c>
      <c r="J1189" s="470">
        <v>2476</v>
      </c>
      <c r="K1189" s="469">
        <v>1.57</v>
      </c>
    </row>
    <row r="1190" spans="2:11" x14ac:dyDescent="0.35">
      <c r="B1190" s="62">
        <v>12.25</v>
      </c>
      <c r="C1190" s="471">
        <v>1206</v>
      </c>
      <c r="D1190" s="471">
        <v>1198.5999999999999</v>
      </c>
      <c r="E1190" s="469">
        <v>42.5</v>
      </c>
      <c r="F1190" s="469">
        <v>4.4000000000000004</v>
      </c>
      <c r="G1190" s="469">
        <v>4.0999999999999996</v>
      </c>
      <c r="H1190" s="470">
        <v>154</v>
      </c>
      <c r="I1190" s="470">
        <v>785</v>
      </c>
      <c r="J1190" s="470">
        <v>2717</v>
      </c>
      <c r="K1190" s="469">
        <v>1.57</v>
      </c>
    </row>
    <row r="1191" spans="2:11" x14ac:dyDescent="0.35">
      <c r="B1191" s="62">
        <v>12.25</v>
      </c>
      <c r="C1191" s="471">
        <v>1207</v>
      </c>
      <c r="D1191" s="471">
        <v>1199.5</v>
      </c>
      <c r="E1191" s="469">
        <v>11.73</v>
      </c>
      <c r="F1191" s="469">
        <v>3.6</v>
      </c>
      <c r="G1191" s="469">
        <v>3.3</v>
      </c>
      <c r="H1191" s="470">
        <v>154</v>
      </c>
      <c r="I1191" s="470">
        <v>782</v>
      </c>
      <c r="J1191" s="470">
        <v>2655</v>
      </c>
      <c r="K1191" s="469">
        <v>1.58</v>
      </c>
    </row>
    <row r="1192" spans="2:11" x14ac:dyDescent="0.35">
      <c r="B1192" s="62">
        <v>12.25</v>
      </c>
      <c r="C1192" s="471">
        <v>1208</v>
      </c>
      <c r="D1192" s="471">
        <v>1200.5</v>
      </c>
      <c r="E1192" s="469">
        <v>54</v>
      </c>
      <c r="F1192" s="469">
        <v>6.4</v>
      </c>
      <c r="G1192" s="469">
        <v>4.8</v>
      </c>
      <c r="H1192" s="470">
        <v>151</v>
      </c>
      <c r="I1192" s="470">
        <v>765</v>
      </c>
      <c r="J1192" s="470">
        <v>2744</v>
      </c>
      <c r="K1192" s="469">
        <v>1.6</v>
      </c>
    </row>
    <row r="1193" spans="2:11" x14ac:dyDescent="0.35">
      <c r="B1193" s="62">
        <v>12.25</v>
      </c>
      <c r="C1193" s="471">
        <v>1209</v>
      </c>
      <c r="D1193" s="471">
        <v>1201.5</v>
      </c>
      <c r="E1193" s="469">
        <v>34.369999999999997</v>
      </c>
      <c r="F1193" s="469">
        <v>7.3</v>
      </c>
      <c r="G1193" s="469">
        <v>5.0999999999999996</v>
      </c>
      <c r="H1193" s="470">
        <v>151</v>
      </c>
      <c r="I1193" s="470">
        <v>767</v>
      </c>
      <c r="J1193" s="470">
        <v>2849</v>
      </c>
      <c r="K1193" s="469">
        <v>1.6</v>
      </c>
    </row>
    <row r="1194" spans="2:11" x14ac:dyDescent="0.35">
      <c r="B1194" s="62">
        <v>12.25</v>
      </c>
      <c r="C1194" s="471">
        <v>1210</v>
      </c>
      <c r="D1194" s="471">
        <v>1202.5</v>
      </c>
      <c r="E1194" s="469">
        <v>51.48</v>
      </c>
      <c r="F1194" s="469">
        <v>6.2</v>
      </c>
      <c r="G1194" s="469">
        <v>4.4000000000000004</v>
      </c>
      <c r="H1194" s="470">
        <v>164</v>
      </c>
      <c r="I1194" s="470">
        <v>765</v>
      </c>
      <c r="J1194" s="470">
        <v>2798</v>
      </c>
      <c r="K1194" s="469">
        <v>1.6</v>
      </c>
    </row>
    <row r="1195" spans="2:11" x14ac:dyDescent="0.35">
      <c r="B1195" s="62">
        <v>12.25</v>
      </c>
      <c r="C1195" s="471">
        <v>1211</v>
      </c>
      <c r="D1195" s="471">
        <v>1203.5</v>
      </c>
      <c r="E1195" s="469">
        <v>36.15</v>
      </c>
      <c r="F1195" s="469">
        <v>7.4</v>
      </c>
      <c r="G1195" s="469">
        <v>5.4</v>
      </c>
      <c r="H1195" s="470">
        <v>164</v>
      </c>
      <c r="I1195" s="470">
        <v>763</v>
      </c>
      <c r="J1195" s="470">
        <v>2840</v>
      </c>
      <c r="K1195" s="469">
        <v>1.6</v>
      </c>
    </row>
    <row r="1196" spans="2:11" x14ac:dyDescent="0.35">
      <c r="B1196" s="62">
        <v>12.25</v>
      </c>
      <c r="C1196" s="471">
        <v>1212</v>
      </c>
      <c r="D1196" s="471">
        <v>1204.5</v>
      </c>
      <c r="E1196" s="469">
        <v>55.18</v>
      </c>
      <c r="F1196" s="469">
        <v>6.4</v>
      </c>
      <c r="G1196" s="469">
        <v>5</v>
      </c>
      <c r="H1196" s="470">
        <v>164</v>
      </c>
      <c r="I1196" s="470">
        <v>762</v>
      </c>
      <c r="J1196" s="470">
        <v>2814</v>
      </c>
      <c r="K1196" s="469">
        <v>1.6</v>
      </c>
    </row>
    <row r="1197" spans="2:11" x14ac:dyDescent="0.35">
      <c r="B1197" s="62">
        <v>12.25</v>
      </c>
      <c r="C1197" s="471">
        <v>1213</v>
      </c>
      <c r="D1197" s="471">
        <v>1205.5</v>
      </c>
      <c r="E1197" s="469">
        <v>51.05</v>
      </c>
      <c r="F1197" s="469">
        <v>7.5</v>
      </c>
      <c r="G1197" s="469">
        <v>5.2</v>
      </c>
      <c r="H1197" s="470">
        <v>164</v>
      </c>
      <c r="I1197" s="470">
        <v>765</v>
      </c>
      <c r="J1197" s="470">
        <v>2846</v>
      </c>
      <c r="K1197" s="469">
        <v>1.6</v>
      </c>
    </row>
    <row r="1198" spans="2:11" x14ac:dyDescent="0.35">
      <c r="B1198" s="62">
        <v>12.25</v>
      </c>
      <c r="C1198" s="471">
        <v>1214</v>
      </c>
      <c r="D1198" s="471">
        <v>1206.4000000000001</v>
      </c>
      <c r="E1198" s="469">
        <v>60.92</v>
      </c>
      <c r="F1198" s="469">
        <v>7.3</v>
      </c>
      <c r="G1198" s="469">
        <v>5</v>
      </c>
      <c r="H1198" s="470">
        <v>165</v>
      </c>
      <c r="I1198" s="470">
        <v>770</v>
      </c>
      <c r="J1198" s="470">
        <v>2858</v>
      </c>
      <c r="K1198" s="469">
        <v>1.6</v>
      </c>
    </row>
    <row r="1199" spans="2:11" x14ac:dyDescent="0.35">
      <c r="B1199" s="62">
        <v>12.25</v>
      </c>
      <c r="C1199" s="471">
        <v>1215</v>
      </c>
      <c r="D1199" s="471">
        <v>1207.4000000000001</v>
      </c>
      <c r="E1199" s="469">
        <v>62.32</v>
      </c>
      <c r="F1199" s="469">
        <v>8.1999999999999993</v>
      </c>
      <c r="G1199" s="469">
        <v>5.6</v>
      </c>
      <c r="H1199" s="470">
        <v>165</v>
      </c>
      <c r="I1199" s="470">
        <v>771</v>
      </c>
      <c r="J1199" s="470">
        <v>2891</v>
      </c>
      <c r="K1199" s="469">
        <v>1.6</v>
      </c>
    </row>
    <row r="1200" spans="2:11" x14ac:dyDescent="0.35">
      <c r="B1200" s="62">
        <v>12.25</v>
      </c>
      <c r="C1200" s="471">
        <v>1216</v>
      </c>
      <c r="D1200" s="471">
        <v>1208.4000000000001</v>
      </c>
      <c r="E1200" s="469">
        <v>70.2</v>
      </c>
      <c r="F1200" s="469">
        <v>8.1999999999999993</v>
      </c>
      <c r="G1200" s="469">
        <v>5.8</v>
      </c>
      <c r="H1200" s="470">
        <v>165</v>
      </c>
      <c r="I1200" s="470">
        <v>771</v>
      </c>
      <c r="J1200" s="470">
        <v>2896</v>
      </c>
      <c r="K1200" s="469">
        <v>1.6</v>
      </c>
    </row>
    <row r="1201" spans="2:11" x14ac:dyDescent="0.35">
      <c r="B1201" s="62">
        <v>12.25</v>
      </c>
      <c r="C1201" s="471">
        <v>1217</v>
      </c>
      <c r="D1201" s="471">
        <v>1209.4000000000001</v>
      </c>
      <c r="E1201" s="469">
        <v>65.62</v>
      </c>
      <c r="F1201" s="469">
        <v>7.7</v>
      </c>
      <c r="G1201" s="469">
        <v>5.4</v>
      </c>
      <c r="H1201" s="470">
        <v>164</v>
      </c>
      <c r="I1201" s="470">
        <v>771</v>
      </c>
      <c r="J1201" s="470">
        <v>2888</v>
      </c>
      <c r="K1201" s="469">
        <v>1.6</v>
      </c>
    </row>
    <row r="1202" spans="2:11" x14ac:dyDescent="0.35">
      <c r="B1202" s="62">
        <v>12.25</v>
      </c>
      <c r="C1202" s="471">
        <v>1218</v>
      </c>
      <c r="D1202" s="471">
        <v>1210.4000000000001</v>
      </c>
      <c r="E1202" s="469">
        <v>41.05</v>
      </c>
      <c r="F1202" s="469">
        <v>7</v>
      </c>
      <c r="G1202" s="469">
        <v>4.2</v>
      </c>
      <c r="H1202" s="470">
        <v>165</v>
      </c>
      <c r="I1202" s="470">
        <v>771</v>
      </c>
      <c r="J1202" s="470">
        <v>2826</v>
      </c>
      <c r="K1202" s="469">
        <v>1.6</v>
      </c>
    </row>
    <row r="1203" spans="2:11" x14ac:dyDescent="0.35">
      <c r="B1203" s="62">
        <v>12.25</v>
      </c>
      <c r="C1203" s="471">
        <v>1219</v>
      </c>
      <c r="D1203" s="471">
        <v>1211.4000000000001</v>
      </c>
      <c r="E1203" s="469">
        <v>59.69</v>
      </c>
      <c r="F1203" s="469">
        <v>7.6</v>
      </c>
      <c r="G1203" s="469">
        <v>5</v>
      </c>
      <c r="H1203" s="470">
        <v>164</v>
      </c>
      <c r="I1203" s="470">
        <v>771</v>
      </c>
      <c r="J1203" s="470">
        <v>2858</v>
      </c>
      <c r="K1203" s="469">
        <v>1.6</v>
      </c>
    </row>
    <row r="1204" spans="2:11" x14ac:dyDescent="0.35">
      <c r="B1204" s="62">
        <v>12.25</v>
      </c>
      <c r="C1204" s="471">
        <v>1220</v>
      </c>
      <c r="D1204" s="471">
        <v>1212.3</v>
      </c>
      <c r="E1204" s="469">
        <v>56.65</v>
      </c>
      <c r="F1204" s="469">
        <v>7</v>
      </c>
      <c r="G1204" s="469">
        <v>4.3</v>
      </c>
      <c r="H1204" s="470">
        <v>165</v>
      </c>
      <c r="I1204" s="470">
        <v>772</v>
      </c>
      <c r="J1204" s="470">
        <v>2834</v>
      </c>
      <c r="K1204" s="469">
        <v>1.6</v>
      </c>
    </row>
    <row r="1205" spans="2:11" x14ac:dyDescent="0.35">
      <c r="B1205" s="62">
        <v>12.25</v>
      </c>
      <c r="C1205" s="471">
        <v>1221</v>
      </c>
      <c r="D1205" s="471">
        <v>1213.4000000000001</v>
      </c>
      <c r="E1205" s="469">
        <v>71.17</v>
      </c>
      <c r="F1205" s="469">
        <v>6.6</v>
      </c>
      <c r="G1205" s="469">
        <v>4</v>
      </c>
      <c r="H1205" s="470">
        <v>165</v>
      </c>
      <c r="I1205" s="470">
        <v>772</v>
      </c>
      <c r="J1205" s="470">
        <v>2816</v>
      </c>
      <c r="K1205" s="469">
        <v>1.6</v>
      </c>
    </row>
    <row r="1206" spans="2:11" x14ac:dyDescent="0.35">
      <c r="B1206" s="62">
        <v>12.25</v>
      </c>
      <c r="C1206" s="471">
        <v>1222</v>
      </c>
      <c r="D1206" s="471">
        <v>1214.3</v>
      </c>
      <c r="E1206" s="469">
        <v>83.94</v>
      </c>
      <c r="F1206" s="469">
        <v>8</v>
      </c>
      <c r="G1206" s="469">
        <v>5.2</v>
      </c>
      <c r="H1206" s="470">
        <v>165</v>
      </c>
      <c r="I1206" s="470">
        <v>772</v>
      </c>
      <c r="J1206" s="470">
        <v>2862</v>
      </c>
      <c r="K1206" s="469">
        <v>1.6</v>
      </c>
    </row>
    <row r="1207" spans="2:11" x14ac:dyDescent="0.35">
      <c r="B1207" s="62">
        <v>12.25</v>
      </c>
      <c r="C1207" s="471">
        <v>1223</v>
      </c>
      <c r="D1207" s="471">
        <v>1215.3</v>
      </c>
      <c r="E1207" s="469">
        <v>60.91</v>
      </c>
      <c r="F1207" s="469">
        <v>7.9</v>
      </c>
      <c r="G1207" s="469">
        <v>5</v>
      </c>
      <c r="H1207" s="470">
        <v>165</v>
      </c>
      <c r="I1207" s="470">
        <v>772</v>
      </c>
      <c r="J1207" s="470">
        <v>2870</v>
      </c>
      <c r="K1207" s="469">
        <v>1.6</v>
      </c>
    </row>
    <row r="1208" spans="2:11" x14ac:dyDescent="0.35">
      <c r="B1208" s="62">
        <v>12.25</v>
      </c>
      <c r="C1208" s="471">
        <v>1224</v>
      </c>
      <c r="D1208" s="471">
        <v>1216.3</v>
      </c>
      <c r="E1208" s="469">
        <v>63.36</v>
      </c>
      <c r="F1208" s="469">
        <v>7.4</v>
      </c>
      <c r="G1208" s="469">
        <v>4</v>
      </c>
      <c r="H1208" s="470">
        <v>165</v>
      </c>
      <c r="I1208" s="470">
        <v>772</v>
      </c>
      <c r="J1208" s="470">
        <v>2852</v>
      </c>
      <c r="K1208" s="469">
        <v>1.6</v>
      </c>
    </row>
    <row r="1209" spans="2:11" x14ac:dyDescent="0.35">
      <c r="B1209" s="62">
        <v>12.25</v>
      </c>
      <c r="C1209" s="471">
        <v>1225</v>
      </c>
      <c r="D1209" s="471">
        <v>1217.3</v>
      </c>
      <c r="E1209" s="469">
        <v>24.07</v>
      </c>
      <c r="F1209" s="469">
        <v>5.0999999999999996</v>
      </c>
      <c r="G1209" s="469">
        <v>3.2</v>
      </c>
      <c r="H1209" s="470">
        <v>166</v>
      </c>
      <c r="I1209" s="470">
        <v>779</v>
      </c>
      <c r="J1209" s="470">
        <v>2747</v>
      </c>
      <c r="K1209" s="469">
        <v>1.6</v>
      </c>
    </row>
    <row r="1210" spans="2:11" x14ac:dyDescent="0.35">
      <c r="B1210" s="62">
        <v>12.25</v>
      </c>
      <c r="C1210" s="471">
        <v>1226</v>
      </c>
      <c r="D1210" s="471">
        <v>1218.3</v>
      </c>
      <c r="E1210" s="469">
        <v>45.28</v>
      </c>
      <c r="F1210" s="469">
        <v>5.9</v>
      </c>
      <c r="G1210" s="469">
        <v>4</v>
      </c>
      <c r="H1210" s="470">
        <v>165</v>
      </c>
      <c r="I1210" s="470">
        <v>775</v>
      </c>
      <c r="J1210" s="470">
        <v>2790</v>
      </c>
      <c r="K1210" s="469">
        <v>1.6</v>
      </c>
    </row>
    <row r="1211" spans="2:11" x14ac:dyDescent="0.35">
      <c r="B1211" s="62">
        <v>12.25</v>
      </c>
      <c r="C1211" s="471">
        <v>1227</v>
      </c>
      <c r="D1211" s="471">
        <v>1219.2</v>
      </c>
      <c r="E1211" s="469">
        <v>50.2</v>
      </c>
      <c r="F1211" s="469">
        <v>6.4</v>
      </c>
      <c r="G1211" s="469">
        <v>4.4000000000000004</v>
      </c>
      <c r="H1211" s="470">
        <v>165</v>
      </c>
      <c r="I1211" s="470">
        <v>777</v>
      </c>
      <c r="J1211" s="470">
        <v>2815</v>
      </c>
      <c r="K1211" s="469">
        <v>1.6</v>
      </c>
    </row>
    <row r="1212" spans="2:11" x14ac:dyDescent="0.35">
      <c r="B1212" s="62">
        <v>12.25</v>
      </c>
      <c r="C1212" s="471">
        <v>1228</v>
      </c>
      <c r="D1212" s="471">
        <v>1220.2</v>
      </c>
      <c r="E1212" s="469">
        <v>63.59</v>
      </c>
      <c r="F1212" s="469">
        <v>7.2</v>
      </c>
      <c r="G1212" s="469">
        <v>4.7</v>
      </c>
      <c r="H1212" s="470">
        <v>165</v>
      </c>
      <c r="I1212" s="470">
        <v>776</v>
      </c>
      <c r="J1212" s="470">
        <v>2843</v>
      </c>
      <c r="K1212" s="469">
        <v>1.6</v>
      </c>
    </row>
    <row r="1213" spans="2:11" x14ac:dyDescent="0.35">
      <c r="B1213" s="62">
        <v>12.25</v>
      </c>
      <c r="C1213" s="471">
        <v>1229</v>
      </c>
      <c r="D1213" s="471">
        <v>1221.2</v>
      </c>
      <c r="E1213" s="469">
        <v>69.7</v>
      </c>
      <c r="F1213" s="469">
        <v>7.8</v>
      </c>
      <c r="G1213" s="469">
        <v>5.5</v>
      </c>
      <c r="H1213" s="470">
        <v>165</v>
      </c>
      <c r="I1213" s="470">
        <v>776</v>
      </c>
      <c r="J1213" s="470">
        <v>2869</v>
      </c>
      <c r="K1213" s="469">
        <v>1.6</v>
      </c>
    </row>
    <row r="1214" spans="2:11" x14ac:dyDescent="0.35">
      <c r="B1214" s="62">
        <v>12.25</v>
      </c>
      <c r="C1214" s="471">
        <v>1230</v>
      </c>
      <c r="D1214" s="471">
        <v>1222.2</v>
      </c>
      <c r="E1214" s="469">
        <v>65.78</v>
      </c>
      <c r="F1214" s="469">
        <v>8.9</v>
      </c>
      <c r="G1214" s="469">
        <v>6.1</v>
      </c>
      <c r="H1214" s="470">
        <v>165</v>
      </c>
      <c r="I1214" s="470">
        <v>775</v>
      </c>
      <c r="J1214" s="470">
        <v>2903</v>
      </c>
      <c r="K1214" s="469">
        <v>1.6</v>
      </c>
    </row>
    <row r="1215" spans="2:11" x14ac:dyDescent="0.35">
      <c r="B1215" s="62">
        <v>12.25</v>
      </c>
      <c r="C1215" s="471">
        <v>1231</v>
      </c>
      <c r="D1215" s="471">
        <v>1223.2</v>
      </c>
      <c r="E1215" s="469">
        <v>77.099999999999994</v>
      </c>
      <c r="F1215" s="469">
        <v>8.5</v>
      </c>
      <c r="G1215" s="469">
        <v>5.9</v>
      </c>
      <c r="H1215" s="470">
        <v>165</v>
      </c>
      <c r="I1215" s="470">
        <v>777</v>
      </c>
      <c r="J1215" s="470">
        <v>2891</v>
      </c>
      <c r="K1215" s="469">
        <v>1.6</v>
      </c>
    </row>
    <row r="1216" spans="2:11" x14ac:dyDescent="0.35">
      <c r="B1216" s="62">
        <v>12.25</v>
      </c>
      <c r="C1216" s="471">
        <v>1232</v>
      </c>
      <c r="D1216" s="471">
        <v>1224.2</v>
      </c>
      <c r="E1216" s="469">
        <v>53.65</v>
      </c>
      <c r="F1216" s="469">
        <v>8.1</v>
      </c>
      <c r="G1216" s="469">
        <v>5.6</v>
      </c>
      <c r="H1216" s="470">
        <v>165</v>
      </c>
      <c r="I1216" s="470">
        <v>776</v>
      </c>
      <c r="J1216" s="470">
        <v>2859</v>
      </c>
      <c r="K1216" s="469">
        <v>1.6</v>
      </c>
    </row>
    <row r="1217" spans="2:11" x14ac:dyDescent="0.35">
      <c r="B1217" s="62">
        <v>12.25</v>
      </c>
      <c r="C1217" s="471">
        <v>1233</v>
      </c>
      <c r="D1217" s="471">
        <v>1225.0999999999999</v>
      </c>
      <c r="E1217" s="469">
        <v>73.760000000000005</v>
      </c>
      <c r="F1217" s="469">
        <v>8.6</v>
      </c>
      <c r="G1217" s="469">
        <v>5.6</v>
      </c>
      <c r="H1217" s="470">
        <v>165</v>
      </c>
      <c r="I1217" s="470">
        <v>775</v>
      </c>
      <c r="J1217" s="470">
        <v>2889</v>
      </c>
      <c r="K1217" s="469">
        <v>1.6</v>
      </c>
    </row>
    <row r="1218" spans="2:11" x14ac:dyDescent="0.35">
      <c r="B1218" s="62">
        <v>12.25</v>
      </c>
      <c r="C1218" s="471">
        <v>1234</v>
      </c>
      <c r="D1218" s="471">
        <v>1226.2</v>
      </c>
      <c r="E1218" s="469">
        <v>8.93</v>
      </c>
      <c r="F1218" s="469">
        <v>6</v>
      </c>
      <c r="G1218" s="469">
        <v>3.8</v>
      </c>
      <c r="H1218" s="470">
        <v>164</v>
      </c>
      <c r="I1218" s="470">
        <v>768</v>
      </c>
      <c r="J1218" s="470">
        <v>2697</v>
      </c>
      <c r="K1218" s="469">
        <v>1.6</v>
      </c>
    </row>
    <row r="1219" spans="2:11" x14ac:dyDescent="0.35">
      <c r="B1219" s="62">
        <v>12.25</v>
      </c>
      <c r="C1219" s="471">
        <v>1235</v>
      </c>
      <c r="D1219" s="471">
        <v>1227.0999999999999</v>
      </c>
      <c r="E1219" s="469">
        <v>11.45</v>
      </c>
      <c r="F1219" s="469">
        <v>4.7</v>
      </c>
      <c r="G1219" s="469">
        <v>3.4</v>
      </c>
      <c r="H1219" s="470">
        <v>166</v>
      </c>
      <c r="I1219" s="470">
        <v>782</v>
      </c>
      <c r="J1219" s="470">
        <v>2719</v>
      </c>
      <c r="K1219" s="469">
        <v>1.6</v>
      </c>
    </row>
    <row r="1220" spans="2:11" x14ac:dyDescent="0.35">
      <c r="B1220" s="62">
        <v>12.25</v>
      </c>
      <c r="C1220" s="471">
        <v>1236</v>
      </c>
      <c r="D1220" s="471">
        <v>1228.0999999999999</v>
      </c>
      <c r="E1220" s="469">
        <v>14.66</v>
      </c>
      <c r="F1220" s="469">
        <v>5.4</v>
      </c>
      <c r="G1220" s="469">
        <v>4.8</v>
      </c>
      <c r="H1220" s="470">
        <v>138</v>
      </c>
      <c r="I1220" s="470">
        <v>786</v>
      </c>
      <c r="J1220" s="470">
        <v>2812</v>
      </c>
      <c r="K1220" s="469">
        <v>1.6</v>
      </c>
    </row>
    <row r="1221" spans="2:11" x14ac:dyDescent="0.35">
      <c r="B1221" s="62">
        <v>12.25</v>
      </c>
      <c r="C1221" s="471">
        <v>1237</v>
      </c>
      <c r="D1221" s="471">
        <v>1229.0999999999999</v>
      </c>
      <c r="E1221" s="469">
        <v>60.52</v>
      </c>
      <c r="F1221" s="469">
        <v>7.8</v>
      </c>
      <c r="G1221" s="469">
        <v>5.7</v>
      </c>
      <c r="H1221" s="470">
        <v>147</v>
      </c>
      <c r="I1221" s="470">
        <v>790</v>
      </c>
      <c r="J1221" s="470">
        <v>2925</v>
      </c>
      <c r="K1221" s="469">
        <v>1.6</v>
      </c>
    </row>
    <row r="1222" spans="2:11" x14ac:dyDescent="0.35">
      <c r="B1222" s="62">
        <v>12.25</v>
      </c>
      <c r="C1222" s="471">
        <v>1238</v>
      </c>
      <c r="D1222" s="471">
        <v>1230.0999999999999</v>
      </c>
      <c r="E1222" s="469">
        <v>59.42</v>
      </c>
      <c r="F1222" s="469">
        <v>6.9</v>
      </c>
      <c r="G1222" s="469">
        <v>4.7</v>
      </c>
      <c r="H1222" s="470">
        <v>167</v>
      </c>
      <c r="I1222" s="470">
        <v>791</v>
      </c>
      <c r="J1222" s="470">
        <v>2881</v>
      </c>
      <c r="K1222" s="469">
        <v>1.6</v>
      </c>
    </row>
    <row r="1223" spans="2:11" x14ac:dyDescent="0.35">
      <c r="B1223" s="62">
        <v>12.25</v>
      </c>
      <c r="C1223" s="471">
        <v>1239</v>
      </c>
      <c r="D1223" s="471">
        <v>1231.0999999999999</v>
      </c>
      <c r="E1223" s="469">
        <v>59.77</v>
      </c>
      <c r="F1223" s="469">
        <v>7.7</v>
      </c>
      <c r="G1223" s="469">
        <v>4.5999999999999996</v>
      </c>
      <c r="H1223" s="470">
        <v>168</v>
      </c>
      <c r="I1223" s="470">
        <v>792</v>
      </c>
      <c r="J1223" s="470">
        <v>2901</v>
      </c>
      <c r="K1223" s="469">
        <v>1.6</v>
      </c>
    </row>
    <row r="1224" spans="2:11" x14ac:dyDescent="0.35">
      <c r="B1224" s="62">
        <v>12.25</v>
      </c>
      <c r="C1224" s="471">
        <v>1240</v>
      </c>
      <c r="D1224" s="471">
        <v>1232</v>
      </c>
      <c r="E1224" s="469">
        <v>15.07</v>
      </c>
      <c r="F1224" s="469">
        <v>4.9000000000000004</v>
      </c>
      <c r="G1224" s="469">
        <v>3.4</v>
      </c>
      <c r="H1224" s="470">
        <v>168</v>
      </c>
      <c r="I1224" s="470">
        <v>795</v>
      </c>
      <c r="J1224" s="470">
        <v>2817</v>
      </c>
      <c r="K1224" s="469">
        <v>1.6</v>
      </c>
    </row>
    <row r="1225" spans="2:11" x14ac:dyDescent="0.35">
      <c r="B1225" s="62">
        <v>12.25</v>
      </c>
      <c r="C1225" s="471">
        <v>1241</v>
      </c>
      <c r="D1225" s="471">
        <v>1233.0999999999999</v>
      </c>
      <c r="E1225" s="469">
        <v>27.29</v>
      </c>
      <c r="F1225" s="469">
        <v>4.5999999999999996</v>
      </c>
      <c r="G1225" s="469">
        <v>3.7</v>
      </c>
      <c r="H1225" s="470">
        <v>168</v>
      </c>
      <c r="I1225" s="470">
        <v>798</v>
      </c>
      <c r="J1225" s="470">
        <v>2825</v>
      </c>
      <c r="K1225" s="469">
        <v>1.6</v>
      </c>
    </row>
    <row r="1226" spans="2:11" x14ac:dyDescent="0.35">
      <c r="B1226" s="62">
        <v>12.25</v>
      </c>
      <c r="C1226" s="471">
        <v>1242</v>
      </c>
      <c r="D1226" s="471">
        <v>1234</v>
      </c>
      <c r="E1226" s="469">
        <v>35.659999999999997</v>
      </c>
      <c r="F1226" s="469">
        <v>5.6</v>
      </c>
      <c r="G1226" s="469">
        <v>3.8</v>
      </c>
      <c r="H1226" s="470">
        <v>168</v>
      </c>
      <c r="I1226" s="470">
        <v>795</v>
      </c>
      <c r="J1226" s="470">
        <v>2853</v>
      </c>
      <c r="K1226" s="469">
        <v>1.6</v>
      </c>
    </row>
    <row r="1227" spans="2:11" x14ac:dyDescent="0.35">
      <c r="B1227" s="62">
        <v>12.25</v>
      </c>
      <c r="C1227" s="471">
        <v>1243</v>
      </c>
      <c r="D1227" s="471">
        <v>1235</v>
      </c>
      <c r="E1227" s="469">
        <v>27.67</v>
      </c>
      <c r="F1227" s="469">
        <v>5.0999999999999996</v>
      </c>
      <c r="G1227" s="469">
        <v>3.2</v>
      </c>
      <c r="H1227" s="470">
        <v>168</v>
      </c>
      <c r="I1227" s="470">
        <v>794</v>
      </c>
      <c r="J1227" s="470">
        <v>2797</v>
      </c>
      <c r="K1227" s="469">
        <v>1.6</v>
      </c>
    </row>
    <row r="1228" spans="2:11" x14ac:dyDescent="0.35">
      <c r="B1228" s="62">
        <v>12.25</v>
      </c>
      <c r="C1228" s="471">
        <v>1244</v>
      </c>
      <c r="D1228" s="471">
        <v>1236</v>
      </c>
      <c r="E1228" s="469">
        <v>32.76</v>
      </c>
      <c r="F1228" s="469">
        <v>7.1</v>
      </c>
      <c r="G1228" s="469">
        <v>4.4000000000000004</v>
      </c>
      <c r="H1228" s="470">
        <v>167</v>
      </c>
      <c r="I1228" s="470">
        <v>790</v>
      </c>
      <c r="J1228" s="470">
        <v>2850</v>
      </c>
      <c r="K1228" s="469">
        <v>1.6</v>
      </c>
    </row>
    <row r="1229" spans="2:11" x14ac:dyDescent="0.35">
      <c r="B1229" s="62">
        <v>12.25</v>
      </c>
      <c r="C1229" s="471">
        <v>1245</v>
      </c>
      <c r="D1229" s="471">
        <v>1237</v>
      </c>
      <c r="E1229" s="469">
        <v>40.82</v>
      </c>
      <c r="F1229" s="469">
        <v>6</v>
      </c>
      <c r="G1229" s="469">
        <v>4.5999999999999996</v>
      </c>
      <c r="H1229" s="470">
        <v>164</v>
      </c>
      <c r="I1229" s="470">
        <v>763</v>
      </c>
      <c r="J1229" s="470">
        <v>2721</v>
      </c>
      <c r="K1229" s="469">
        <v>1.6</v>
      </c>
    </row>
    <row r="1230" spans="2:11" x14ac:dyDescent="0.35">
      <c r="B1230" s="62">
        <v>12.25</v>
      </c>
      <c r="C1230" s="471">
        <v>1246</v>
      </c>
      <c r="D1230" s="471">
        <v>1238</v>
      </c>
      <c r="E1230" s="469">
        <v>67.5</v>
      </c>
      <c r="F1230" s="469">
        <v>8.9</v>
      </c>
      <c r="G1230" s="469">
        <v>5.7</v>
      </c>
      <c r="H1230" s="470">
        <v>159</v>
      </c>
      <c r="I1230" s="470">
        <v>714</v>
      </c>
      <c r="J1230" s="470">
        <v>2514</v>
      </c>
      <c r="K1230" s="469">
        <v>1.6</v>
      </c>
    </row>
    <row r="1231" spans="2:11" x14ac:dyDescent="0.35">
      <c r="B1231" s="62">
        <v>12.25</v>
      </c>
      <c r="C1231" s="471">
        <v>1247</v>
      </c>
      <c r="D1231" s="471">
        <v>1239</v>
      </c>
      <c r="E1231" s="469">
        <v>65.3</v>
      </c>
      <c r="F1231" s="469">
        <v>9.6</v>
      </c>
      <c r="G1231" s="469">
        <v>6.4</v>
      </c>
      <c r="H1231" s="470">
        <v>161</v>
      </c>
      <c r="I1231" s="470">
        <v>732</v>
      </c>
      <c r="J1231" s="470">
        <v>2777</v>
      </c>
      <c r="K1231" s="469">
        <v>1.6</v>
      </c>
    </row>
    <row r="1232" spans="2:11" x14ac:dyDescent="0.35">
      <c r="B1232" s="62">
        <v>12.25</v>
      </c>
      <c r="C1232" s="471">
        <v>1248</v>
      </c>
      <c r="D1232" s="471">
        <v>1240</v>
      </c>
      <c r="E1232" s="469">
        <v>59.49</v>
      </c>
      <c r="F1232" s="469">
        <v>8.1999999999999993</v>
      </c>
      <c r="G1232" s="469">
        <v>5.9</v>
      </c>
      <c r="H1232" s="470">
        <v>160</v>
      </c>
      <c r="I1232" s="470">
        <v>726</v>
      </c>
      <c r="J1232" s="470">
        <v>2491</v>
      </c>
      <c r="K1232" s="469">
        <v>1.6</v>
      </c>
    </row>
    <row r="1233" spans="2:11" x14ac:dyDescent="0.35">
      <c r="B1233" s="62">
        <v>12.25</v>
      </c>
      <c r="C1233" s="471">
        <v>1249</v>
      </c>
      <c r="D1233" s="471">
        <v>1240.9000000000001</v>
      </c>
      <c r="E1233" s="469">
        <v>70.650000000000006</v>
      </c>
      <c r="F1233" s="469">
        <v>7.6</v>
      </c>
      <c r="G1233" s="469">
        <v>4.8</v>
      </c>
      <c r="H1233" s="470">
        <v>159</v>
      </c>
      <c r="I1233" s="470">
        <v>713</v>
      </c>
      <c r="J1233" s="470">
        <v>2537</v>
      </c>
      <c r="K1233" s="469">
        <v>1.6</v>
      </c>
    </row>
    <row r="1234" spans="2:11" x14ac:dyDescent="0.35">
      <c r="B1234" s="62">
        <v>12.25</v>
      </c>
      <c r="C1234" s="471">
        <v>1250</v>
      </c>
      <c r="D1234" s="471">
        <v>1241.9000000000001</v>
      </c>
      <c r="E1234" s="469">
        <v>60.41</v>
      </c>
      <c r="F1234" s="469">
        <v>8.9</v>
      </c>
      <c r="G1234" s="469">
        <v>4.9000000000000004</v>
      </c>
      <c r="H1234" s="470">
        <v>163</v>
      </c>
      <c r="I1234" s="470">
        <v>753</v>
      </c>
      <c r="J1234" s="470">
        <v>2811</v>
      </c>
      <c r="K1234" s="469">
        <v>1.6</v>
      </c>
    </row>
    <row r="1235" spans="2:11" x14ac:dyDescent="0.35">
      <c r="B1235" s="62">
        <v>12.25</v>
      </c>
      <c r="C1235" s="471">
        <v>1251</v>
      </c>
      <c r="D1235" s="471">
        <v>1242.9000000000001</v>
      </c>
      <c r="E1235" s="469">
        <v>72.25</v>
      </c>
      <c r="F1235" s="469">
        <v>8.5</v>
      </c>
      <c r="G1235" s="469">
        <v>5.2</v>
      </c>
      <c r="H1235" s="470">
        <v>155</v>
      </c>
      <c r="I1235" s="470">
        <v>677</v>
      </c>
      <c r="J1235" s="470">
        <v>2285</v>
      </c>
      <c r="K1235" s="469">
        <v>1.6</v>
      </c>
    </row>
    <row r="1236" spans="2:11" x14ac:dyDescent="0.35">
      <c r="B1236" s="62">
        <v>12.25</v>
      </c>
      <c r="C1236" s="471">
        <v>1252</v>
      </c>
      <c r="D1236" s="471">
        <v>1243.9000000000001</v>
      </c>
      <c r="E1236" s="469">
        <v>37.06</v>
      </c>
      <c r="F1236" s="469">
        <v>6.3</v>
      </c>
      <c r="G1236" s="469">
        <v>3.8</v>
      </c>
      <c r="H1236" s="470">
        <v>162</v>
      </c>
      <c r="I1236" s="470">
        <v>739</v>
      </c>
      <c r="J1236" s="470">
        <v>2643</v>
      </c>
      <c r="K1236" s="469">
        <v>1.6</v>
      </c>
    </row>
    <row r="1237" spans="2:11" x14ac:dyDescent="0.35">
      <c r="B1237" s="62">
        <v>12.25</v>
      </c>
      <c r="C1237" s="471">
        <v>1253</v>
      </c>
      <c r="D1237" s="471">
        <v>1244.8</v>
      </c>
      <c r="E1237" s="469">
        <v>60.79</v>
      </c>
      <c r="F1237" s="469">
        <v>8</v>
      </c>
      <c r="G1237" s="469">
        <v>5.0999999999999996</v>
      </c>
      <c r="H1237" s="470">
        <v>157</v>
      </c>
      <c r="I1237" s="470">
        <v>699</v>
      </c>
      <c r="J1237" s="470">
        <v>2546</v>
      </c>
      <c r="K1237" s="469">
        <v>1.6</v>
      </c>
    </row>
    <row r="1238" spans="2:11" x14ac:dyDescent="0.35">
      <c r="B1238" s="62">
        <v>12.25</v>
      </c>
      <c r="C1238" s="471">
        <v>1254</v>
      </c>
      <c r="D1238" s="471">
        <v>1245.9000000000001</v>
      </c>
      <c r="E1238" s="469">
        <v>66.23</v>
      </c>
      <c r="F1238" s="469">
        <v>8.6</v>
      </c>
      <c r="G1238" s="469">
        <v>5.3</v>
      </c>
      <c r="H1238" s="470">
        <v>158</v>
      </c>
      <c r="I1238" s="470">
        <v>705</v>
      </c>
      <c r="J1238" s="470">
        <v>2556</v>
      </c>
      <c r="K1238" s="469">
        <v>1.6</v>
      </c>
    </row>
    <row r="1239" spans="2:11" x14ac:dyDescent="0.35">
      <c r="B1239" s="62">
        <v>12.25</v>
      </c>
      <c r="C1239" s="471">
        <v>1255</v>
      </c>
      <c r="D1239" s="471">
        <v>1246.9000000000001</v>
      </c>
      <c r="E1239" s="469">
        <v>68.53</v>
      </c>
      <c r="F1239" s="469">
        <v>8.1</v>
      </c>
      <c r="G1239" s="469">
        <v>5.5</v>
      </c>
      <c r="H1239" s="470">
        <v>158</v>
      </c>
      <c r="I1239" s="470">
        <v>710</v>
      </c>
      <c r="J1239" s="470">
        <v>2575</v>
      </c>
      <c r="K1239" s="469">
        <v>1.6</v>
      </c>
    </row>
    <row r="1240" spans="2:11" x14ac:dyDescent="0.35">
      <c r="B1240" s="62">
        <v>12.25</v>
      </c>
      <c r="C1240" s="471">
        <v>1256</v>
      </c>
      <c r="D1240" s="471">
        <v>1247.8</v>
      </c>
      <c r="E1240" s="469">
        <v>68.239999999999995</v>
      </c>
      <c r="F1240" s="469">
        <v>9</v>
      </c>
      <c r="G1240" s="469">
        <v>5.8</v>
      </c>
      <c r="H1240" s="470">
        <v>158</v>
      </c>
      <c r="I1240" s="470">
        <v>710</v>
      </c>
      <c r="J1240" s="470">
        <v>2475</v>
      </c>
      <c r="K1240" s="469">
        <v>1.6</v>
      </c>
    </row>
    <row r="1241" spans="2:11" x14ac:dyDescent="0.35">
      <c r="B1241" s="62">
        <v>12.25</v>
      </c>
      <c r="C1241" s="471">
        <v>1257</v>
      </c>
      <c r="D1241" s="471">
        <v>1248.8</v>
      </c>
      <c r="E1241" s="469">
        <v>83.15</v>
      </c>
      <c r="F1241" s="469">
        <v>8.8000000000000007</v>
      </c>
      <c r="G1241" s="469">
        <v>5.6</v>
      </c>
      <c r="H1241" s="470">
        <v>155</v>
      </c>
      <c r="I1241" s="470">
        <v>680</v>
      </c>
      <c r="J1241" s="470">
        <v>2442</v>
      </c>
      <c r="K1241" s="469">
        <v>1.6</v>
      </c>
    </row>
    <row r="1242" spans="2:11" x14ac:dyDescent="0.35">
      <c r="B1242" s="62">
        <v>12.25</v>
      </c>
      <c r="C1242" s="471">
        <v>1258</v>
      </c>
      <c r="D1242" s="471">
        <v>1249.8</v>
      </c>
      <c r="E1242" s="469">
        <v>66.349999999999994</v>
      </c>
      <c r="F1242" s="469">
        <v>8.8000000000000007</v>
      </c>
      <c r="G1242" s="469">
        <v>4.9000000000000004</v>
      </c>
      <c r="H1242" s="470">
        <v>166</v>
      </c>
      <c r="I1242" s="470">
        <v>776</v>
      </c>
      <c r="J1242" s="470">
        <v>2926</v>
      </c>
      <c r="K1242" s="469">
        <v>1.6</v>
      </c>
    </row>
    <row r="1243" spans="2:11" x14ac:dyDescent="0.35">
      <c r="B1243" s="62">
        <v>12.25</v>
      </c>
      <c r="C1243" s="471">
        <v>1259</v>
      </c>
      <c r="D1243" s="471">
        <v>1250.8</v>
      </c>
      <c r="E1243" s="469">
        <v>53.76</v>
      </c>
      <c r="F1243" s="469">
        <v>7.3</v>
      </c>
      <c r="G1243" s="469">
        <v>4.9000000000000004</v>
      </c>
      <c r="H1243" s="470">
        <v>166</v>
      </c>
      <c r="I1243" s="470">
        <v>775</v>
      </c>
      <c r="J1243" s="470">
        <v>2903</v>
      </c>
      <c r="K1243" s="469">
        <v>1.6</v>
      </c>
    </row>
    <row r="1244" spans="2:11" x14ac:dyDescent="0.35">
      <c r="B1244" s="62">
        <v>12.25</v>
      </c>
      <c r="C1244" s="471">
        <v>1260</v>
      </c>
      <c r="D1244" s="471">
        <v>1251.8</v>
      </c>
      <c r="E1244" s="469">
        <v>64.099999999999994</v>
      </c>
      <c r="F1244" s="469">
        <v>7</v>
      </c>
      <c r="G1244" s="469">
        <v>5.2</v>
      </c>
      <c r="H1244" s="470">
        <v>166</v>
      </c>
      <c r="I1244" s="470">
        <v>778</v>
      </c>
      <c r="J1244" s="470">
        <v>2891</v>
      </c>
      <c r="K1244" s="469">
        <v>1.6</v>
      </c>
    </row>
    <row r="1245" spans="2:11" x14ac:dyDescent="0.35">
      <c r="B1245" s="62">
        <v>12.25</v>
      </c>
      <c r="C1245" s="471">
        <v>1261</v>
      </c>
      <c r="D1245" s="471">
        <v>1252.8</v>
      </c>
      <c r="E1245" s="469">
        <v>67.5</v>
      </c>
      <c r="F1245" s="469">
        <v>8.4</v>
      </c>
      <c r="G1245" s="469">
        <v>4.5999999999999996</v>
      </c>
      <c r="H1245" s="470">
        <v>166</v>
      </c>
      <c r="I1245" s="470">
        <v>776</v>
      </c>
      <c r="J1245" s="470">
        <v>2909</v>
      </c>
      <c r="K1245" s="469">
        <v>1.6</v>
      </c>
    </row>
    <row r="1246" spans="2:11" x14ac:dyDescent="0.35">
      <c r="B1246" s="62">
        <v>12.25</v>
      </c>
      <c r="C1246" s="471">
        <v>1262</v>
      </c>
      <c r="D1246" s="471">
        <v>1253.8</v>
      </c>
      <c r="E1246" s="469">
        <v>67.98</v>
      </c>
      <c r="F1246" s="469">
        <v>8.9</v>
      </c>
      <c r="G1246" s="469">
        <v>4.8</v>
      </c>
      <c r="H1246" s="470">
        <v>166</v>
      </c>
      <c r="I1246" s="470">
        <v>776</v>
      </c>
      <c r="J1246" s="470">
        <v>2936</v>
      </c>
      <c r="K1246" s="469">
        <v>1.6</v>
      </c>
    </row>
    <row r="1247" spans="2:11" x14ac:dyDescent="0.35">
      <c r="B1247" s="62">
        <v>12.25</v>
      </c>
      <c r="C1247" s="471">
        <v>1263</v>
      </c>
      <c r="D1247" s="471">
        <v>1254.8</v>
      </c>
      <c r="E1247" s="469">
        <v>57.23</v>
      </c>
      <c r="F1247" s="469">
        <v>6.7</v>
      </c>
      <c r="G1247" s="469">
        <v>3.8</v>
      </c>
      <c r="H1247" s="470">
        <v>166</v>
      </c>
      <c r="I1247" s="470">
        <v>778</v>
      </c>
      <c r="J1247" s="470">
        <v>2861</v>
      </c>
      <c r="K1247" s="469">
        <v>1.6</v>
      </c>
    </row>
    <row r="1248" spans="2:11" x14ac:dyDescent="0.35">
      <c r="B1248" s="62">
        <v>12.25</v>
      </c>
      <c r="C1248" s="471">
        <v>1264</v>
      </c>
      <c r="D1248" s="471">
        <v>1255.7</v>
      </c>
      <c r="E1248" s="469">
        <v>74.06</v>
      </c>
      <c r="F1248" s="469">
        <v>7.8</v>
      </c>
      <c r="G1248" s="469">
        <v>4.5999999999999996</v>
      </c>
      <c r="H1248" s="470">
        <v>161</v>
      </c>
      <c r="I1248" s="470">
        <v>732</v>
      </c>
      <c r="J1248" s="470">
        <v>2904</v>
      </c>
      <c r="K1248" s="469">
        <v>1.6</v>
      </c>
    </row>
    <row r="1249" spans="2:11" x14ac:dyDescent="0.35">
      <c r="B1249" s="62">
        <v>12.25</v>
      </c>
      <c r="C1249" s="471">
        <v>1265</v>
      </c>
      <c r="D1249" s="471">
        <v>1257.5999999999999</v>
      </c>
      <c r="E1249" s="469">
        <v>11.93</v>
      </c>
      <c r="F1249" s="469">
        <v>6.1</v>
      </c>
      <c r="G1249" s="469">
        <v>4.5</v>
      </c>
      <c r="H1249" s="470">
        <v>157</v>
      </c>
      <c r="I1249" s="470">
        <v>707</v>
      </c>
      <c r="J1249" s="470">
        <v>2883</v>
      </c>
      <c r="K1249" s="469">
        <v>1.6</v>
      </c>
    </row>
    <row r="1250" spans="2:11" x14ac:dyDescent="0.35">
      <c r="B1250" s="62">
        <v>12.25</v>
      </c>
      <c r="C1250" s="471">
        <v>1266</v>
      </c>
      <c r="D1250" s="471">
        <v>1258.5999999999999</v>
      </c>
      <c r="E1250" s="469">
        <v>54.25</v>
      </c>
      <c r="F1250" s="469">
        <v>7.3</v>
      </c>
      <c r="G1250" s="469">
        <v>5.7</v>
      </c>
      <c r="H1250" s="470">
        <v>164</v>
      </c>
      <c r="I1250" s="470">
        <v>777</v>
      </c>
      <c r="J1250" s="470">
        <v>2944</v>
      </c>
      <c r="K1250" s="469">
        <v>1.6</v>
      </c>
    </row>
    <row r="1251" spans="2:11" x14ac:dyDescent="0.35">
      <c r="B1251" s="62">
        <v>12.25</v>
      </c>
      <c r="C1251" s="471">
        <v>1267</v>
      </c>
      <c r="D1251" s="471">
        <v>1259.5999999999999</v>
      </c>
      <c r="E1251" s="469">
        <v>49.65</v>
      </c>
      <c r="F1251" s="469">
        <v>6.8</v>
      </c>
      <c r="G1251" s="469">
        <v>5.4</v>
      </c>
      <c r="H1251" s="470">
        <v>165</v>
      </c>
      <c r="I1251" s="470">
        <v>781</v>
      </c>
      <c r="J1251" s="470">
        <v>2962</v>
      </c>
      <c r="K1251" s="469">
        <v>1.6</v>
      </c>
    </row>
    <row r="1252" spans="2:11" x14ac:dyDescent="0.35">
      <c r="B1252" s="62">
        <v>12.25</v>
      </c>
      <c r="C1252" s="471">
        <v>1268</v>
      </c>
      <c r="D1252" s="471">
        <v>1260.5999999999999</v>
      </c>
      <c r="E1252" s="469">
        <v>66.09</v>
      </c>
      <c r="F1252" s="469">
        <v>7.3</v>
      </c>
      <c r="G1252" s="469">
        <v>5</v>
      </c>
      <c r="H1252" s="470">
        <v>165</v>
      </c>
      <c r="I1252" s="470">
        <v>783</v>
      </c>
      <c r="J1252" s="470">
        <v>2983</v>
      </c>
      <c r="K1252" s="469">
        <v>1.6</v>
      </c>
    </row>
    <row r="1253" spans="2:11" x14ac:dyDescent="0.35">
      <c r="B1253" s="62">
        <v>12.25</v>
      </c>
      <c r="C1253" s="471">
        <v>1269</v>
      </c>
      <c r="D1253" s="471">
        <v>1261.5999999999999</v>
      </c>
      <c r="E1253" s="469">
        <v>58.11</v>
      </c>
      <c r="F1253" s="469">
        <v>8.3000000000000007</v>
      </c>
      <c r="G1253" s="469">
        <v>5.6</v>
      </c>
      <c r="H1253" s="470">
        <v>165</v>
      </c>
      <c r="I1253" s="470">
        <v>783</v>
      </c>
      <c r="J1253" s="470">
        <v>3012</v>
      </c>
      <c r="K1253" s="469">
        <v>1.6</v>
      </c>
    </row>
    <row r="1254" spans="2:11" x14ac:dyDescent="0.35">
      <c r="B1254" s="62">
        <v>12.25</v>
      </c>
      <c r="C1254" s="471">
        <v>1270</v>
      </c>
      <c r="D1254" s="471">
        <v>1262.5</v>
      </c>
      <c r="E1254" s="469">
        <v>67.099999999999994</v>
      </c>
      <c r="F1254" s="469">
        <v>8.6999999999999993</v>
      </c>
      <c r="G1254" s="469">
        <v>5.3</v>
      </c>
      <c r="H1254" s="470">
        <v>165</v>
      </c>
      <c r="I1254" s="470">
        <v>781</v>
      </c>
      <c r="J1254" s="470">
        <v>3021</v>
      </c>
      <c r="K1254" s="469">
        <v>1.6</v>
      </c>
    </row>
    <row r="1255" spans="2:11" x14ac:dyDescent="0.35">
      <c r="B1255" s="62">
        <v>12.25</v>
      </c>
      <c r="C1255" s="471">
        <v>1271</v>
      </c>
      <c r="D1255" s="471">
        <v>1263.5</v>
      </c>
      <c r="E1255" s="469">
        <v>56.63</v>
      </c>
      <c r="F1255" s="469">
        <v>7.8</v>
      </c>
      <c r="G1255" s="469">
        <v>5.8</v>
      </c>
      <c r="H1255" s="470">
        <v>166</v>
      </c>
      <c r="I1255" s="470">
        <v>783</v>
      </c>
      <c r="J1255" s="470">
        <v>3009</v>
      </c>
      <c r="K1255" s="469">
        <v>1.6</v>
      </c>
    </row>
    <row r="1256" spans="2:11" x14ac:dyDescent="0.35">
      <c r="B1256" s="62">
        <v>12.25</v>
      </c>
      <c r="C1256" s="471">
        <v>1272</v>
      </c>
      <c r="D1256" s="471">
        <v>1264.5</v>
      </c>
      <c r="E1256" s="469">
        <v>69.44</v>
      </c>
      <c r="F1256" s="469">
        <v>7.9</v>
      </c>
      <c r="G1256" s="469">
        <v>4.3</v>
      </c>
      <c r="H1256" s="470">
        <v>166</v>
      </c>
      <c r="I1256" s="470">
        <v>782</v>
      </c>
      <c r="J1256" s="470">
        <v>3003</v>
      </c>
      <c r="K1256" s="469">
        <v>1.6</v>
      </c>
    </row>
    <row r="1257" spans="2:11" x14ac:dyDescent="0.35">
      <c r="B1257" s="62">
        <v>12.25</v>
      </c>
      <c r="C1257" s="471">
        <v>1273</v>
      </c>
      <c r="D1257" s="471">
        <v>1265.5</v>
      </c>
      <c r="E1257" s="469">
        <v>63.15</v>
      </c>
      <c r="F1257" s="469">
        <v>7.9</v>
      </c>
      <c r="G1257" s="469">
        <v>5.3</v>
      </c>
      <c r="H1257" s="470">
        <v>166</v>
      </c>
      <c r="I1257" s="470">
        <v>781</v>
      </c>
      <c r="J1257" s="470">
        <v>3024</v>
      </c>
      <c r="K1257" s="469">
        <v>1.6</v>
      </c>
    </row>
    <row r="1258" spans="2:11" x14ac:dyDescent="0.35">
      <c r="B1258" s="62">
        <v>12.25</v>
      </c>
      <c r="C1258" s="471">
        <v>1274</v>
      </c>
      <c r="D1258" s="471">
        <v>1266.5</v>
      </c>
      <c r="E1258" s="469">
        <v>70.2</v>
      </c>
      <c r="F1258" s="469">
        <v>7.2</v>
      </c>
      <c r="G1258" s="469">
        <v>5</v>
      </c>
      <c r="H1258" s="470">
        <v>166</v>
      </c>
      <c r="I1258" s="470">
        <v>783</v>
      </c>
      <c r="J1258" s="470">
        <v>3003</v>
      </c>
      <c r="K1258" s="469">
        <v>1.6</v>
      </c>
    </row>
    <row r="1259" spans="2:11" x14ac:dyDescent="0.35">
      <c r="B1259" s="62">
        <v>12.25</v>
      </c>
      <c r="C1259" s="471">
        <v>1275</v>
      </c>
      <c r="D1259" s="471">
        <v>1267.5</v>
      </c>
      <c r="E1259" s="469">
        <v>47.45</v>
      </c>
      <c r="F1259" s="469">
        <v>7.3</v>
      </c>
      <c r="G1259" s="469">
        <v>4.8</v>
      </c>
      <c r="H1259" s="470">
        <v>166</v>
      </c>
      <c r="I1259" s="470">
        <v>782</v>
      </c>
      <c r="J1259" s="470">
        <v>2998</v>
      </c>
      <c r="K1259" s="469">
        <v>1.6</v>
      </c>
    </row>
    <row r="1260" spans="2:11" x14ac:dyDescent="0.35">
      <c r="B1260" s="62">
        <v>12.25</v>
      </c>
      <c r="C1260" s="471">
        <v>1276</v>
      </c>
      <c r="D1260" s="471">
        <v>1268.5</v>
      </c>
      <c r="E1260" s="469">
        <v>41.7</v>
      </c>
      <c r="F1260" s="469">
        <v>7.3</v>
      </c>
      <c r="G1260" s="469">
        <v>4.5999999999999996</v>
      </c>
      <c r="H1260" s="470">
        <v>166</v>
      </c>
      <c r="I1260" s="470">
        <v>783</v>
      </c>
      <c r="J1260" s="470">
        <v>2976</v>
      </c>
      <c r="K1260" s="469">
        <v>1.6</v>
      </c>
    </row>
    <row r="1261" spans="2:11" x14ac:dyDescent="0.35">
      <c r="B1261" s="62">
        <v>12.25</v>
      </c>
      <c r="C1261" s="471">
        <v>1277</v>
      </c>
      <c r="D1261" s="471">
        <v>1269.5</v>
      </c>
      <c r="E1261" s="469">
        <v>39.89</v>
      </c>
      <c r="F1261" s="469">
        <v>7</v>
      </c>
      <c r="G1261" s="469">
        <v>5</v>
      </c>
      <c r="H1261" s="470">
        <v>166</v>
      </c>
      <c r="I1261" s="470">
        <v>783</v>
      </c>
      <c r="J1261" s="470">
        <v>2969</v>
      </c>
      <c r="K1261" s="469">
        <v>1.6</v>
      </c>
    </row>
    <row r="1262" spans="2:11" x14ac:dyDescent="0.35">
      <c r="B1262" s="62">
        <v>12.25</v>
      </c>
      <c r="C1262" s="471">
        <v>1278</v>
      </c>
      <c r="D1262" s="471">
        <v>1270.5</v>
      </c>
      <c r="E1262" s="469">
        <v>61.43</v>
      </c>
      <c r="F1262" s="469">
        <v>7.7</v>
      </c>
      <c r="G1262" s="469">
        <v>5.5</v>
      </c>
      <c r="H1262" s="470">
        <v>166</v>
      </c>
      <c r="I1262" s="470">
        <v>783</v>
      </c>
      <c r="J1262" s="470">
        <v>3019</v>
      </c>
      <c r="K1262" s="469">
        <v>1.6</v>
      </c>
    </row>
    <row r="1263" spans="2:11" x14ac:dyDescent="0.35">
      <c r="B1263" s="62">
        <v>12.25</v>
      </c>
      <c r="C1263" s="471">
        <v>1279</v>
      </c>
      <c r="D1263" s="471">
        <v>1271.5</v>
      </c>
      <c r="E1263" s="469">
        <v>77.930000000000007</v>
      </c>
      <c r="F1263" s="469">
        <v>8.6999999999999993</v>
      </c>
      <c r="G1263" s="469">
        <v>5.5</v>
      </c>
      <c r="H1263" s="470">
        <v>166</v>
      </c>
      <c r="I1263" s="470">
        <v>781</v>
      </c>
      <c r="J1263" s="470">
        <v>3040</v>
      </c>
      <c r="K1263" s="469">
        <v>1.6</v>
      </c>
    </row>
    <row r="1264" spans="2:11" x14ac:dyDescent="0.35">
      <c r="B1264" s="62">
        <v>12.25</v>
      </c>
      <c r="C1264" s="471">
        <v>1280</v>
      </c>
      <c r="D1264" s="471">
        <v>1272.5</v>
      </c>
      <c r="E1264" s="469">
        <v>64.67</v>
      </c>
      <c r="F1264" s="469">
        <v>7.5</v>
      </c>
      <c r="G1264" s="469">
        <v>4.8</v>
      </c>
      <c r="H1264" s="470">
        <v>166</v>
      </c>
      <c r="I1264" s="470">
        <v>784</v>
      </c>
      <c r="J1264" s="470">
        <v>2993</v>
      </c>
      <c r="K1264" s="469">
        <v>1.6</v>
      </c>
    </row>
    <row r="1265" spans="2:11" x14ac:dyDescent="0.35">
      <c r="B1265" s="62">
        <v>12.25</v>
      </c>
      <c r="C1265" s="471">
        <v>1281</v>
      </c>
      <c r="D1265" s="471">
        <v>1273.4000000000001</v>
      </c>
      <c r="E1265" s="469">
        <v>68.53</v>
      </c>
      <c r="F1265" s="469">
        <v>6.9</v>
      </c>
      <c r="G1265" s="469">
        <v>4.3</v>
      </c>
      <c r="H1265" s="470">
        <v>166</v>
      </c>
      <c r="I1265" s="470">
        <v>783</v>
      </c>
      <c r="J1265" s="470">
        <v>2968</v>
      </c>
      <c r="K1265" s="469">
        <v>1.61</v>
      </c>
    </row>
    <row r="1266" spans="2:11" x14ac:dyDescent="0.35">
      <c r="B1266" s="62">
        <v>12.25</v>
      </c>
      <c r="C1266" s="471">
        <v>1282</v>
      </c>
      <c r="D1266" s="471">
        <v>1274.5</v>
      </c>
      <c r="E1266" s="469">
        <v>66.41</v>
      </c>
      <c r="F1266" s="469">
        <v>7.5</v>
      </c>
      <c r="G1266" s="469">
        <v>5</v>
      </c>
      <c r="H1266" s="470">
        <v>166</v>
      </c>
      <c r="I1266" s="470">
        <v>783</v>
      </c>
      <c r="J1266" s="470">
        <v>3008</v>
      </c>
      <c r="K1266" s="469">
        <v>1.61</v>
      </c>
    </row>
    <row r="1267" spans="2:11" x14ac:dyDescent="0.35">
      <c r="B1267" s="62">
        <v>12.25</v>
      </c>
      <c r="C1267" s="471">
        <v>1283</v>
      </c>
      <c r="D1267" s="471">
        <v>1275.4000000000001</v>
      </c>
      <c r="E1267" s="469">
        <v>72.069999999999993</v>
      </c>
      <c r="F1267" s="469">
        <v>8.6</v>
      </c>
      <c r="G1267" s="469">
        <v>5.5</v>
      </c>
      <c r="H1267" s="470">
        <v>166</v>
      </c>
      <c r="I1267" s="470">
        <v>779</v>
      </c>
      <c r="J1267" s="470">
        <v>3028</v>
      </c>
      <c r="K1267" s="469">
        <v>1.61</v>
      </c>
    </row>
    <row r="1268" spans="2:11" x14ac:dyDescent="0.35">
      <c r="B1268" s="62">
        <v>12.25</v>
      </c>
      <c r="C1268" s="471">
        <v>1284</v>
      </c>
      <c r="D1268" s="471">
        <v>1276.5</v>
      </c>
      <c r="E1268" s="469">
        <v>70.739999999999995</v>
      </c>
      <c r="F1268" s="469">
        <v>8.4</v>
      </c>
      <c r="G1268" s="469">
        <v>5.6</v>
      </c>
      <c r="H1268" s="470">
        <v>166</v>
      </c>
      <c r="I1268" s="470">
        <v>781</v>
      </c>
      <c r="J1268" s="470">
        <v>3027</v>
      </c>
      <c r="K1268" s="469">
        <v>1.61</v>
      </c>
    </row>
    <row r="1269" spans="2:11" x14ac:dyDescent="0.35">
      <c r="B1269" s="62">
        <v>12.25</v>
      </c>
      <c r="C1269" s="471">
        <v>1285</v>
      </c>
      <c r="D1269" s="471">
        <v>1277.5</v>
      </c>
      <c r="E1269" s="469">
        <v>82.24</v>
      </c>
      <c r="F1269" s="469">
        <v>8.1</v>
      </c>
      <c r="G1269" s="469">
        <v>4.5999999999999996</v>
      </c>
      <c r="H1269" s="470">
        <v>166</v>
      </c>
      <c r="I1269" s="470">
        <v>782</v>
      </c>
      <c r="J1269" s="470">
        <v>2970</v>
      </c>
      <c r="K1269" s="469">
        <v>1.61</v>
      </c>
    </row>
    <row r="1270" spans="2:11" x14ac:dyDescent="0.35">
      <c r="B1270" s="62">
        <v>12.25</v>
      </c>
      <c r="C1270" s="471">
        <v>1286</v>
      </c>
      <c r="D1270" s="471">
        <v>1278.4000000000001</v>
      </c>
      <c r="E1270" s="469">
        <v>81.63</v>
      </c>
      <c r="F1270" s="469">
        <v>8.1999999999999993</v>
      </c>
      <c r="G1270" s="469">
        <v>4.5999999999999996</v>
      </c>
      <c r="H1270" s="470">
        <v>166</v>
      </c>
      <c r="I1270" s="470">
        <v>785</v>
      </c>
      <c r="J1270" s="470">
        <v>2985</v>
      </c>
      <c r="K1270" s="469">
        <v>1.61</v>
      </c>
    </row>
    <row r="1271" spans="2:11" x14ac:dyDescent="0.35">
      <c r="B1271" s="62">
        <v>12.25</v>
      </c>
      <c r="C1271" s="471">
        <v>1287</v>
      </c>
      <c r="D1271" s="471">
        <v>1279.4000000000001</v>
      </c>
      <c r="E1271" s="469">
        <v>85.84</v>
      </c>
      <c r="F1271" s="469">
        <v>8.1</v>
      </c>
      <c r="G1271" s="469">
        <v>4.4000000000000004</v>
      </c>
      <c r="H1271" s="470">
        <v>150</v>
      </c>
      <c r="I1271" s="470">
        <v>638</v>
      </c>
      <c r="J1271" s="470">
        <v>2978</v>
      </c>
      <c r="K1271" s="469">
        <v>1.61</v>
      </c>
    </row>
    <row r="1272" spans="2:11" x14ac:dyDescent="0.35">
      <c r="B1272" s="62">
        <v>12.25</v>
      </c>
      <c r="C1272" s="471">
        <v>1288</v>
      </c>
      <c r="D1272" s="471">
        <v>1280.4000000000001</v>
      </c>
      <c r="E1272" s="469">
        <v>87.21</v>
      </c>
      <c r="F1272" s="469">
        <v>7.5</v>
      </c>
      <c r="G1272" s="469">
        <v>5.4</v>
      </c>
      <c r="H1272" s="470">
        <v>160</v>
      </c>
      <c r="I1272" s="470">
        <v>728</v>
      </c>
      <c r="J1272" s="470">
        <v>3011</v>
      </c>
      <c r="K1272" s="469">
        <v>1.61</v>
      </c>
    </row>
    <row r="1273" spans="2:11" x14ac:dyDescent="0.35">
      <c r="B1273" s="62">
        <v>12.25</v>
      </c>
      <c r="C1273" s="471">
        <v>1289</v>
      </c>
      <c r="D1273" s="471">
        <v>1281.5</v>
      </c>
      <c r="E1273" s="469">
        <v>74.78</v>
      </c>
      <c r="F1273" s="469">
        <v>8.8000000000000007</v>
      </c>
      <c r="G1273" s="469">
        <v>6.4</v>
      </c>
      <c r="H1273" s="470">
        <v>160</v>
      </c>
      <c r="I1273" s="470">
        <v>735</v>
      </c>
      <c r="J1273" s="470">
        <v>3063</v>
      </c>
      <c r="K1273" s="469">
        <v>1.61</v>
      </c>
    </row>
    <row r="1274" spans="2:11" x14ac:dyDescent="0.35">
      <c r="B1274" s="62">
        <v>12.25</v>
      </c>
      <c r="C1274" s="471">
        <v>1290</v>
      </c>
      <c r="D1274" s="471">
        <v>1282.4000000000001</v>
      </c>
      <c r="E1274" s="469">
        <v>49.85</v>
      </c>
      <c r="F1274" s="469">
        <v>7.2</v>
      </c>
      <c r="G1274" s="469">
        <v>4.9000000000000004</v>
      </c>
      <c r="H1274" s="470">
        <v>162</v>
      </c>
      <c r="I1274" s="470">
        <v>748</v>
      </c>
      <c r="J1274" s="470">
        <v>2993</v>
      </c>
      <c r="K1274" s="469">
        <v>1.61</v>
      </c>
    </row>
    <row r="1275" spans="2:11" x14ac:dyDescent="0.35">
      <c r="B1275" s="62">
        <v>12.25</v>
      </c>
      <c r="C1275" s="471">
        <v>1291</v>
      </c>
      <c r="D1275" s="471">
        <v>1283.4000000000001</v>
      </c>
      <c r="E1275" s="469">
        <v>48.7</v>
      </c>
      <c r="F1275" s="469">
        <v>6.7</v>
      </c>
      <c r="G1275" s="469">
        <v>4.3</v>
      </c>
      <c r="H1275" s="470">
        <v>164</v>
      </c>
      <c r="I1275" s="470">
        <v>759</v>
      </c>
      <c r="J1275" s="470">
        <v>2981</v>
      </c>
      <c r="K1275" s="469">
        <v>1.61</v>
      </c>
    </row>
    <row r="1276" spans="2:11" x14ac:dyDescent="0.35">
      <c r="B1276" s="62">
        <v>12.25</v>
      </c>
      <c r="C1276" s="471">
        <v>1292</v>
      </c>
      <c r="D1276" s="471">
        <v>1284.4000000000001</v>
      </c>
      <c r="E1276" s="469">
        <v>10.36</v>
      </c>
      <c r="F1276" s="469">
        <v>4.7</v>
      </c>
      <c r="G1276" s="469">
        <v>3.8</v>
      </c>
      <c r="H1276" s="470">
        <v>153</v>
      </c>
      <c r="I1276" s="470">
        <v>667</v>
      </c>
      <c r="J1276" s="470">
        <v>2701</v>
      </c>
      <c r="K1276" s="469">
        <v>1.61</v>
      </c>
    </row>
    <row r="1277" spans="2:11" x14ac:dyDescent="0.35">
      <c r="B1277" s="62">
        <v>12.25</v>
      </c>
      <c r="C1277" s="471">
        <v>1293</v>
      </c>
      <c r="D1277" s="471">
        <v>1285.4000000000001</v>
      </c>
      <c r="E1277" s="469">
        <v>41.12</v>
      </c>
      <c r="F1277" s="469">
        <v>6.2</v>
      </c>
      <c r="G1277" s="469">
        <v>4.4000000000000004</v>
      </c>
      <c r="H1277" s="470">
        <v>165</v>
      </c>
      <c r="I1277" s="470">
        <v>770</v>
      </c>
      <c r="J1277" s="470">
        <v>2899</v>
      </c>
      <c r="K1277" s="469">
        <v>1.61</v>
      </c>
    </row>
    <row r="1278" spans="2:11" x14ac:dyDescent="0.35">
      <c r="B1278" s="62">
        <v>12.25</v>
      </c>
      <c r="C1278" s="471">
        <v>1294</v>
      </c>
      <c r="D1278" s="471">
        <v>1286.4000000000001</v>
      </c>
      <c r="E1278" s="469">
        <v>15.39</v>
      </c>
      <c r="F1278" s="469">
        <v>4.5999999999999996</v>
      </c>
      <c r="G1278" s="469">
        <v>4.8</v>
      </c>
      <c r="H1278" s="470">
        <v>164</v>
      </c>
      <c r="I1278" s="470">
        <v>767</v>
      </c>
      <c r="J1278" s="470">
        <v>2858</v>
      </c>
      <c r="K1278" s="469">
        <v>1.61</v>
      </c>
    </row>
    <row r="1279" spans="2:11" x14ac:dyDescent="0.35">
      <c r="B1279" s="62">
        <v>12.25</v>
      </c>
      <c r="C1279" s="471">
        <v>1295</v>
      </c>
      <c r="D1279" s="471">
        <v>1287.4000000000001</v>
      </c>
      <c r="E1279" s="469">
        <v>61.92</v>
      </c>
      <c r="F1279" s="469">
        <v>7</v>
      </c>
      <c r="G1279" s="469">
        <v>5.7</v>
      </c>
      <c r="H1279" s="470">
        <v>165</v>
      </c>
      <c r="I1279" s="470">
        <v>776</v>
      </c>
      <c r="J1279" s="470">
        <v>3014</v>
      </c>
      <c r="K1279" s="469">
        <v>1.61</v>
      </c>
    </row>
    <row r="1280" spans="2:11" x14ac:dyDescent="0.35">
      <c r="B1280" s="62">
        <v>12.25</v>
      </c>
      <c r="C1280" s="471">
        <v>1296</v>
      </c>
      <c r="D1280" s="471">
        <v>1288.4000000000001</v>
      </c>
      <c r="E1280" s="469">
        <v>68.39</v>
      </c>
      <c r="F1280" s="469">
        <v>7.4</v>
      </c>
      <c r="G1280" s="469">
        <v>5.4</v>
      </c>
      <c r="H1280" s="470">
        <v>165</v>
      </c>
      <c r="I1280" s="470">
        <v>775</v>
      </c>
      <c r="J1280" s="470">
        <v>3032</v>
      </c>
      <c r="K1280" s="469">
        <v>1.61</v>
      </c>
    </row>
    <row r="1281" spans="2:11" x14ac:dyDescent="0.35">
      <c r="B1281" s="62">
        <v>12.25</v>
      </c>
      <c r="C1281" s="471">
        <v>1297</v>
      </c>
      <c r="D1281" s="471">
        <v>1289.3</v>
      </c>
      <c r="E1281" s="469">
        <v>76.31</v>
      </c>
      <c r="F1281" s="469">
        <v>6.9</v>
      </c>
      <c r="G1281" s="469">
        <v>4.5999999999999996</v>
      </c>
      <c r="H1281" s="470">
        <v>165</v>
      </c>
      <c r="I1281" s="470">
        <v>778</v>
      </c>
      <c r="J1281" s="470">
        <v>2971</v>
      </c>
      <c r="K1281" s="469">
        <v>1.61</v>
      </c>
    </row>
    <row r="1282" spans="2:11" x14ac:dyDescent="0.35">
      <c r="B1282" s="62">
        <v>12.25</v>
      </c>
      <c r="C1282" s="471">
        <v>1298</v>
      </c>
      <c r="D1282" s="471">
        <v>1290.3</v>
      </c>
      <c r="E1282" s="469">
        <v>55.18</v>
      </c>
      <c r="F1282" s="469">
        <v>4.0999999999999996</v>
      </c>
      <c r="G1282" s="469">
        <v>3.4</v>
      </c>
      <c r="H1282" s="470">
        <v>165</v>
      </c>
      <c r="I1282" s="470">
        <v>777</v>
      </c>
      <c r="J1282" s="470">
        <v>2911</v>
      </c>
      <c r="K1282" s="469">
        <v>1.61</v>
      </c>
    </row>
    <row r="1283" spans="2:11" x14ac:dyDescent="0.35">
      <c r="B1283" s="62">
        <v>12.25</v>
      </c>
      <c r="C1283" s="471">
        <v>1299</v>
      </c>
      <c r="D1283" s="471">
        <v>1291.3</v>
      </c>
      <c r="E1283" s="469">
        <v>61.3</v>
      </c>
      <c r="F1283" s="469">
        <v>3.8</v>
      </c>
      <c r="G1283" s="469">
        <v>3.5</v>
      </c>
      <c r="H1283" s="470">
        <v>165</v>
      </c>
      <c r="I1283" s="470">
        <v>779</v>
      </c>
      <c r="J1283" s="470">
        <v>2928</v>
      </c>
      <c r="K1283" s="469">
        <v>1.61</v>
      </c>
    </row>
    <row r="1284" spans="2:11" x14ac:dyDescent="0.35">
      <c r="B1284" s="62">
        <v>12.25</v>
      </c>
      <c r="C1284" s="471">
        <v>1300</v>
      </c>
      <c r="D1284" s="471">
        <v>1292.3</v>
      </c>
      <c r="E1284" s="469">
        <v>45.4</v>
      </c>
      <c r="F1284" s="469">
        <v>5.6</v>
      </c>
      <c r="G1284" s="469">
        <v>4.4000000000000004</v>
      </c>
      <c r="H1284" s="470">
        <v>165</v>
      </c>
      <c r="I1284" s="470">
        <v>776</v>
      </c>
      <c r="J1284" s="470">
        <v>2978</v>
      </c>
      <c r="K1284" s="469">
        <v>1.61</v>
      </c>
    </row>
    <row r="1285" spans="2:11" x14ac:dyDescent="0.35">
      <c r="B1285" s="62">
        <v>12.25</v>
      </c>
      <c r="C1285" s="471">
        <v>1301</v>
      </c>
      <c r="D1285" s="471">
        <v>1293.3</v>
      </c>
      <c r="E1285" s="469">
        <v>80.55</v>
      </c>
      <c r="F1285" s="469">
        <v>6.3</v>
      </c>
      <c r="G1285" s="469">
        <v>4.5999999999999996</v>
      </c>
      <c r="H1285" s="470">
        <v>165</v>
      </c>
      <c r="I1285" s="470">
        <v>775</v>
      </c>
      <c r="J1285" s="470">
        <v>2993</v>
      </c>
      <c r="K1285" s="469">
        <v>1.61</v>
      </c>
    </row>
    <row r="1286" spans="2:11" x14ac:dyDescent="0.35">
      <c r="B1286" s="62">
        <v>12.25</v>
      </c>
      <c r="C1286" s="471">
        <v>1302</v>
      </c>
      <c r="D1286" s="471">
        <v>1294.3</v>
      </c>
      <c r="E1286" s="469">
        <v>34.479999999999997</v>
      </c>
      <c r="F1286" s="469">
        <v>5.3</v>
      </c>
      <c r="G1286" s="469">
        <v>4.7</v>
      </c>
      <c r="H1286" s="470">
        <v>165</v>
      </c>
      <c r="I1286" s="470">
        <v>776</v>
      </c>
      <c r="J1286" s="470">
        <v>2967</v>
      </c>
      <c r="K1286" s="469">
        <v>1.61</v>
      </c>
    </row>
    <row r="1287" spans="2:11" x14ac:dyDescent="0.35">
      <c r="B1287" s="62">
        <v>12.25</v>
      </c>
      <c r="C1287" s="471">
        <v>1303</v>
      </c>
      <c r="D1287" s="471">
        <v>1295.3</v>
      </c>
      <c r="E1287" s="469">
        <v>62.88</v>
      </c>
      <c r="F1287" s="469">
        <v>7.1</v>
      </c>
      <c r="G1287" s="469">
        <v>5.8</v>
      </c>
      <c r="H1287" s="470">
        <v>165</v>
      </c>
      <c r="I1287" s="470">
        <v>775</v>
      </c>
      <c r="J1287" s="470">
        <v>3056</v>
      </c>
      <c r="K1287" s="469">
        <v>1.61</v>
      </c>
    </row>
    <row r="1288" spans="2:11" x14ac:dyDescent="0.35">
      <c r="B1288" s="62">
        <v>12.25</v>
      </c>
      <c r="C1288" s="471">
        <v>1304</v>
      </c>
      <c r="D1288" s="471">
        <v>1296.3</v>
      </c>
      <c r="E1288" s="469">
        <v>54</v>
      </c>
      <c r="F1288" s="469">
        <v>7</v>
      </c>
      <c r="G1288" s="469">
        <v>5.9</v>
      </c>
      <c r="H1288" s="470">
        <v>165</v>
      </c>
      <c r="I1288" s="470">
        <v>773</v>
      </c>
      <c r="J1288" s="470">
        <v>3050</v>
      </c>
      <c r="K1288" s="469">
        <v>1.61</v>
      </c>
    </row>
    <row r="1289" spans="2:11" x14ac:dyDescent="0.35">
      <c r="B1289" s="62">
        <v>12.25</v>
      </c>
      <c r="C1289" s="471">
        <v>1305</v>
      </c>
      <c r="D1289" s="471">
        <v>1297.3</v>
      </c>
      <c r="E1289" s="469">
        <v>45.51</v>
      </c>
      <c r="F1289" s="469">
        <v>6.5</v>
      </c>
      <c r="G1289" s="469">
        <v>5.4</v>
      </c>
      <c r="H1289" s="470">
        <v>165</v>
      </c>
      <c r="I1289" s="470">
        <v>774</v>
      </c>
      <c r="J1289" s="470">
        <v>3036</v>
      </c>
      <c r="K1289" s="469">
        <v>1.61</v>
      </c>
    </row>
    <row r="1290" spans="2:11" x14ac:dyDescent="0.35">
      <c r="B1290" s="62">
        <v>12.25</v>
      </c>
      <c r="C1290" s="471">
        <v>1306</v>
      </c>
      <c r="D1290" s="471">
        <v>1298.3</v>
      </c>
      <c r="E1290" s="469">
        <v>51.07</v>
      </c>
      <c r="F1290" s="469">
        <v>5.9</v>
      </c>
      <c r="G1290" s="469">
        <v>4.5999999999999996</v>
      </c>
      <c r="H1290" s="470">
        <v>165</v>
      </c>
      <c r="I1290" s="470">
        <v>776</v>
      </c>
      <c r="J1290" s="470">
        <v>3016</v>
      </c>
      <c r="K1290" s="469">
        <v>1.61</v>
      </c>
    </row>
    <row r="1291" spans="2:11" x14ac:dyDescent="0.35">
      <c r="B1291" s="62">
        <v>12.25</v>
      </c>
      <c r="C1291" s="471">
        <v>1307</v>
      </c>
      <c r="D1291" s="471">
        <v>1299.3</v>
      </c>
      <c r="E1291" s="469">
        <v>61.32</v>
      </c>
      <c r="F1291" s="469">
        <v>6</v>
      </c>
      <c r="G1291" s="469">
        <v>4.3</v>
      </c>
      <c r="H1291" s="470">
        <v>165</v>
      </c>
      <c r="I1291" s="470">
        <v>775</v>
      </c>
      <c r="J1291" s="470">
        <v>3016</v>
      </c>
      <c r="K1291" s="469">
        <v>1.61</v>
      </c>
    </row>
    <row r="1292" spans="2:11" x14ac:dyDescent="0.35">
      <c r="B1292" s="62">
        <v>12.25</v>
      </c>
      <c r="C1292" s="471">
        <v>1308</v>
      </c>
      <c r="D1292" s="471">
        <v>1300.4000000000001</v>
      </c>
      <c r="E1292" s="469">
        <v>16.010000000000002</v>
      </c>
      <c r="F1292" s="469">
        <v>4.0999999999999996</v>
      </c>
      <c r="G1292" s="469">
        <v>3.1</v>
      </c>
      <c r="H1292" s="470">
        <v>159</v>
      </c>
      <c r="I1292" s="470">
        <v>721</v>
      </c>
      <c r="J1292" s="470">
        <v>2541</v>
      </c>
      <c r="K1292" s="469">
        <v>1.61</v>
      </c>
    </row>
    <row r="1293" spans="2:11" x14ac:dyDescent="0.35">
      <c r="B1293" s="62">
        <v>12.25</v>
      </c>
      <c r="C1293" s="471">
        <v>1309</v>
      </c>
      <c r="D1293" s="471">
        <v>1301.4000000000001</v>
      </c>
      <c r="E1293" s="469">
        <v>10.62</v>
      </c>
      <c r="F1293" s="469">
        <v>3.3</v>
      </c>
      <c r="G1293" s="469">
        <v>2.6</v>
      </c>
      <c r="H1293" s="470">
        <v>160</v>
      </c>
      <c r="I1293" s="470">
        <v>731</v>
      </c>
      <c r="J1293" s="470">
        <v>2575</v>
      </c>
      <c r="K1293" s="469">
        <v>1.61</v>
      </c>
    </row>
    <row r="1294" spans="2:11" x14ac:dyDescent="0.35">
      <c r="B1294" s="62">
        <v>12.25</v>
      </c>
      <c r="C1294" s="471">
        <v>1310</v>
      </c>
      <c r="D1294" s="471">
        <v>1302.4000000000001</v>
      </c>
      <c r="E1294" s="469">
        <v>14.84</v>
      </c>
      <c r="F1294" s="469">
        <v>3.9</v>
      </c>
      <c r="G1294" s="469">
        <v>2.9</v>
      </c>
      <c r="H1294" s="470">
        <v>160</v>
      </c>
      <c r="I1294" s="470">
        <v>725</v>
      </c>
      <c r="J1294" s="470">
        <v>2532</v>
      </c>
      <c r="K1294" s="469">
        <v>1.61</v>
      </c>
    </row>
    <row r="1295" spans="2:11" x14ac:dyDescent="0.35">
      <c r="B1295" s="62">
        <v>12.25</v>
      </c>
      <c r="C1295" s="471">
        <v>1311</v>
      </c>
      <c r="D1295" s="471">
        <v>1303.4000000000001</v>
      </c>
      <c r="E1295" s="469">
        <v>16.71</v>
      </c>
      <c r="F1295" s="469">
        <v>4.5</v>
      </c>
      <c r="G1295" s="469">
        <v>2.6</v>
      </c>
      <c r="H1295" s="470">
        <v>165</v>
      </c>
      <c r="I1295" s="470">
        <v>771</v>
      </c>
      <c r="J1295" s="470">
        <v>2832</v>
      </c>
      <c r="K1295" s="469">
        <v>1.61</v>
      </c>
    </row>
    <row r="1296" spans="2:11" x14ac:dyDescent="0.35">
      <c r="B1296" s="62">
        <v>12.25</v>
      </c>
      <c r="C1296" s="471">
        <v>1312</v>
      </c>
      <c r="D1296" s="471">
        <v>1304.4000000000001</v>
      </c>
      <c r="E1296" s="469">
        <v>43.33</v>
      </c>
      <c r="F1296" s="469">
        <v>7.3</v>
      </c>
      <c r="G1296" s="469">
        <v>3.7</v>
      </c>
      <c r="H1296" s="470">
        <v>165</v>
      </c>
      <c r="I1296" s="470">
        <v>776</v>
      </c>
      <c r="J1296" s="470">
        <v>3009</v>
      </c>
      <c r="K1296" s="469">
        <v>1.61</v>
      </c>
    </row>
    <row r="1297" spans="2:11" x14ac:dyDescent="0.35">
      <c r="B1297" s="62">
        <v>12.25</v>
      </c>
      <c r="C1297" s="471">
        <v>1313</v>
      </c>
      <c r="D1297" s="471">
        <v>1305.4000000000001</v>
      </c>
      <c r="E1297" s="469">
        <v>42.39</v>
      </c>
      <c r="F1297" s="469">
        <v>7.7</v>
      </c>
      <c r="G1297" s="469">
        <v>5.0999999999999996</v>
      </c>
      <c r="H1297" s="470">
        <v>165</v>
      </c>
      <c r="I1297" s="470">
        <v>777</v>
      </c>
      <c r="J1297" s="470">
        <v>3008</v>
      </c>
      <c r="K1297" s="469">
        <v>1.61</v>
      </c>
    </row>
    <row r="1298" spans="2:11" x14ac:dyDescent="0.35">
      <c r="B1298" s="62">
        <v>12.25</v>
      </c>
      <c r="C1298" s="471">
        <v>1314</v>
      </c>
      <c r="D1298" s="471">
        <v>1306.4000000000001</v>
      </c>
      <c r="E1298" s="469">
        <v>40.14</v>
      </c>
      <c r="F1298" s="469">
        <v>7.8</v>
      </c>
      <c r="G1298" s="469">
        <v>5.0999999999999996</v>
      </c>
      <c r="H1298" s="470">
        <v>165</v>
      </c>
      <c r="I1298" s="470">
        <v>776</v>
      </c>
      <c r="J1298" s="470">
        <v>2999</v>
      </c>
      <c r="K1298" s="469">
        <v>1.61</v>
      </c>
    </row>
    <row r="1299" spans="2:11" x14ac:dyDescent="0.35">
      <c r="B1299" s="62">
        <v>12.25</v>
      </c>
      <c r="C1299" s="471">
        <v>1315</v>
      </c>
      <c r="D1299" s="471">
        <v>1307.4000000000001</v>
      </c>
      <c r="E1299" s="469">
        <v>52.18</v>
      </c>
      <c r="F1299" s="469">
        <v>7.4</v>
      </c>
      <c r="G1299" s="469">
        <v>5</v>
      </c>
      <c r="H1299" s="470">
        <v>165</v>
      </c>
      <c r="I1299" s="470">
        <v>774</v>
      </c>
      <c r="J1299" s="470">
        <v>2998</v>
      </c>
      <c r="K1299" s="469">
        <v>1.61</v>
      </c>
    </row>
    <row r="1300" spans="2:11" x14ac:dyDescent="0.35">
      <c r="B1300" s="62">
        <v>12.25</v>
      </c>
      <c r="C1300" s="471">
        <v>1316</v>
      </c>
      <c r="D1300" s="471">
        <v>1308.4000000000001</v>
      </c>
      <c r="E1300" s="469">
        <v>59.2</v>
      </c>
      <c r="F1300" s="469">
        <v>6.9</v>
      </c>
      <c r="G1300" s="469">
        <v>4.8</v>
      </c>
      <c r="H1300" s="470">
        <v>165</v>
      </c>
      <c r="I1300" s="470">
        <v>778</v>
      </c>
      <c r="J1300" s="470">
        <v>3001</v>
      </c>
      <c r="K1300" s="469">
        <v>1.61</v>
      </c>
    </row>
    <row r="1301" spans="2:11" x14ac:dyDescent="0.35">
      <c r="B1301" s="62">
        <v>12.25</v>
      </c>
      <c r="C1301" s="471">
        <v>1317</v>
      </c>
      <c r="D1301" s="471">
        <v>1309.4000000000001</v>
      </c>
      <c r="E1301" s="469">
        <v>59.03</v>
      </c>
      <c r="F1301" s="469">
        <v>7.5</v>
      </c>
      <c r="G1301" s="469">
        <v>5.8</v>
      </c>
      <c r="H1301" s="470">
        <v>165</v>
      </c>
      <c r="I1301" s="470">
        <v>776</v>
      </c>
      <c r="J1301" s="470">
        <v>3039</v>
      </c>
      <c r="K1301" s="469">
        <v>1.61</v>
      </c>
    </row>
    <row r="1302" spans="2:11" x14ac:dyDescent="0.35">
      <c r="B1302" s="62">
        <v>12.25</v>
      </c>
      <c r="C1302" s="471">
        <v>1318</v>
      </c>
      <c r="D1302" s="471">
        <v>1310.4000000000001</v>
      </c>
      <c r="E1302" s="469">
        <v>59.2</v>
      </c>
      <c r="F1302" s="469">
        <v>6.8</v>
      </c>
      <c r="G1302" s="469">
        <v>4.5999999999999996</v>
      </c>
      <c r="H1302" s="470">
        <v>165</v>
      </c>
      <c r="I1302" s="470">
        <v>775</v>
      </c>
      <c r="J1302" s="470">
        <v>3016</v>
      </c>
      <c r="K1302" s="469">
        <v>1.61</v>
      </c>
    </row>
    <row r="1303" spans="2:11" x14ac:dyDescent="0.35">
      <c r="B1303" s="62">
        <v>12.25</v>
      </c>
      <c r="C1303" s="471">
        <v>1319</v>
      </c>
      <c r="D1303" s="471">
        <v>1311.3</v>
      </c>
      <c r="E1303" s="469">
        <v>74.02</v>
      </c>
      <c r="F1303" s="469">
        <v>7.5</v>
      </c>
      <c r="G1303" s="469">
        <v>5</v>
      </c>
      <c r="H1303" s="470">
        <v>165</v>
      </c>
      <c r="I1303" s="470">
        <v>776</v>
      </c>
      <c r="J1303" s="470">
        <v>3027</v>
      </c>
      <c r="K1303" s="469">
        <v>1.61</v>
      </c>
    </row>
    <row r="1304" spans="2:11" x14ac:dyDescent="0.35">
      <c r="B1304" s="62">
        <v>12.25</v>
      </c>
      <c r="C1304" s="471">
        <v>1320</v>
      </c>
      <c r="D1304" s="471">
        <v>1312.4</v>
      </c>
      <c r="E1304" s="469">
        <v>67.67</v>
      </c>
      <c r="F1304" s="469">
        <v>7.3</v>
      </c>
      <c r="G1304" s="469">
        <v>4.8</v>
      </c>
      <c r="H1304" s="470">
        <v>166</v>
      </c>
      <c r="I1304" s="470">
        <v>780</v>
      </c>
      <c r="J1304" s="470">
        <v>2996</v>
      </c>
      <c r="K1304" s="469">
        <v>1.61</v>
      </c>
    </row>
    <row r="1305" spans="2:11" x14ac:dyDescent="0.35">
      <c r="B1305" s="62">
        <v>12.25</v>
      </c>
      <c r="C1305" s="471">
        <v>1321</v>
      </c>
      <c r="D1305" s="471">
        <v>1313.4</v>
      </c>
      <c r="E1305" s="469">
        <v>52.99</v>
      </c>
      <c r="F1305" s="469">
        <v>6.1</v>
      </c>
      <c r="G1305" s="469">
        <v>4.7</v>
      </c>
      <c r="H1305" s="470">
        <v>166</v>
      </c>
      <c r="I1305" s="470">
        <v>783</v>
      </c>
      <c r="J1305" s="470">
        <v>2947</v>
      </c>
      <c r="K1305" s="469">
        <v>1.61</v>
      </c>
    </row>
    <row r="1306" spans="2:11" x14ac:dyDescent="0.35">
      <c r="B1306" s="62">
        <v>12.25</v>
      </c>
      <c r="C1306" s="471">
        <v>1322</v>
      </c>
      <c r="D1306" s="471">
        <v>1314.3</v>
      </c>
      <c r="E1306" s="469">
        <v>50.7</v>
      </c>
      <c r="F1306" s="469">
        <v>5.9</v>
      </c>
      <c r="G1306" s="469">
        <v>4.0999999999999996</v>
      </c>
      <c r="H1306" s="470">
        <v>165</v>
      </c>
      <c r="I1306" s="470">
        <v>776</v>
      </c>
      <c r="J1306" s="470">
        <v>2960</v>
      </c>
      <c r="K1306" s="469">
        <v>1.61</v>
      </c>
    </row>
    <row r="1307" spans="2:11" x14ac:dyDescent="0.35">
      <c r="B1307" s="62">
        <v>12.25</v>
      </c>
      <c r="C1307" s="471">
        <v>1323</v>
      </c>
      <c r="D1307" s="471">
        <v>1315.3</v>
      </c>
      <c r="E1307" s="469">
        <v>18.77</v>
      </c>
      <c r="F1307" s="469">
        <v>6.7</v>
      </c>
      <c r="G1307" s="469">
        <v>5.4</v>
      </c>
      <c r="H1307" s="470">
        <v>165</v>
      </c>
      <c r="I1307" s="470">
        <v>769</v>
      </c>
      <c r="J1307" s="470">
        <v>3059</v>
      </c>
      <c r="K1307" s="469">
        <v>1.62</v>
      </c>
    </row>
    <row r="1308" spans="2:11" x14ac:dyDescent="0.35">
      <c r="B1308" s="62">
        <v>12.25</v>
      </c>
      <c r="C1308" s="471">
        <v>1324</v>
      </c>
      <c r="D1308" s="471">
        <v>1316.3</v>
      </c>
      <c r="E1308" s="469">
        <v>61.68</v>
      </c>
      <c r="F1308" s="469">
        <v>6.5</v>
      </c>
      <c r="G1308" s="469">
        <v>5.0999999999999996</v>
      </c>
      <c r="H1308" s="470">
        <v>166</v>
      </c>
      <c r="I1308" s="470">
        <v>775</v>
      </c>
      <c r="J1308" s="470">
        <v>3081</v>
      </c>
      <c r="K1308" s="469">
        <v>1.62</v>
      </c>
    </row>
    <row r="1309" spans="2:11" x14ac:dyDescent="0.35">
      <c r="B1309" s="62">
        <v>12.25</v>
      </c>
      <c r="C1309" s="471">
        <v>1325</v>
      </c>
      <c r="D1309" s="471">
        <v>1317.3</v>
      </c>
      <c r="E1309" s="469">
        <v>65.209999999999994</v>
      </c>
      <c r="F1309" s="469">
        <v>6.4</v>
      </c>
      <c r="G1309" s="469">
        <v>4.2</v>
      </c>
      <c r="H1309" s="470">
        <v>166</v>
      </c>
      <c r="I1309" s="470">
        <v>772</v>
      </c>
      <c r="J1309" s="470">
        <v>3016</v>
      </c>
      <c r="K1309" s="469">
        <v>1.62</v>
      </c>
    </row>
    <row r="1310" spans="2:11" x14ac:dyDescent="0.35">
      <c r="B1310" s="62">
        <v>12.25</v>
      </c>
      <c r="C1310" s="471">
        <v>1326</v>
      </c>
      <c r="D1310" s="471">
        <v>1318.3</v>
      </c>
      <c r="E1310" s="469">
        <v>98.27</v>
      </c>
      <c r="F1310" s="469">
        <v>7.1</v>
      </c>
      <c r="G1310" s="469">
        <v>4.7</v>
      </c>
      <c r="H1310" s="470">
        <v>166</v>
      </c>
      <c r="I1310" s="470">
        <v>772</v>
      </c>
      <c r="J1310" s="470">
        <v>3072</v>
      </c>
      <c r="K1310" s="469">
        <v>1.62</v>
      </c>
    </row>
    <row r="1311" spans="2:11" x14ac:dyDescent="0.35">
      <c r="B1311" s="62">
        <v>12.25</v>
      </c>
      <c r="C1311" s="471">
        <v>1327</v>
      </c>
      <c r="D1311" s="471">
        <v>1319.3</v>
      </c>
      <c r="E1311" s="469">
        <v>76.31</v>
      </c>
      <c r="F1311" s="469">
        <v>6.4</v>
      </c>
      <c r="G1311" s="469">
        <v>4.2</v>
      </c>
      <c r="H1311" s="470">
        <v>167</v>
      </c>
      <c r="I1311" s="470">
        <v>779</v>
      </c>
      <c r="J1311" s="470">
        <v>3062</v>
      </c>
      <c r="K1311" s="469">
        <v>1.62</v>
      </c>
    </row>
    <row r="1312" spans="2:11" x14ac:dyDescent="0.35">
      <c r="B1312" s="62">
        <v>12.25</v>
      </c>
      <c r="C1312" s="471">
        <v>1328</v>
      </c>
      <c r="D1312" s="471">
        <v>1320.3</v>
      </c>
      <c r="E1312" s="469">
        <v>87.47</v>
      </c>
      <c r="F1312" s="469">
        <v>8.1999999999999993</v>
      </c>
      <c r="G1312" s="469">
        <v>5</v>
      </c>
      <c r="H1312" s="470">
        <v>166</v>
      </c>
      <c r="I1312" s="470">
        <v>774</v>
      </c>
      <c r="J1312" s="470">
        <v>3091</v>
      </c>
      <c r="K1312" s="469">
        <v>1.62</v>
      </c>
    </row>
    <row r="1313" spans="2:11" x14ac:dyDescent="0.35">
      <c r="B1313" s="62">
        <v>12.25</v>
      </c>
      <c r="C1313" s="471">
        <v>1329</v>
      </c>
      <c r="D1313" s="471">
        <v>1321.3</v>
      </c>
      <c r="E1313" s="469">
        <v>61.18</v>
      </c>
      <c r="F1313" s="469">
        <v>7.7</v>
      </c>
      <c r="G1313" s="469">
        <v>6.5</v>
      </c>
      <c r="H1313" s="470">
        <v>166</v>
      </c>
      <c r="I1313" s="470">
        <v>771</v>
      </c>
      <c r="J1313" s="470">
        <v>3169</v>
      </c>
      <c r="K1313" s="469">
        <v>1.62</v>
      </c>
    </row>
    <row r="1314" spans="2:11" x14ac:dyDescent="0.35">
      <c r="B1314" s="62">
        <v>12.25</v>
      </c>
      <c r="C1314" s="471">
        <v>1330</v>
      </c>
      <c r="D1314" s="471">
        <v>1322.3</v>
      </c>
      <c r="E1314" s="469">
        <v>59.69</v>
      </c>
      <c r="F1314" s="469">
        <v>7.1</v>
      </c>
      <c r="G1314" s="469">
        <v>6</v>
      </c>
      <c r="H1314" s="470">
        <v>166</v>
      </c>
      <c r="I1314" s="470">
        <v>772</v>
      </c>
      <c r="J1314" s="470">
        <v>3151</v>
      </c>
      <c r="K1314" s="469">
        <v>1.62</v>
      </c>
    </row>
    <row r="1315" spans="2:11" x14ac:dyDescent="0.35">
      <c r="B1315" s="62">
        <v>12.25</v>
      </c>
      <c r="C1315" s="471">
        <v>1331</v>
      </c>
      <c r="D1315" s="471">
        <v>1323.3</v>
      </c>
      <c r="E1315" s="469">
        <v>73.13</v>
      </c>
      <c r="F1315" s="469">
        <v>8</v>
      </c>
      <c r="G1315" s="469">
        <v>6.2</v>
      </c>
      <c r="H1315" s="470">
        <v>165</v>
      </c>
      <c r="I1315" s="470">
        <v>767</v>
      </c>
      <c r="J1315" s="470">
        <v>3212</v>
      </c>
      <c r="K1315" s="469">
        <v>1.62</v>
      </c>
    </row>
    <row r="1316" spans="2:11" x14ac:dyDescent="0.35">
      <c r="B1316" s="62">
        <v>12.25</v>
      </c>
      <c r="C1316" s="471">
        <v>1332</v>
      </c>
      <c r="D1316" s="471">
        <v>1324.3</v>
      </c>
      <c r="E1316" s="469">
        <v>62.37</v>
      </c>
      <c r="F1316" s="469">
        <v>8</v>
      </c>
      <c r="G1316" s="469">
        <v>5.9</v>
      </c>
      <c r="H1316" s="470">
        <v>166</v>
      </c>
      <c r="I1316" s="470">
        <v>769</v>
      </c>
      <c r="J1316" s="470">
        <v>3221</v>
      </c>
      <c r="K1316" s="469">
        <v>1.62</v>
      </c>
    </row>
    <row r="1317" spans="2:11" x14ac:dyDescent="0.35">
      <c r="B1317" s="62">
        <v>12.25</v>
      </c>
      <c r="C1317" s="471">
        <v>1333</v>
      </c>
      <c r="D1317" s="471">
        <v>1325.3</v>
      </c>
      <c r="E1317" s="469">
        <v>64.790000000000006</v>
      </c>
      <c r="F1317" s="469">
        <v>8</v>
      </c>
      <c r="G1317" s="469">
        <v>5.7</v>
      </c>
      <c r="H1317" s="470">
        <v>165</v>
      </c>
      <c r="I1317" s="470">
        <v>766</v>
      </c>
      <c r="J1317" s="470">
        <v>3194</v>
      </c>
      <c r="K1317" s="469">
        <v>1.62</v>
      </c>
    </row>
    <row r="1318" spans="2:11" x14ac:dyDescent="0.35">
      <c r="B1318" s="62">
        <v>12.25</v>
      </c>
      <c r="C1318" s="471">
        <v>1334</v>
      </c>
      <c r="D1318" s="471">
        <v>1326.3</v>
      </c>
      <c r="E1318" s="469">
        <v>47.42</v>
      </c>
      <c r="F1318" s="469">
        <v>7.1</v>
      </c>
      <c r="G1318" s="469">
        <v>4.5999999999999996</v>
      </c>
      <c r="H1318" s="470">
        <v>166</v>
      </c>
      <c r="I1318" s="470">
        <v>772</v>
      </c>
      <c r="J1318" s="470">
        <v>3129</v>
      </c>
      <c r="K1318" s="469">
        <v>1.62</v>
      </c>
    </row>
    <row r="1319" spans="2:11" x14ac:dyDescent="0.35">
      <c r="B1319" s="62">
        <v>12.25</v>
      </c>
      <c r="C1319" s="471">
        <v>1335</v>
      </c>
      <c r="D1319" s="471">
        <v>1327.2</v>
      </c>
      <c r="E1319" s="469">
        <v>78</v>
      </c>
      <c r="F1319" s="469">
        <v>7.9</v>
      </c>
      <c r="G1319" s="469">
        <v>5</v>
      </c>
      <c r="H1319" s="470">
        <v>166</v>
      </c>
      <c r="I1319" s="470">
        <v>770</v>
      </c>
      <c r="J1319" s="470">
        <v>3152</v>
      </c>
      <c r="K1319" s="469">
        <v>1.62</v>
      </c>
    </row>
    <row r="1320" spans="2:11" x14ac:dyDescent="0.35">
      <c r="B1320" s="62">
        <v>12.25</v>
      </c>
      <c r="C1320" s="471">
        <v>1336</v>
      </c>
      <c r="D1320" s="471">
        <v>1328.3</v>
      </c>
      <c r="E1320" s="469">
        <v>86.54</v>
      </c>
      <c r="F1320" s="469">
        <v>9</v>
      </c>
      <c r="G1320" s="469">
        <v>5.2</v>
      </c>
      <c r="H1320" s="470">
        <v>166</v>
      </c>
      <c r="I1320" s="470">
        <v>772</v>
      </c>
      <c r="J1320" s="470">
        <v>3165</v>
      </c>
      <c r="K1320" s="469">
        <v>1.62</v>
      </c>
    </row>
    <row r="1321" spans="2:11" x14ac:dyDescent="0.35">
      <c r="B1321" s="62">
        <v>12.25</v>
      </c>
      <c r="C1321" s="471">
        <v>1337</v>
      </c>
      <c r="D1321" s="471">
        <v>1329.2</v>
      </c>
      <c r="E1321" s="469">
        <v>79.42</v>
      </c>
      <c r="F1321" s="469">
        <v>9.1999999999999993</v>
      </c>
      <c r="G1321" s="469">
        <v>6.4</v>
      </c>
      <c r="H1321" s="470">
        <v>165</v>
      </c>
      <c r="I1321" s="470">
        <v>768</v>
      </c>
      <c r="J1321" s="470">
        <v>3199</v>
      </c>
      <c r="K1321" s="469">
        <v>1.62</v>
      </c>
    </row>
    <row r="1322" spans="2:11" x14ac:dyDescent="0.35">
      <c r="B1322" s="62">
        <v>12.25</v>
      </c>
      <c r="C1322" s="471">
        <v>1338</v>
      </c>
      <c r="D1322" s="471">
        <v>1330.2</v>
      </c>
      <c r="E1322" s="469">
        <v>88.71</v>
      </c>
      <c r="F1322" s="469">
        <v>8.6</v>
      </c>
      <c r="G1322" s="469">
        <v>5.8</v>
      </c>
      <c r="H1322" s="470">
        <v>166</v>
      </c>
      <c r="I1322" s="470">
        <v>771</v>
      </c>
      <c r="J1322" s="470">
        <v>3173</v>
      </c>
      <c r="K1322" s="469">
        <v>1.62</v>
      </c>
    </row>
    <row r="1323" spans="2:11" x14ac:dyDescent="0.35">
      <c r="B1323" s="62">
        <v>12.25</v>
      </c>
      <c r="C1323" s="471">
        <v>1339</v>
      </c>
      <c r="D1323" s="471">
        <v>1331.3</v>
      </c>
      <c r="E1323" s="469">
        <v>77.97</v>
      </c>
      <c r="F1323" s="469">
        <v>9.6</v>
      </c>
      <c r="G1323" s="469">
        <v>6.2</v>
      </c>
      <c r="H1323" s="470">
        <v>165</v>
      </c>
      <c r="I1323" s="470">
        <v>767</v>
      </c>
      <c r="J1323" s="470">
        <v>3228</v>
      </c>
      <c r="K1323" s="469">
        <v>1.62</v>
      </c>
    </row>
    <row r="1324" spans="2:11" x14ac:dyDescent="0.35">
      <c r="B1324" s="62">
        <v>12.25</v>
      </c>
      <c r="C1324" s="471">
        <v>1340</v>
      </c>
      <c r="D1324" s="471">
        <v>1332.2</v>
      </c>
      <c r="E1324" s="469">
        <v>84.11</v>
      </c>
      <c r="F1324" s="469">
        <v>10.4</v>
      </c>
      <c r="G1324" s="469">
        <v>7</v>
      </c>
      <c r="H1324" s="470">
        <v>165</v>
      </c>
      <c r="I1324" s="470">
        <v>767</v>
      </c>
      <c r="J1324" s="470">
        <v>3266</v>
      </c>
      <c r="K1324" s="469">
        <v>1.62</v>
      </c>
    </row>
    <row r="1325" spans="2:11" x14ac:dyDescent="0.35">
      <c r="B1325" s="62">
        <v>12.25</v>
      </c>
      <c r="C1325" s="471">
        <v>1341</v>
      </c>
      <c r="D1325" s="471">
        <v>1333.2</v>
      </c>
      <c r="E1325" s="469">
        <v>81.63</v>
      </c>
      <c r="F1325" s="469">
        <v>9.6999999999999993</v>
      </c>
      <c r="G1325" s="469">
        <v>6.9</v>
      </c>
      <c r="H1325" s="470">
        <v>165</v>
      </c>
      <c r="I1325" s="470">
        <v>767</v>
      </c>
      <c r="J1325" s="470">
        <v>3237</v>
      </c>
      <c r="K1325" s="469">
        <v>1.62</v>
      </c>
    </row>
    <row r="1326" spans="2:11" x14ac:dyDescent="0.35">
      <c r="B1326" s="62">
        <v>12.25</v>
      </c>
      <c r="C1326" s="471">
        <v>1342</v>
      </c>
      <c r="D1326" s="471">
        <v>1334.2</v>
      </c>
      <c r="E1326" s="469">
        <v>95.38</v>
      </c>
      <c r="F1326" s="469">
        <v>9.5</v>
      </c>
      <c r="G1326" s="469">
        <v>6.4</v>
      </c>
      <c r="H1326" s="470">
        <v>166</v>
      </c>
      <c r="I1326" s="470">
        <v>769</v>
      </c>
      <c r="J1326" s="470">
        <v>3212</v>
      </c>
      <c r="K1326" s="469">
        <v>1.62</v>
      </c>
    </row>
    <row r="1327" spans="2:11" x14ac:dyDescent="0.35">
      <c r="B1327" s="62">
        <v>12.25</v>
      </c>
      <c r="C1327" s="471">
        <v>1343</v>
      </c>
      <c r="D1327" s="471">
        <v>1335.2</v>
      </c>
      <c r="E1327" s="469">
        <v>61.17</v>
      </c>
      <c r="F1327" s="469">
        <v>8.6</v>
      </c>
      <c r="G1327" s="469">
        <v>5.9</v>
      </c>
      <c r="H1327" s="470">
        <v>165</v>
      </c>
      <c r="I1327" s="470">
        <v>769</v>
      </c>
      <c r="J1327" s="470">
        <v>3164</v>
      </c>
      <c r="K1327" s="469">
        <v>1.62</v>
      </c>
    </row>
    <row r="1328" spans="2:11" x14ac:dyDescent="0.35">
      <c r="B1328" s="62">
        <v>12.25</v>
      </c>
      <c r="C1328" s="471">
        <v>1344</v>
      </c>
      <c r="D1328" s="471">
        <v>1336.2</v>
      </c>
      <c r="E1328" s="469">
        <v>88.71</v>
      </c>
      <c r="F1328" s="469">
        <v>8.6</v>
      </c>
      <c r="G1328" s="469">
        <v>6.2</v>
      </c>
      <c r="H1328" s="470">
        <v>165</v>
      </c>
      <c r="I1328" s="470">
        <v>768</v>
      </c>
      <c r="J1328" s="470">
        <v>3181</v>
      </c>
      <c r="K1328" s="469">
        <v>1.62</v>
      </c>
    </row>
    <row r="1329" spans="2:11" x14ac:dyDescent="0.35">
      <c r="B1329" s="62">
        <v>12.25</v>
      </c>
      <c r="C1329" s="471">
        <v>1345</v>
      </c>
      <c r="D1329" s="471">
        <v>1337.2</v>
      </c>
      <c r="E1329" s="469">
        <v>77.099999999999994</v>
      </c>
      <c r="F1329" s="469">
        <v>7.7</v>
      </c>
      <c r="G1329" s="469">
        <v>5.6</v>
      </c>
      <c r="H1329" s="470">
        <v>166</v>
      </c>
      <c r="I1329" s="470">
        <v>771</v>
      </c>
      <c r="J1329" s="470">
        <v>3146</v>
      </c>
      <c r="K1329" s="469">
        <v>1.62</v>
      </c>
    </row>
    <row r="1330" spans="2:11" x14ac:dyDescent="0.35">
      <c r="B1330" s="62">
        <v>12.25</v>
      </c>
      <c r="C1330" s="471">
        <v>1346</v>
      </c>
      <c r="D1330" s="471">
        <v>1338.2</v>
      </c>
      <c r="E1330" s="469">
        <v>82.33</v>
      </c>
      <c r="F1330" s="469">
        <v>8.1999999999999993</v>
      </c>
      <c r="G1330" s="469">
        <v>6.3</v>
      </c>
      <c r="H1330" s="470">
        <v>165</v>
      </c>
      <c r="I1330" s="470">
        <v>768</v>
      </c>
      <c r="J1330" s="470">
        <v>3178</v>
      </c>
      <c r="K1330" s="469">
        <v>1.62</v>
      </c>
    </row>
    <row r="1331" spans="2:11" x14ac:dyDescent="0.35">
      <c r="B1331" s="62">
        <v>12.25</v>
      </c>
      <c r="C1331" s="471">
        <v>1347</v>
      </c>
      <c r="D1331" s="471">
        <v>1339.2</v>
      </c>
      <c r="E1331" s="469">
        <v>82.03</v>
      </c>
      <c r="F1331" s="469">
        <v>8.4</v>
      </c>
      <c r="G1331" s="469">
        <v>6.2</v>
      </c>
      <c r="H1331" s="470">
        <v>166</v>
      </c>
      <c r="I1331" s="470">
        <v>770</v>
      </c>
      <c r="J1331" s="470">
        <v>3167</v>
      </c>
      <c r="K1331" s="469">
        <v>1.62</v>
      </c>
    </row>
    <row r="1332" spans="2:11" x14ac:dyDescent="0.35">
      <c r="B1332" s="62">
        <v>12.25</v>
      </c>
      <c r="C1332" s="471">
        <v>1348</v>
      </c>
      <c r="D1332" s="471">
        <v>1340.2</v>
      </c>
      <c r="E1332" s="469">
        <v>70.5</v>
      </c>
      <c r="F1332" s="469">
        <v>8.8000000000000007</v>
      </c>
      <c r="G1332" s="469">
        <v>6</v>
      </c>
      <c r="H1332" s="470">
        <v>165</v>
      </c>
      <c r="I1332" s="470">
        <v>769</v>
      </c>
      <c r="J1332" s="470">
        <v>3215</v>
      </c>
      <c r="K1332" s="469">
        <v>1.62</v>
      </c>
    </row>
    <row r="1333" spans="2:11" x14ac:dyDescent="0.35">
      <c r="B1333" s="62">
        <v>12.25</v>
      </c>
      <c r="C1333" s="471">
        <v>1349</v>
      </c>
      <c r="D1333" s="471">
        <v>1341.2</v>
      </c>
      <c r="E1333" s="469">
        <v>75.48</v>
      </c>
      <c r="F1333" s="469">
        <v>8.5</v>
      </c>
      <c r="G1333" s="469">
        <v>6.1</v>
      </c>
      <c r="H1333" s="470">
        <v>165</v>
      </c>
      <c r="I1333" s="470">
        <v>768</v>
      </c>
      <c r="J1333" s="470">
        <v>3189</v>
      </c>
      <c r="K1333" s="469">
        <v>1.62</v>
      </c>
    </row>
    <row r="1334" spans="2:11" x14ac:dyDescent="0.35">
      <c r="B1334" s="62">
        <v>12.25</v>
      </c>
      <c r="C1334" s="471">
        <v>1350</v>
      </c>
      <c r="D1334" s="471">
        <v>1342.2</v>
      </c>
      <c r="E1334" s="469">
        <v>61.43</v>
      </c>
      <c r="F1334" s="469">
        <v>6.6</v>
      </c>
      <c r="G1334" s="469">
        <v>4.7</v>
      </c>
      <c r="H1334" s="470">
        <v>166</v>
      </c>
      <c r="I1334" s="470">
        <v>771</v>
      </c>
      <c r="J1334" s="470">
        <v>3119</v>
      </c>
      <c r="K1334" s="469">
        <v>1.62</v>
      </c>
    </row>
    <row r="1335" spans="2:11" x14ac:dyDescent="0.35">
      <c r="B1335" s="62">
        <v>12.25</v>
      </c>
      <c r="C1335" s="471">
        <v>1351</v>
      </c>
      <c r="D1335" s="471">
        <v>1343.2</v>
      </c>
      <c r="E1335" s="469">
        <v>21.87</v>
      </c>
      <c r="F1335" s="469">
        <v>7.8</v>
      </c>
      <c r="G1335" s="469">
        <v>5.2</v>
      </c>
      <c r="H1335" s="470">
        <v>166</v>
      </c>
      <c r="I1335" s="470">
        <v>768</v>
      </c>
      <c r="J1335" s="470">
        <v>3152</v>
      </c>
      <c r="K1335" s="469">
        <v>1.62</v>
      </c>
    </row>
    <row r="1336" spans="2:11" x14ac:dyDescent="0.35">
      <c r="B1336" s="62">
        <v>12.25</v>
      </c>
      <c r="C1336" s="471">
        <v>1352</v>
      </c>
      <c r="D1336" s="471">
        <v>1344.2</v>
      </c>
      <c r="E1336" s="469">
        <v>35.64</v>
      </c>
      <c r="F1336" s="469">
        <v>7</v>
      </c>
      <c r="G1336" s="469">
        <v>5.2</v>
      </c>
      <c r="H1336" s="470">
        <v>165</v>
      </c>
      <c r="I1336" s="470">
        <v>780</v>
      </c>
      <c r="J1336" s="470">
        <v>3210</v>
      </c>
      <c r="K1336" s="469">
        <v>1.63</v>
      </c>
    </row>
    <row r="1337" spans="2:11" x14ac:dyDescent="0.35">
      <c r="B1337" s="62">
        <v>12.25</v>
      </c>
      <c r="C1337" s="471">
        <v>1353</v>
      </c>
      <c r="D1337" s="471">
        <v>1345.1</v>
      </c>
      <c r="E1337" s="469">
        <v>40.880000000000003</v>
      </c>
      <c r="F1337" s="469">
        <v>6.4</v>
      </c>
      <c r="G1337" s="469">
        <v>5.8</v>
      </c>
      <c r="H1337" s="470">
        <v>165</v>
      </c>
      <c r="I1337" s="470">
        <v>778</v>
      </c>
      <c r="J1337" s="470">
        <v>3199</v>
      </c>
      <c r="K1337" s="469">
        <v>1.63</v>
      </c>
    </row>
    <row r="1338" spans="2:11" x14ac:dyDescent="0.35">
      <c r="B1338" s="62">
        <v>12.25</v>
      </c>
      <c r="C1338" s="471">
        <v>1354</v>
      </c>
      <c r="D1338" s="471">
        <v>1346.2</v>
      </c>
      <c r="E1338" s="469">
        <v>69.11</v>
      </c>
      <c r="F1338" s="469">
        <v>8.3000000000000007</v>
      </c>
      <c r="G1338" s="469">
        <v>5.8</v>
      </c>
      <c r="H1338" s="470">
        <v>165</v>
      </c>
      <c r="I1338" s="470">
        <v>777</v>
      </c>
      <c r="J1338" s="470">
        <v>3290</v>
      </c>
      <c r="K1338" s="469">
        <v>1.63</v>
      </c>
    </row>
    <row r="1339" spans="2:11" x14ac:dyDescent="0.35">
      <c r="B1339" s="62">
        <v>12.25</v>
      </c>
      <c r="C1339" s="471">
        <v>1355</v>
      </c>
      <c r="D1339" s="471">
        <v>1347.1</v>
      </c>
      <c r="E1339" s="469">
        <v>81.760000000000005</v>
      </c>
      <c r="F1339" s="469">
        <v>10.4</v>
      </c>
      <c r="G1339" s="469">
        <v>7.1</v>
      </c>
      <c r="H1339" s="470">
        <v>165</v>
      </c>
      <c r="I1339" s="470">
        <v>776</v>
      </c>
      <c r="J1339" s="470">
        <v>3361</v>
      </c>
      <c r="K1339" s="469">
        <v>1.63</v>
      </c>
    </row>
    <row r="1340" spans="2:11" x14ac:dyDescent="0.35">
      <c r="B1340" s="62">
        <v>12.25</v>
      </c>
      <c r="C1340" s="471">
        <v>1356</v>
      </c>
      <c r="D1340" s="471">
        <v>1348.1</v>
      </c>
      <c r="E1340" s="469">
        <v>78</v>
      </c>
      <c r="F1340" s="469">
        <v>10.1</v>
      </c>
      <c r="G1340" s="469">
        <v>6.5</v>
      </c>
      <c r="H1340" s="470">
        <v>164</v>
      </c>
      <c r="I1340" s="470">
        <v>775</v>
      </c>
      <c r="J1340" s="470">
        <v>3362</v>
      </c>
      <c r="K1340" s="469">
        <v>1.63</v>
      </c>
    </row>
    <row r="1341" spans="2:11" x14ac:dyDescent="0.35">
      <c r="B1341" s="62">
        <v>12.25</v>
      </c>
      <c r="C1341" s="471">
        <v>1357</v>
      </c>
      <c r="D1341" s="471">
        <v>1349.1</v>
      </c>
      <c r="E1341" s="469">
        <v>54.85</v>
      </c>
      <c r="F1341" s="469">
        <v>10.199999999999999</v>
      </c>
      <c r="G1341" s="469">
        <v>6.3</v>
      </c>
      <c r="H1341" s="470">
        <v>165</v>
      </c>
      <c r="I1341" s="470">
        <v>776</v>
      </c>
      <c r="J1341" s="470">
        <v>3311</v>
      </c>
      <c r="K1341" s="469">
        <v>1.63</v>
      </c>
    </row>
    <row r="1342" spans="2:11" x14ac:dyDescent="0.35">
      <c r="B1342" s="62">
        <v>12.25</v>
      </c>
      <c r="C1342" s="471">
        <v>1358</v>
      </c>
      <c r="D1342" s="471">
        <v>1350.1</v>
      </c>
      <c r="E1342" s="469">
        <v>61.05</v>
      </c>
      <c r="F1342" s="469">
        <v>9.9</v>
      </c>
      <c r="G1342" s="469">
        <v>5.9</v>
      </c>
      <c r="H1342" s="470">
        <v>165</v>
      </c>
      <c r="I1342" s="470">
        <v>776</v>
      </c>
      <c r="J1342" s="470">
        <v>3321</v>
      </c>
      <c r="K1342" s="469">
        <v>1.63</v>
      </c>
    </row>
    <row r="1343" spans="2:11" x14ac:dyDescent="0.35">
      <c r="B1343" s="62">
        <v>12.25</v>
      </c>
      <c r="C1343" s="471">
        <v>1359</v>
      </c>
      <c r="D1343" s="471">
        <v>1351.1</v>
      </c>
      <c r="E1343" s="469">
        <v>67.33</v>
      </c>
      <c r="F1343" s="469">
        <v>10.199999999999999</v>
      </c>
      <c r="G1343" s="469">
        <v>6</v>
      </c>
      <c r="H1343" s="470">
        <v>165</v>
      </c>
      <c r="I1343" s="470">
        <v>776</v>
      </c>
      <c r="J1343" s="470">
        <v>3340</v>
      </c>
      <c r="K1343" s="469">
        <v>1.63</v>
      </c>
    </row>
    <row r="1344" spans="2:11" x14ac:dyDescent="0.35">
      <c r="B1344" s="62">
        <v>12.25</v>
      </c>
      <c r="C1344" s="471">
        <v>1360</v>
      </c>
      <c r="D1344" s="471">
        <v>1352.1</v>
      </c>
      <c r="E1344" s="469">
        <v>60.14</v>
      </c>
      <c r="F1344" s="469">
        <v>9.3000000000000007</v>
      </c>
      <c r="G1344" s="469">
        <v>5.6</v>
      </c>
      <c r="H1344" s="470">
        <v>165</v>
      </c>
      <c r="I1344" s="470">
        <v>776</v>
      </c>
      <c r="J1344" s="470">
        <v>3322</v>
      </c>
      <c r="K1344" s="469">
        <v>1.63</v>
      </c>
    </row>
    <row r="1345" spans="2:11" x14ac:dyDescent="0.35">
      <c r="B1345" s="62">
        <v>12.25</v>
      </c>
      <c r="C1345" s="471">
        <v>1361</v>
      </c>
      <c r="D1345" s="471">
        <v>1353.1</v>
      </c>
      <c r="E1345" s="469">
        <v>54.5</v>
      </c>
      <c r="F1345" s="469">
        <v>9.6999999999999993</v>
      </c>
      <c r="G1345" s="469">
        <v>5.0999999999999996</v>
      </c>
      <c r="H1345" s="470">
        <v>165</v>
      </c>
      <c r="I1345" s="470">
        <v>775</v>
      </c>
      <c r="J1345" s="470">
        <v>3342</v>
      </c>
      <c r="K1345" s="469">
        <v>1.63</v>
      </c>
    </row>
    <row r="1346" spans="2:11" x14ac:dyDescent="0.35">
      <c r="B1346" s="62">
        <v>12.25</v>
      </c>
      <c r="C1346" s="471">
        <v>1362</v>
      </c>
      <c r="D1346" s="471">
        <v>1354.1</v>
      </c>
      <c r="E1346" s="469">
        <v>73.709999999999994</v>
      </c>
      <c r="F1346" s="469">
        <v>9.3000000000000007</v>
      </c>
      <c r="G1346" s="469">
        <v>6.4</v>
      </c>
      <c r="H1346" s="470">
        <v>164</v>
      </c>
      <c r="I1346" s="470">
        <v>774</v>
      </c>
      <c r="J1346" s="470">
        <v>3351</v>
      </c>
      <c r="K1346" s="469">
        <v>1.63</v>
      </c>
    </row>
    <row r="1347" spans="2:11" x14ac:dyDescent="0.35">
      <c r="B1347" s="62">
        <v>12.25</v>
      </c>
      <c r="C1347" s="471">
        <v>1363</v>
      </c>
      <c r="D1347" s="471">
        <v>1355.1</v>
      </c>
      <c r="E1347" s="469">
        <v>71.099999999999994</v>
      </c>
      <c r="F1347" s="469">
        <v>10</v>
      </c>
      <c r="G1347" s="469">
        <v>6.1</v>
      </c>
      <c r="H1347" s="470">
        <v>165</v>
      </c>
      <c r="I1347" s="470">
        <v>776</v>
      </c>
      <c r="J1347" s="470">
        <v>3347</v>
      </c>
      <c r="K1347" s="469">
        <v>1.63</v>
      </c>
    </row>
    <row r="1348" spans="2:11" x14ac:dyDescent="0.35">
      <c r="B1348" s="62">
        <v>12.25</v>
      </c>
      <c r="C1348" s="471">
        <v>1364</v>
      </c>
      <c r="D1348" s="471">
        <v>1356.1</v>
      </c>
      <c r="E1348" s="469">
        <v>71.63</v>
      </c>
      <c r="F1348" s="469">
        <v>10.8</v>
      </c>
      <c r="G1348" s="469">
        <v>6.5</v>
      </c>
      <c r="H1348" s="470">
        <v>165</v>
      </c>
      <c r="I1348" s="470">
        <v>776</v>
      </c>
      <c r="J1348" s="470">
        <v>3357</v>
      </c>
      <c r="K1348" s="469">
        <v>1.63</v>
      </c>
    </row>
    <row r="1349" spans="2:11" x14ac:dyDescent="0.35">
      <c r="B1349" s="62">
        <v>12.25</v>
      </c>
      <c r="C1349" s="471">
        <v>1365</v>
      </c>
      <c r="D1349" s="471">
        <v>1357.1</v>
      </c>
      <c r="E1349" s="469">
        <v>81.510000000000005</v>
      </c>
      <c r="F1349" s="469">
        <v>10.7</v>
      </c>
      <c r="G1349" s="469">
        <v>7.3</v>
      </c>
      <c r="H1349" s="470">
        <v>166</v>
      </c>
      <c r="I1349" s="470">
        <v>788</v>
      </c>
      <c r="J1349" s="470">
        <v>3425</v>
      </c>
      <c r="K1349" s="469">
        <v>1.63</v>
      </c>
    </row>
    <row r="1350" spans="2:11" x14ac:dyDescent="0.35">
      <c r="B1350" s="62">
        <v>12.25</v>
      </c>
      <c r="C1350" s="471">
        <v>1366</v>
      </c>
      <c r="D1350" s="471">
        <v>1358.1</v>
      </c>
      <c r="E1350" s="469">
        <v>85.63</v>
      </c>
      <c r="F1350" s="469">
        <v>10.9</v>
      </c>
      <c r="G1350" s="469">
        <v>6.9</v>
      </c>
      <c r="H1350" s="470">
        <v>167</v>
      </c>
      <c r="I1350" s="470">
        <v>793</v>
      </c>
      <c r="J1350" s="470">
        <v>3447</v>
      </c>
      <c r="K1350" s="469">
        <v>1.63</v>
      </c>
    </row>
    <row r="1351" spans="2:11" x14ac:dyDescent="0.35">
      <c r="B1351" s="62">
        <v>12.25</v>
      </c>
      <c r="C1351" s="471">
        <v>1367</v>
      </c>
      <c r="D1351" s="471">
        <v>1359.1</v>
      </c>
      <c r="E1351" s="469">
        <v>84.79</v>
      </c>
      <c r="F1351" s="469">
        <v>11.1</v>
      </c>
      <c r="G1351" s="469">
        <v>6.4</v>
      </c>
      <c r="H1351" s="470">
        <v>166</v>
      </c>
      <c r="I1351" s="470">
        <v>791</v>
      </c>
      <c r="J1351" s="470">
        <v>3422</v>
      </c>
      <c r="K1351" s="469">
        <v>1.63</v>
      </c>
    </row>
    <row r="1352" spans="2:11" x14ac:dyDescent="0.35">
      <c r="B1352" s="62">
        <v>12.25</v>
      </c>
      <c r="C1352" s="471">
        <v>1368</v>
      </c>
      <c r="D1352" s="471">
        <v>1360.1</v>
      </c>
      <c r="E1352" s="469">
        <v>70.2</v>
      </c>
      <c r="F1352" s="469">
        <v>11.2</v>
      </c>
      <c r="G1352" s="469">
        <v>5</v>
      </c>
      <c r="H1352" s="470">
        <v>167</v>
      </c>
      <c r="I1352" s="470">
        <v>790</v>
      </c>
      <c r="J1352" s="470">
        <v>3425</v>
      </c>
      <c r="K1352" s="469">
        <v>1.63</v>
      </c>
    </row>
    <row r="1353" spans="2:11" x14ac:dyDescent="0.35">
      <c r="B1353" s="62">
        <v>12.25</v>
      </c>
      <c r="C1353" s="471">
        <v>1369</v>
      </c>
      <c r="D1353" s="471">
        <v>1361</v>
      </c>
      <c r="E1353" s="469">
        <v>90.27</v>
      </c>
      <c r="F1353" s="469">
        <v>11.1</v>
      </c>
      <c r="G1353" s="469">
        <v>6.5</v>
      </c>
      <c r="H1353" s="470">
        <v>166</v>
      </c>
      <c r="I1353" s="470">
        <v>791</v>
      </c>
      <c r="J1353" s="470">
        <v>3393</v>
      </c>
      <c r="K1353" s="469">
        <v>1.63</v>
      </c>
    </row>
    <row r="1354" spans="2:11" x14ac:dyDescent="0.35">
      <c r="B1354" s="62">
        <v>12.25</v>
      </c>
      <c r="C1354" s="471">
        <v>1370</v>
      </c>
      <c r="D1354" s="471">
        <v>1362.1</v>
      </c>
      <c r="E1354" s="469">
        <v>98.27</v>
      </c>
      <c r="F1354" s="469">
        <v>11</v>
      </c>
      <c r="G1354" s="469">
        <v>6.9</v>
      </c>
      <c r="H1354" s="470">
        <v>166</v>
      </c>
      <c r="I1354" s="470">
        <v>790</v>
      </c>
      <c r="J1354" s="470">
        <v>3416</v>
      </c>
      <c r="K1354" s="469">
        <v>1.63</v>
      </c>
    </row>
    <row r="1355" spans="2:11" x14ac:dyDescent="0.35">
      <c r="B1355" s="62">
        <v>12.25</v>
      </c>
      <c r="C1355" s="471">
        <v>1371</v>
      </c>
      <c r="D1355" s="471">
        <v>1363.1</v>
      </c>
      <c r="E1355" s="469">
        <v>101.38</v>
      </c>
      <c r="F1355" s="469">
        <v>11.1</v>
      </c>
      <c r="G1355" s="469">
        <v>6.7</v>
      </c>
      <c r="H1355" s="470">
        <v>167</v>
      </c>
      <c r="I1355" s="470">
        <v>795</v>
      </c>
      <c r="J1355" s="470">
        <v>3394</v>
      </c>
      <c r="K1355" s="469">
        <v>1.63</v>
      </c>
    </row>
    <row r="1356" spans="2:11" x14ac:dyDescent="0.35">
      <c r="B1356" s="62">
        <v>12.25</v>
      </c>
      <c r="C1356" s="471">
        <v>1372</v>
      </c>
      <c r="D1356" s="471">
        <v>1364</v>
      </c>
      <c r="E1356" s="469">
        <v>103.86</v>
      </c>
      <c r="F1356" s="469">
        <v>11.8</v>
      </c>
      <c r="G1356" s="469">
        <v>6.8</v>
      </c>
      <c r="H1356" s="470">
        <v>166</v>
      </c>
      <c r="I1356" s="470">
        <v>791</v>
      </c>
      <c r="J1356" s="470">
        <v>3363</v>
      </c>
      <c r="K1356" s="469">
        <v>1.63</v>
      </c>
    </row>
    <row r="1357" spans="2:11" x14ac:dyDescent="0.35">
      <c r="B1357" s="62">
        <v>12.25</v>
      </c>
      <c r="C1357" s="471">
        <v>1373</v>
      </c>
      <c r="D1357" s="471">
        <v>1365.1</v>
      </c>
      <c r="E1357" s="469">
        <v>105.48</v>
      </c>
      <c r="F1357" s="469">
        <v>10.6</v>
      </c>
      <c r="G1357" s="469">
        <v>6.5</v>
      </c>
      <c r="H1357" s="470">
        <v>166</v>
      </c>
      <c r="I1357" s="470">
        <v>792</v>
      </c>
      <c r="J1357" s="470">
        <v>3368</v>
      </c>
      <c r="K1357" s="469">
        <v>1.63</v>
      </c>
    </row>
    <row r="1358" spans="2:11" x14ac:dyDescent="0.35">
      <c r="B1358" s="62">
        <v>12.25</v>
      </c>
      <c r="C1358" s="471">
        <v>1374</v>
      </c>
      <c r="D1358" s="471">
        <v>1366</v>
      </c>
      <c r="E1358" s="469">
        <v>96.93</v>
      </c>
      <c r="F1358" s="469">
        <v>10.5</v>
      </c>
      <c r="G1358" s="469">
        <v>6.2</v>
      </c>
      <c r="H1358" s="470">
        <v>166</v>
      </c>
      <c r="I1358" s="470">
        <v>789</v>
      </c>
      <c r="J1358" s="470">
        <v>3385</v>
      </c>
      <c r="K1358" s="469">
        <v>1.63</v>
      </c>
    </row>
    <row r="1359" spans="2:11" x14ac:dyDescent="0.35">
      <c r="B1359" s="62">
        <v>12.25</v>
      </c>
      <c r="C1359" s="471">
        <v>1375</v>
      </c>
      <c r="D1359" s="471">
        <v>1367</v>
      </c>
      <c r="E1359" s="469">
        <v>91.57</v>
      </c>
      <c r="F1359" s="469">
        <v>10.7</v>
      </c>
      <c r="G1359" s="469">
        <v>6.6</v>
      </c>
      <c r="H1359" s="470">
        <v>167</v>
      </c>
      <c r="I1359" s="470">
        <v>792</v>
      </c>
      <c r="J1359" s="470">
        <v>3423</v>
      </c>
      <c r="K1359" s="469">
        <v>1.63</v>
      </c>
    </row>
    <row r="1360" spans="2:11" x14ac:dyDescent="0.35">
      <c r="B1360" s="62">
        <v>12.25</v>
      </c>
      <c r="C1360" s="471">
        <v>1376</v>
      </c>
      <c r="D1360" s="471">
        <v>1368</v>
      </c>
      <c r="E1360" s="469">
        <v>71.33</v>
      </c>
      <c r="F1360" s="469">
        <v>11.2</v>
      </c>
      <c r="G1360" s="469">
        <v>5.8</v>
      </c>
      <c r="H1360" s="470">
        <v>166</v>
      </c>
      <c r="I1360" s="470">
        <v>789</v>
      </c>
      <c r="J1360" s="470">
        <v>3406</v>
      </c>
      <c r="K1360" s="469">
        <v>1.63</v>
      </c>
    </row>
    <row r="1361" spans="2:11" x14ac:dyDescent="0.35">
      <c r="B1361" s="62">
        <v>12.25</v>
      </c>
      <c r="C1361" s="471">
        <v>1377</v>
      </c>
      <c r="D1361" s="471">
        <v>1369</v>
      </c>
      <c r="E1361" s="469">
        <v>68.680000000000007</v>
      </c>
      <c r="F1361" s="469">
        <v>11.3</v>
      </c>
      <c r="G1361" s="469">
        <v>6.7</v>
      </c>
      <c r="H1361" s="470">
        <v>166</v>
      </c>
      <c r="I1361" s="470">
        <v>787</v>
      </c>
      <c r="J1361" s="470">
        <v>3415</v>
      </c>
      <c r="K1361" s="469">
        <v>1.63</v>
      </c>
    </row>
    <row r="1362" spans="2:11" x14ac:dyDescent="0.35">
      <c r="B1362" s="62">
        <v>12.25</v>
      </c>
      <c r="C1362" s="471">
        <v>1378</v>
      </c>
      <c r="D1362" s="471">
        <v>1370</v>
      </c>
      <c r="E1362" s="469">
        <v>85.34</v>
      </c>
      <c r="F1362" s="469">
        <v>10.7</v>
      </c>
      <c r="G1362" s="469">
        <v>7.3</v>
      </c>
      <c r="H1362" s="470">
        <v>166</v>
      </c>
      <c r="I1362" s="470">
        <v>788</v>
      </c>
      <c r="J1362" s="470">
        <v>3416</v>
      </c>
      <c r="K1362" s="469">
        <v>1.63</v>
      </c>
    </row>
    <row r="1363" spans="2:11" x14ac:dyDescent="0.35">
      <c r="B1363" s="62">
        <v>12.25</v>
      </c>
      <c r="C1363" s="471">
        <v>1379</v>
      </c>
      <c r="D1363" s="471">
        <v>1371</v>
      </c>
      <c r="E1363" s="469">
        <v>81.510000000000005</v>
      </c>
      <c r="F1363" s="469">
        <v>11</v>
      </c>
      <c r="G1363" s="469">
        <v>7.1</v>
      </c>
      <c r="H1363" s="470">
        <v>166</v>
      </c>
      <c r="I1363" s="470">
        <v>784</v>
      </c>
      <c r="J1363" s="470">
        <v>3450</v>
      </c>
      <c r="K1363" s="469">
        <v>1.63</v>
      </c>
    </row>
    <row r="1364" spans="2:11" x14ac:dyDescent="0.35">
      <c r="B1364" s="62">
        <v>12.25</v>
      </c>
      <c r="C1364" s="471">
        <v>1380</v>
      </c>
      <c r="D1364" s="471">
        <v>1372</v>
      </c>
      <c r="E1364" s="469">
        <v>33.18</v>
      </c>
      <c r="F1364" s="469">
        <v>9.5</v>
      </c>
      <c r="G1364" s="469">
        <v>6.2</v>
      </c>
      <c r="H1364" s="470">
        <v>164</v>
      </c>
      <c r="I1364" s="470">
        <v>790</v>
      </c>
      <c r="J1364" s="470">
        <v>3396</v>
      </c>
      <c r="K1364" s="469">
        <v>1.63</v>
      </c>
    </row>
    <row r="1365" spans="2:11" x14ac:dyDescent="0.35">
      <c r="B1365" s="62">
        <v>12.25</v>
      </c>
      <c r="C1365" s="471">
        <v>1381</v>
      </c>
      <c r="D1365" s="471">
        <v>1373</v>
      </c>
      <c r="E1365" s="469">
        <v>55.24</v>
      </c>
      <c r="F1365" s="469">
        <v>6.6</v>
      </c>
      <c r="G1365" s="469">
        <v>5.8</v>
      </c>
      <c r="H1365" s="470">
        <v>144</v>
      </c>
      <c r="I1365" s="470">
        <v>775</v>
      </c>
      <c r="J1365" s="470">
        <v>3308</v>
      </c>
      <c r="K1365" s="469">
        <v>1.64</v>
      </c>
    </row>
    <row r="1366" spans="2:11" x14ac:dyDescent="0.35">
      <c r="B1366" s="62">
        <v>12.25</v>
      </c>
      <c r="C1366" s="471">
        <v>1382</v>
      </c>
      <c r="D1366" s="471">
        <v>1374</v>
      </c>
      <c r="E1366" s="469">
        <v>61.54</v>
      </c>
      <c r="F1366" s="469">
        <v>8.6999999999999993</v>
      </c>
      <c r="G1366" s="469">
        <v>6.3</v>
      </c>
      <c r="H1366" s="470">
        <v>165</v>
      </c>
      <c r="I1366" s="470">
        <v>775</v>
      </c>
      <c r="J1366" s="470">
        <v>3355</v>
      </c>
      <c r="K1366" s="469">
        <v>1.64</v>
      </c>
    </row>
    <row r="1367" spans="2:11" x14ac:dyDescent="0.35">
      <c r="B1367" s="62">
        <v>12.25</v>
      </c>
      <c r="C1367" s="471">
        <v>1383</v>
      </c>
      <c r="D1367" s="471">
        <v>1375</v>
      </c>
      <c r="E1367" s="469">
        <v>69</v>
      </c>
      <c r="F1367" s="469">
        <v>10.3</v>
      </c>
      <c r="G1367" s="469">
        <v>7.1</v>
      </c>
      <c r="H1367" s="470">
        <v>165</v>
      </c>
      <c r="I1367" s="470">
        <v>775</v>
      </c>
      <c r="J1367" s="470">
        <v>3398</v>
      </c>
      <c r="K1367" s="469">
        <v>1.64</v>
      </c>
    </row>
    <row r="1368" spans="2:11" x14ac:dyDescent="0.35">
      <c r="B1368" s="62">
        <v>12.25</v>
      </c>
      <c r="C1368" s="471">
        <v>1384</v>
      </c>
      <c r="D1368" s="471">
        <v>1376</v>
      </c>
      <c r="E1368" s="469">
        <v>40.880000000000003</v>
      </c>
      <c r="F1368" s="469">
        <v>8</v>
      </c>
      <c r="G1368" s="469">
        <v>5.6</v>
      </c>
      <c r="H1368" s="470">
        <v>166</v>
      </c>
      <c r="I1368" s="470">
        <v>776</v>
      </c>
      <c r="J1368" s="470">
        <v>3327</v>
      </c>
      <c r="K1368" s="469">
        <v>1.64</v>
      </c>
    </row>
    <row r="1369" spans="2:11" x14ac:dyDescent="0.35">
      <c r="B1369" s="62">
        <v>12.25</v>
      </c>
      <c r="C1369" s="471">
        <v>1385</v>
      </c>
      <c r="D1369" s="471">
        <v>1377</v>
      </c>
      <c r="E1369" s="469">
        <v>77.069999999999993</v>
      </c>
      <c r="F1369" s="469">
        <v>9.1999999999999993</v>
      </c>
      <c r="G1369" s="469">
        <v>7</v>
      </c>
      <c r="H1369" s="470">
        <v>165</v>
      </c>
      <c r="I1369" s="470">
        <v>774</v>
      </c>
      <c r="J1369" s="470">
        <v>3333</v>
      </c>
      <c r="K1369" s="469">
        <v>1.64</v>
      </c>
    </row>
    <row r="1370" spans="2:11" x14ac:dyDescent="0.35">
      <c r="B1370" s="62">
        <v>12.25</v>
      </c>
      <c r="C1370" s="471">
        <v>1386</v>
      </c>
      <c r="D1370" s="471">
        <v>1378</v>
      </c>
      <c r="E1370" s="469">
        <v>86.3</v>
      </c>
      <c r="F1370" s="469">
        <v>8.3000000000000007</v>
      </c>
      <c r="G1370" s="469">
        <v>6.3</v>
      </c>
      <c r="H1370" s="470">
        <v>165</v>
      </c>
      <c r="I1370" s="470">
        <v>775</v>
      </c>
      <c r="J1370" s="470">
        <v>3364</v>
      </c>
      <c r="K1370" s="469">
        <v>1.64</v>
      </c>
    </row>
    <row r="1371" spans="2:11" x14ac:dyDescent="0.35">
      <c r="B1371" s="62">
        <v>12.25</v>
      </c>
      <c r="C1371" s="471">
        <v>1387</v>
      </c>
      <c r="D1371" s="471">
        <v>1378.9</v>
      </c>
      <c r="E1371" s="469">
        <v>68.81</v>
      </c>
      <c r="F1371" s="469">
        <v>9.6</v>
      </c>
      <c r="G1371" s="469">
        <v>6.5</v>
      </c>
      <c r="H1371" s="470">
        <v>166</v>
      </c>
      <c r="I1371" s="470">
        <v>775</v>
      </c>
      <c r="J1371" s="470">
        <v>3380</v>
      </c>
      <c r="K1371" s="469">
        <v>1.64</v>
      </c>
    </row>
    <row r="1372" spans="2:11" x14ac:dyDescent="0.35">
      <c r="B1372" s="62">
        <v>12.25</v>
      </c>
      <c r="C1372" s="471">
        <v>1388</v>
      </c>
      <c r="D1372" s="471">
        <v>1380</v>
      </c>
      <c r="E1372" s="469">
        <v>76.31</v>
      </c>
      <c r="F1372" s="469">
        <v>8.8000000000000007</v>
      </c>
      <c r="G1372" s="469">
        <v>6</v>
      </c>
      <c r="H1372" s="470">
        <v>166</v>
      </c>
      <c r="I1372" s="470">
        <v>776</v>
      </c>
      <c r="J1372" s="470">
        <v>3349</v>
      </c>
      <c r="K1372" s="469">
        <v>1.64</v>
      </c>
    </row>
    <row r="1373" spans="2:11" x14ac:dyDescent="0.35">
      <c r="B1373" s="62">
        <v>12.25</v>
      </c>
      <c r="C1373" s="471">
        <v>1389</v>
      </c>
      <c r="D1373" s="471">
        <v>1381</v>
      </c>
      <c r="E1373" s="469">
        <v>68.39</v>
      </c>
      <c r="F1373" s="469">
        <v>9.6</v>
      </c>
      <c r="G1373" s="469">
        <v>6.6</v>
      </c>
      <c r="H1373" s="470">
        <v>165</v>
      </c>
      <c r="I1373" s="470">
        <v>775</v>
      </c>
      <c r="J1373" s="470">
        <v>3368</v>
      </c>
      <c r="K1373" s="469">
        <v>1.64</v>
      </c>
    </row>
    <row r="1374" spans="2:11" x14ac:dyDescent="0.35">
      <c r="B1374" s="62">
        <v>12.25</v>
      </c>
      <c r="C1374" s="471">
        <v>1390</v>
      </c>
      <c r="D1374" s="471">
        <v>1381.9</v>
      </c>
      <c r="E1374" s="469">
        <v>64.790000000000006</v>
      </c>
      <c r="F1374" s="469">
        <v>9</v>
      </c>
      <c r="G1374" s="469">
        <v>6.4</v>
      </c>
      <c r="H1374" s="470">
        <v>165</v>
      </c>
      <c r="I1374" s="470">
        <v>775</v>
      </c>
      <c r="J1374" s="470">
        <v>3352</v>
      </c>
      <c r="K1374" s="469">
        <v>1.64</v>
      </c>
    </row>
    <row r="1375" spans="2:11" x14ac:dyDescent="0.35">
      <c r="B1375" s="62">
        <v>12.25</v>
      </c>
      <c r="C1375" s="471">
        <v>1391</v>
      </c>
      <c r="D1375" s="471">
        <v>1382.9</v>
      </c>
      <c r="E1375" s="469">
        <v>57.59</v>
      </c>
      <c r="F1375" s="469">
        <v>8.8000000000000007</v>
      </c>
      <c r="G1375" s="469">
        <v>6</v>
      </c>
      <c r="H1375" s="470">
        <v>165</v>
      </c>
      <c r="I1375" s="470">
        <v>776</v>
      </c>
      <c r="J1375" s="470">
        <v>3341</v>
      </c>
      <c r="K1375" s="469">
        <v>1.64</v>
      </c>
    </row>
    <row r="1376" spans="2:11" x14ac:dyDescent="0.35">
      <c r="B1376" s="62">
        <v>12.25</v>
      </c>
      <c r="C1376" s="471">
        <v>1392</v>
      </c>
      <c r="D1376" s="471">
        <v>1383.9</v>
      </c>
      <c r="E1376" s="469">
        <v>55.04</v>
      </c>
      <c r="F1376" s="469">
        <v>8.8000000000000007</v>
      </c>
      <c r="G1376" s="469">
        <v>5.6</v>
      </c>
      <c r="H1376" s="470">
        <v>166</v>
      </c>
      <c r="I1376" s="470">
        <v>778</v>
      </c>
      <c r="J1376" s="470">
        <v>3322</v>
      </c>
      <c r="K1376" s="469">
        <v>1.65</v>
      </c>
    </row>
    <row r="1377" spans="2:11" x14ac:dyDescent="0.35">
      <c r="B1377" s="62">
        <v>12.25</v>
      </c>
      <c r="C1377" s="471">
        <v>1393</v>
      </c>
      <c r="D1377" s="471">
        <v>1384.9</v>
      </c>
      <c r="E1377" s="469">
        <v>71.33</v>
      </c>
      <c r="F1377" s="469">
        <v>8.9</v>
      </c>
      <c r="G1377" s="469">
        <v>6.1</v>
      </c>
      <c r="H1377" s="470">
        <v>165</v>
      </c>
      <c r="I1377" s="470">
        <v>775</v>
      </c>
      <c r="J1377" s="470">
        <v>3324</v>
      </c>
      <c r="K1377" s="469">
        <v>1.65</v>
      </c>
    </row>
    <row r="1378" spans="2:11" x14ac:dyDescent="0.35">
      <c r="B1378" s="62">
        <v>12.25</v>
      </c>
      <c r="C1378" s="471">
        <v>1394</v>
      </c>
      <c r="D1378" s="471">
        <v>1386</v>
      </c>
      <c r="E1378" s="469">
        <v>81.510000000000005</v>
      </c>
      <c r="F1378" s="469">
        <v>9.9</v>
      </c>
      <c r="G1378" s="469">
        <v>6.5</v>
      </c>
      <c r="H1378" s="470">
        <v>165</v>
      </c>
      <c r="I1378" s="470">
        <v>774</v>
      </c>
      <c r="J1378" s="470">
        <v>3390</v>
      </c>
      <c r="K1378" s="469">
        <v>1.65</v>
      </c>
    </row>
    <row r="1379" spans="2:11" x14ac:dyDescent="0.35">
      <c r="B1379" s="62">
        <v>12.25</v>
      </c>
      <c r="C1379" s="471">
        <v>1395</v>
      </c>
      <c r="D1379" s="471">
        <v>1386.9</v>
      </c>
      <c r="E1379" s="469">
        <v>75.53</v>
      </c>
      <c r="F1379" s="469">
        <v>10.3</v>
      </c>
      <c r="G1379" s="469">
        <v>6.3</v>
      </c>
      <c r="H1379" s="470">
        <v>165</v>
      </c>
      <c r="I1379" s="470">
        <v>775</v>
      </c>
      <c r="J1379" s="470">
        <v>3402</v>
      </c>
      <c r="K1379" s="469">
        <v>1.65</v>
      </c>
    </row>
    <row r="1380" spans="2:11" x14ac:dyDescent="0.35">
      <c r="B1380" s="62">
        <v>12.25</v>
      </c>
      <c r="C1380" s="471">
        <v>1396</v>
      </c>
      <c r="D1380" s="471">
        <v>1387.9</v>
      </c>
      <c r="E1380" s="469">
        <v>75.510000000000005</v>
      </c>
      <c r="F1380" s="469">
        <v>11</v>
      </c>
      <c r="G1380" s="469">
        <v>7.4</v>
      </c>
      <c r="H1380" s="470">
        <v>165</v>
      </c>
      <c r="I1380" s="470">
        <v>774</v>
      </c>
      <c r="J1380" s="470">
        <v>3415</v>
      </c>
      <c r="K1380" s="469">
        <v>1.65</v>
      </c>
    </row>
    <row r="1381" spans="2:11" x14ac:dyDescent="0.35">
      <c r="B1381" s="62">
        <v>12.25</v>
      </c>
      <c r="C1381" s="471">
        <v>1397</v>
      </c>
      <c r="D1381" s="471">
        <v>1388.9</v>
      </c>
      <c r="E1381" s="469">
        <v>66.41</v>
      </c>
      <c r="F1381" s="469">
        <v>9.3000000000000007</v>
      </c>
      <c r="G1381" s="469">
        <v>6.2</v>
      </c>
      <c r="H1381" s="470">
        <v>165</v>
      </c>
      <c r="I1381" s="470">
        <v>774</v>
      </c>
      <c r="J1381" s="470">
        <v>3356</v>
      </c>
      <c r="K1381" s="469">
        <v>1.65</v>
      </c>
    </row>
    <row r="1382" spans="2:11" x14ac:dyDescent="0.35">
      <c r="B1382" s="62">
        <v>12.25</v>
      </c>
      <c r="C1382" s="471">
        <v>1398</v>
      </c>
      <c r="D1382" s="471">
        <v>1389.9</v>
      </c>
      <c r="E1382" s="469">
        <v>76.31</v>
      </c>
      <c r="F1382" s="469">
        <v>8.9</v>
      </c>
      <c r="G1382" s="469">
        <v>6.3</v>
      </c>
      <c r="H1382" s="470">
        <v>165</v>
      </c>
      <c r="I1382" s="470">
        <v>775</v>
      </c>
      <c r="J1382" s="470">
        <v>3349</v>
      </c>
      <c r="K1382" s="469">
        <v>1.65</v>
      </c>
    </row>
    <row r="1383" spans="2:11" x14ac:dyDescent="0.35">
      <c r="B1383" s="62">
        <v>12.25</v>
      </c>
      <c r="C1383" s="471">
        <v>1399</v>
      </c>
      <c r="D1383" s="471">
        <v>1390.9</v>
      </c>
      <c r="E1383" s="469">
        <v>67.33</v>
      </c>
      <c r="F1383" s="469">
        <v>10</v>
      </c>
      <c r="G1383" s="469">
        <v>5.8</v>
      </c>
      <c r="H1383" s="470">
        <v>165</v>
      </c>
      <c r="I1383" s="470">
        <v>775</v>
      </c>
      <c r="J1383" s="470">
        <v>3340</v>
      </c>
      <c r="K1383" s="469">
        <v>1.65</v>
      </c>
    </row>
    <row r="1384" spans="2:11" x14ac:dyDescent="0.35">
      <c r="B1384" s="62">
        <v>12.25</v>
      </c>
      <c r="C1384" s="471">
        <v>1400</v>
      </c>
      <c r="D1384" s="471">
        <v>1391.9</v>
      </c>
      <c r="E1384" s="469">
        <v>99.62</v>
      </c>
      <c r="F1384" s="469">
        <v>9</v>
      </c>
      <c r="G1384" s="469">
        <v>6.4</v>
      </c>
      <c r="H1384" s="470">
        <v>165</v>
      </c>
      <c r="I1384" s="470">
        <v>776</v>
      </c>
      <c r="J1384" s="470">
        <v>3341</v>
      </c>
      <c r="K1384" s="469">
        <v>1.65</v>
      </c>
    </row>
    <row r="1385" spans="2:11" x14ac:dyDescent="0.35">
      <c r="B1385" s="62">
        <v>12.25</v>
      </c>
      <c r="C1385" s="471">
        <v>1401</v>
      </c>
      <c r="D1385" s="471">
        <v>1392.9</v>
      </c>
      <c r="E1385" s="469">
        <v>69.7</v>
      </c>
      <c r="F1385" s="469">
        <v>9.4</v>
      </c>
      <c r="G1385" s="469">
        <v>5.5</v>
      </c>
      <c r="H1385" s="470">
        <v>165</v>
      </c>
      <c r="I1385" s="470">
        <v>774</v>
      </c>
      <c r="J1385" s="470">
        <v>3353</v>
      </c>
      <c r="K1385" s="469">
        <v>1.65</v>
      </c>
    </row>
    <row r="1386" spans="2:11" x14ac:dyDescent="0.35">
      <c r="B1386" s="62">
        <v>12.25</v>
      </c>
      <c r="C1386" s="471">
        <v>1402</v>
      </c>
      <c r="D1386" s="471">
        <v>1393.9</v>
      </c>
      <c r="E1386" s="469">
        <v>67.83</v>
      </c>
      <c r="F1386" s="469">
        <v>10.1</v>
      </c>
      <c r="G1386" s="469">
        <v>6.6</v>
      </c>
      <c r="H1386" s="470">
        <v>165</v>
      </c>
      <c r="I1386" s="470">
        <v>775</v>
      </c>
      <c r="J1386" s="470">
        <v>3371</v>
      </c>
      <c r="K1386" s="469">
        <v>1.65</v>
      </c>
    </row>
    <row r="1387" spans="2:11" x14ac:dyDescent="0.35">
      <c r="B1387" s="62">
        <v>12.25</v>
      </c>
      <c r="C1387" s="471">
        <v>1403</v>
      </c>
      <c r="D1387" s="471">
        <v>1394.9</v>
      </c>
      <c r="E1387" s="469">
        <v>67.33</v>
      </c>
      <c r="F1387" s="469">
        <v>10.4</v>
      </c>
      <c r="G1387" s="469">
        <v>6.7</v>
      </c>
      <c r="H1387" s="470">
        <v>165</v>
      </c>
      <c r="I1387" s="470">
        <v>775</v>
      </c>
      <c r="J1387" s="470">
        <v>3369</v>
      </c>
      <c r="K1387" s="469">
        <v>1.65</v>
      </c>
    </row>
    <row r="1388" spans="2:11" x14ac:dyDescent="0.35">
      <c r="B1388" s="62">
        <v>12.25</v>
      </c>
      <c r="C1388" s="471">
        <v>1404</v>
      </c>
      <c r="D1388" s="471">
        <v>1395.9</v>
      </c>
      <c r="E1388" s="469">
        <v>57.23</v>
      </c>
      <c r="F1388" s="469">
        <v>10.1</v>
      </c>
      <c r="G1388" s="469">
        <v>6.5</v>
      </c>
      <c r="H1388" s="470">
        <v>165</v>
      </c>
      <c r="I1388" s="470">
        <v>775</v>
      </c>
      <c r="J1388" s="470">
        <v>3352</v>
      </c>
      <c r="K1388" s="469">
        <v>1.65</v>
      </c>
    </row>
    <row r="1389" spans="2:11" x14ac:dyDescent="0.35">
      <c r="B1389" s="62">
        <v>12.25</v>
      </c>
      <c r="C1389" s="471">
        <v>1405</v>
      </c>
      <c r="D1389" s="471">
        <v>1396.9</v>
      </c>
      <c r="E1389" s="469">
        <v>54.92</v>
      </c>
      <c r="F1389" s="469">
        <v>8.5</v>
      </c>
      <c r="G1389" s="469">
        <v>5.9</v>
      </c>
      <c r="H1389" s="470">
        <v>165</v>
      </c>
      <c r="I1389" s="470">
        <v>775</v>
      </c>
      <c r="J1389" s="470">
        <v>3280</v>
      </c>
      <c r="K1389" s="469">
        <v>1.65</v>
      </c>
    </row>
    <row r="1390" spans="2:11" x14ac:dyDescent="0.35">
      <c r="B1390" s="62">
        <v>12.25</v>
      </c>
      <c r="C1390" s="471">
        <v>1406</v>
      </c>
      <c r="D1390" s="471">
        <v>1397.8</v>
      </c>
      <c r="E1390" s="469">
        <v>61.92</v>
      </c>
      <c r="F1390" s="469">
        <v>8.8000000000000007</v>
      </c>
      <c r="G1390" s="469">
        <v>5.9</v>
      </c>
      <c r="H1390" s="470">
        <v>165</v>
      </c>
      <c r="I1390" s="470">
        <v>774</v>
      </c>
      <c r="J1390" s="470">
        <v>3335</v>
      </c>
      <c r="K1390" s="469">
        <v>1.65</v>
      </c>
    </row>
    <row r="1391" spans="2:11" x14ac:dyDescent="0.35">
      <c r="B1391" s="62">
        <v>12.25</v>
      </c>
      <c r="C1391" s="471">
        <v>1407</v>
      </c>
      <c r="D1391" s="471">
        <v>1398.8</v>
      </c>
      <c r="E1391" s="469">
        <v>88.12</v>
      </c>
      <c r="F1391" s="469">
        <v>8.6</v>
      </c>
      <c r="G1391" s="469">
        <v>6</v>
      </c>
      <c r="H1391" s="470">
        <v>165</v>
      </c>
      <c r="I1391" s="470">
        <v>775</v>
      </c>
      <c r="J1391" s="470">
        <v>3346</v>
      </c>
      <c r="K1391" s="469">
        <v>1.65</v>
      </c>
    </row>
    <row r="1392" spans="2:11" x14ac:dyDescent="0.35">
      <c r="B1392" s="62">
        <v>12.25</v>
      </c>
      <c r="C1392" s="471">
        <v>1408</v>
      </c>
      <c r="D1392" s="471">
        <v>1399.9</v>
      </c>
      <c r="E1392" s="469">
        <v>75.510000000000005</v>
      </c>
      <c r="F1392" s="469">
        <v>8.1</v>
      </c>
      <c r="G1392" s="469">
        <v>6</v>
      </c>
      <c r="H1392" s="470">
        <v>166</v>
      </c>
      <c r="I1392" s="470">
        <v>780</v>
      </c>
      <c r="J1392" s="470">
        <v>3363</v>
      </c>
      <c r="K1392" s="469">
        <v>1.65</v>
      </c>
    </row>
    <row r="1393" spans="2:11" x14ac:dyDescent="0.35">
      <c r="B1393" s="62">
        <v>12.25</v>
      </c>
      <c r="C1393" s="471">
        <v>1409</v>
      </c>
      <c r="D1393" s="471">
        <v>1400.9</v>
      </c>
      <c r="E1393" s="469">
        <v>31.63</v>
      </c>
      <c r="F1393" s="469">
        <v>7.3</v>
      </c>
      <c r="G1393" s="469">
        <v>5.2</v>
      </c>
      <c r="H1393" s="470">
        <v>166</v>
      </c>
      <c r="I1393" s="470">
        <v>778</v>
      </c>
      <c r="J1393" s="470">
        <v>3336</v>
      </c>
      <c r="K1393" s="469">
        <v>1.65</v>
      </c>
    </row>
    <row r="1394" spans="2:11" x14ac:dyDescent="0.35">
      <c r="B1394" s="62">
        <v>12.25</v>
      </c>
      <c r="C1394" s="471">
        <v>1410</v>
      </c>
      <c r="D1394" s="471">
        <v>1401.8</v>
      </c>
      <c r="E1394" s="469">
        <v>44.73</v>
      </c>
      <c r="F1394" s="469">
        <v>4.9000000000000004</v>
      </c>
      <c r="G1394" s="469">
        <v>4.7</v>
      </c>
      <c r="H1394" s="470">
        <v>164</v>
      </c>
      <c r="I1394" s="470">
        <v>767</v>
      </c>
      <c r="J1394" s="470">
        <v>3242</v>
      </c>
      <c r="K1394" s="469">
        <v>1.65</v>
      </c>
    </row>
    <row r="1395" spans="2:11" x14ac:dyDescent="0.35">
      <c r="B1395" s="62">
        <v>12.25</v>
      </c>
      <c r="C1395" s="471">
        <v>1411</v>
      </c>
      <c r="D1395" s="471">
        <v>1402.8</v>
      </c>
      <c r="E1395" s="469">
        <v>48.56</v>
      </c>
      <c r="F1395" s="469">
        <v>6.8</v>
      </c>
      <c r="G1395" s="469">
        <v>5.7</v>
      </c>
      <c r="H1395" s="470">
        <v>164</v>
      </c>
      <c r="I1395" s="470">
        <v>768</v>
      </c>
      <c r="J1395" s="470">
        <v>3294</v>
      </c>
      <c r="K1395" s="469">
        <v>1.65</v>
      </c>
    </row>
    <row r="1396" spans="2:11" x14ac:dyDescent="0.35">
      <c r="B1396" s="62">
        <v>12.25</v>
      </c>
      <c r="C1396" s="471">
        <v>1412</v>
      </c>
      <c r="D1396" s="471">
        <v>1403.8</v>
      </c>
      <c r="E1396" s="469">
        <v>41.41</v>
      </c>
      <c r="F1396" s="469">
        <v>7.3</v>
      </c>
      <c r="G1396" s="469">
        <v>5.5</v>
      </c>
      <c r="H1396" s="470">
        <v>163</v>
      </c>
      <c r="I1396" s="470">
        <v>767</v>
      </c>
      <c r="J1396" s="470">
        <v>3308</v>
      </c>
      <c r="K1396" s="469">
        <v>1.65</v>
      </c>
    </row>
    <row r="1397" spans="2:11" x14ac:dyDescent="0.35">
      <c r="B1397" s="62">
        <v>12.25</v>
      </c>
      <c r="C1397" s="471">
        <v>1413</v>
      </c>
      <c r="D1397" s="471">
        <v>1404.8</v>
      </c>
      <c r="E1397" s="469">
        <v>61.3</v>
      </c>
      <c r="F1397" s="469">
        <v>9.6</v>
      </c>
      <c r="G1397" s="469">
        <v>6.4</v>
      </c>
      <c r="H1397" s="470">
        <v>163</v>
      </c>
      <c r="I1397" s="470">
        <v>767</v>
      </c>
      <c r="J1397" s="470">
        <v>3354</v>
      </c>
      <c r="K1397" s="469">
        <v>1.65</v>
      </c>
    </row>
    <row r="1398" spans="2:11" x14ac:dyDescent="0.35">
      <c r="B1398" s="62">
        <v>12.25</v>
      </c>
      <c r="C1398" s="471">
        <v>1414</v>
      </c>
      <c r="D1398" s="471">
        <v>1405.7</v>
      </c>
      <c r="E1398" s="469">
        <v>73.19</v>
      </c>
      <c r="F1398" s="469">
        <v>10.5</v>
      </c>
      <c r="G1398" s="469">
        <v>6.9</v>
      </c>
      <c r="H1398" s="470">
        <v>163</v>
      </c>
      <c r="I1398" s="470">
        <v>767</v>
      </c>
      <c r="J1398" s="470">
        <v>3404</v>
      </c>
      <c r="K1398" s="469">
        <v>1.65</v>
      </c>
    </row>
    <row r="1399" spans="2:11" x14ac:dyDescent="0.35">
      <c r="B1399" s="62">
        <v>12.25</v>
      </c>
      <c r="C1399" s="471">
        <v>1415</v>
      </c>
      <c r="D1399" s="471">
        <v>1406.8</v>
      </c>
      <c r="E1399" s="469">
        <v>85.39</v>
      </c>
      <c r="F1399" s="469">
        <v>10.7</v>
      </c>
      <c r="G1399" s="469">
        <v>6.9</v>
      </c>
      <c r="H1399" s="470">
        <v>163</v>
      </c>
      <c r="I1399" s="470">
        <v>768</v>
      </c>
      <c r="J1399" s="470">
        <v>3416</v>
      </c>
      <c r="K1399" s="469">
        <v>1.65</v>
      </c>
    </row>
    <row r="1400" spans="2:11" x14ac:dyDescent="0.35">
      <c r="B1400" s="62">
        <v>12.25</v>
      </c>
      <c r="C1400" s="471">
        <v>1416</v>
      </c>
      <c r="D1400" s="471">
        <v>1407.7</v>
      </c>
      <c r="E1400" s="469">
        <v>72.069999999999993</v>
      </c>
      <c r="F1400" s="469">
        <v>10.8</v>
      </c>
      <c r="G1400" s="469">
        <v>6.4</v>
      </c>
      <c r="H1400" s="470">
        <v>163</v>
      </c>
      <c r="I1400" s="470">
        <v>765</v>
      </c>
      <c r="J1400" s="470">
        <v>3403</v>
      </c>
      <c r="K1400" s="469">
        <v>1.65</v>
      </c>
    </row>
    <row r="1401" spans="2:11" x14ac:dyDescent="0.35">
      <c r="B1401" s="62">
        <v>12.25</v>
      </c>
      <c r="C1401" s="471">
        <v>1417</v>
      </c>
      <c r="D1401" s="471">
        <v>1408.7</v>
      </c>
      <c r="E1401" s="469">
        <v>71.540000000000006</v>
      </c>
      <c r="F1401" s="469">
        <v>10.3</v>
      </c>
      <c r="G1401" s="469">
        <v>6.8</v>
      </c>
      <c r="H1401" s="470">
        <v>164</v>
      </c>
      <c r="I1401" s="470">
        <v>767</v>
      </c>
      <c r="J1401" s="470">
        <v>3395</v>
      </c>
      <c r="K1401" s="469">
        <v>1.65</v>
      </c>
    </row>
    <row r="1402" spans="2:11" x14ac:dyDescent="0.35">
      <c r="B1402" s="62">
        <v>12.25</v>
      </c>
      <c r="C1402" s="471">
        <v>1418</v>
      </c>
      <c r="D1402" s="471">
        <v>1409.7</v>
      </c>
      <c r="E1402" s="469">
        <v>80.45</v>
      </c>
      <c r="F1402" s="469">
        <v>10.4</v>
      </c>
      <c r="G1402" s="469">
        <v>7.6</v>
      </c>
      <c r="H1402" s="470">
        <v>163</v>
      </c>
      <c r="I1402" s="470">
        <v>767</v>
      </c>
      <c r="J1402" s="470">
        <v>3400</v>
      </c>
      <c r="K1402" s="469">
        <v>1.65</v>
      </c>
    </row>
    <row r="1403" spans="2:11" x14ac:dyDescent="0.35">
      <c r="B1403" s="62">
        <v>12.25</v>
      </c>
      <c r="C1403" s="471">
        <v>1419</v>
      </c>
      <c r="D1403" s="471">
        <v>1410.7</v>
      </c>
      <c r="E1403" s="469">
        <v>93.84</v>
      </c>
      <c r="F1403" s="469">
        <v>9.8000000000000007</v>
      </c>
      <c r="G1403" s="469">
        <v>7</v>
      </c>
      <c r="H1403" s="470">
        <v>163</v>
      </c>
      <c r="I1403" s="470">
        <v>767</v>
      </c>
      <c r="J1403" s="470">
        <v>3393</v>
      </c>
      <c r="K1403" s="469">
        <v>1.65</v>
      </c>
    </row>
    <row r="1404" spans="2:11" x14ac:dyDescent="0.35">
      <c r="B1404" s="62">
        <v>12.25</v>
      </c>
      <c r="C1404" s="471">
        <v>1420</v>
      </c>
      <c r="D1404" s="471">
        <v>1411.7</v>
      </c>
      <c r="E1404" s="469">
        <v>71.540000000000006</v>
      </c>
      <c r="F1404" s="469">
        <v>10.5</v>
      </c>
      <c r="G1404" s="469">
        <v>6.2</v>
      </c>
      <c r="H1404" s="470">
        <v>164</v>
      </c>
      <c r="I1404" s="470">
        <v>767</v>
      </c>
      <c r="J1404" s="470">
        <v>3405</v>
      </c>
      <c r="K1404" s="469">
        <v>1.65</v>
      </c>
    </row>
    <row r="1405" spans="2:11" x14ac:dyDescent="0.35">
      <c r="B1405" s="62">
        <v>12.25</v>
      </c>
      <c r="C1405" s="471">
        <v>1421</v>
      </c>
      <c r="D1405" s="471">
        <v>1412.7</v>
      </c>
      <c r="E1405" s="469">
        <v>71.73</v>
      </c>
      <c r="F1405" s="469">
        <v>10.6</v>
      </c>
      <c r="G1405" s="469">
        <v>7.2</v>
      </c>
      <c r="H1405" s="470">
        <v>163</v>
      </c>
      <c r="I1405" s="470">
        <v>767</v>
      </c>
      <c r="J1405" s="470">
        <v>3402</v>
      </c>
      <c r="K1405" s="469">
        <v>1.65</v>
      </c>
    </row>
    <row r="1406" spans="2:11" x14ac:dyDescent="0.35">
      <c r="B1406" s="62">
        <v>12.25</v>
      </c>
      <c r="C1406" s="471">
        <v>1422</v>
      </c>
      <c r="D1406" s="471">
        <v>1413.7</v>
      </c>
      <c r="E1406" s="469">
        <v>67.290000000000006</v>
      </c>
      <c r="F1406" s="469">
        <v>10.5</v>
      </c>
      <c r="G1406" s="469">
        <v>6.8</v>
      </c>
      <c r="H1406" s="470">
        <v>164</v>
      </c>
      <c r="I1406" s="470">
        <v>768</v>
      </c>
      <c r="J1406" s="470">
        <v>3398</v>
      </c>
      <c r="K1406" s="469">
        <v>1.65</v>
      </c>
    </row>
    <row r="1407" spans="2:11" x14ac:dyDescent="0.35">
      <c r="B1407" s="62">
        <v>12.25</v>
      </c>
      <c r="C1407" s="471">
        <v>1423</v>
      </c>
      <c r="D1407" s="471">
        <v>1414.7</v>
      </c>
      <c r="E1407" s="469">
        <v>83.57</v>
      </c>
      <c r="F1407" s="469">
        <v>9.8000000000000007</v>
      </c>
      <c r="G1407" s="469">
        <v>6.2</v>
      </c>
      <c r="H1407" s="470">
        <v>163</v>
      </c>
      <c r="I1407" s="470">
        <v>767</v>
      </c>
      <c r="J1407" s="470">
        <v>3366</v>
      </c>
      <c r="K1407" s="469">
        <v>1.65</v>
      </c>
    </row>
    <row r="1408" spans="2:11" x14ac:dyDescent="0.35">
      <c r="B1408" s="62">
        <v>12.25</v>
      </c>
      <c r="C1408" s="471">
        <v>1424</v>
      </c>
      <c r="D1408" s="471">
        <v>1415.7</v>
      </c>
      <c r="E1408" s="469">
        <v>90.36</v>
      </c>
      <c r="F1408" s="469">
        <v>10.5</v>
      </c>
      <c r="G1408" s="469">
        <v>6.1</v>
      </c>
      <c r="H1408" s="470">
        <v>164</v>
      </c>
      <c r="I1408" s="470">
        <v>773</v>
      </c>
      <c r="J1408" s="470">
        <v>3396</v>
      </c>
      <c r="K1408" s="469">
        <v>1.65</v>
      </c>
    </row>
    <row r="1409" spans="2:11" x14ac:dyDescent="0.35">
      <c r="B1409" s="62">
        <v>12.25</v>
      </c>
      <c r="C1409" s="471">
        <v>1425</v>
      </c>
      <c r="D1409" s="471">
        <v>1416.7</v>
      </c>
      <c r="E1409" s="469">
        <v>102.12</v>
      </c>
      <c r="F1409" s="469">
        <v>9.9</v>
      </c>
      <c r="G1409" s="469">
        <v>6.6</v>
      </c>
      <c r="H1409" s="470">
        <v>164</v>
      </c>
      <c r="I1409" s="470">
        <v>774</v>
      </c>
      <c r="J1409" s="470">
        <v>3411</v>
      </c>
      <c r="K1409" s="469">
        <v>1.65</v>
      </c>
    </row>
    <row r="1410" spans="2:11" x14ac:dyDescent="0.35">
      <c r="B1410" s="62">
        <v>12.25</v>
      </c>
      <c r="C1410" s="471">
        <v>1426</v>
      </c>
      <c r="D1410" s="471">
        <v>1417.6</v>
      </c>
      <c r="E1410" s="469">
        <v>88.71</v>
      </c>
      <c r="F1410" s="469">
        <v>11</v>
      </c>
      <c r="G1410" s="469">
        <v>7.3</v>
      </c>
      <c r="H1410" s="470">
        <v>164</v>
      </c>
      <c r="I1410" s="470">
        <v>774</v>
      </c>
      <c r="J1410" s="470">
        <v>3436</v>
      </c>
      <c r="K1410" s="469">
        <v>1.65</v>
      </c>
    </row>
    <row r="1411" spans="2:11" x14ac:dyDescent="0.35">
      <c r="B1411" s="62">
        <v>12.25</v>
      </c>
      <c r="C1411" s="471">
        <v>1427</v>
      </c>
      <c r="D1411" s="471">
        <v>1418.7</v>
      </c>
      <c r="E1411" s="469">
        <v>100.02</v>
      </c>
      <c r="F1411" s="469">
        <v>10.199999999999999</v>
      </c>
      <c r="G1411" s="469">
        <v>6.5</v>
      </c>
      <c r="H1411" s="470">
        <v>164</v>
      </c>
      <c r="I1411" s="470">
        <v>774</v>
      </c>
      <c r="J1411" s="470">
        <v>3370</v>
      </c>
      <c r="K1411" s="469">
        <v>1.65</v>
      </c>
    </row>
    <row r="1412" spans="2:11" x14ac:dyDescent="0.35">
      <c r="B1412" s="62">
        <v>12.25</v>
      </c>
      <c r="C1412" s="471">
        <v>1428</v>
      </c>
      <c r="D1412" s="471">
        <v>1419.7</v>
      </c>
      <c r="E1412" s="469">
        <v>90.61</v>
      </c>
      <c r="F1412" s="469">
        <v>10.4</v>
      </c>
      <c r="G1412" s="469">
        <v>6.2</v>
      </c>
      <c r="H1412" s="470">
        <v>164</v>
      </c>
      <c r="I1412" s="470">
        <v>775</v>
      </c>
      <c r="J1412" s="470">
        <v>3377</v>
      </c>
      <c r="K1412" s="469">
        <v>1.65</v>
      </c>
    </row>
    <row r="1413" spans="2:11" x14ac:dyDescent="0.35">
      <c r="B1413" s="62">
        <v>12.25</v>
      </c>
      <c r="C1413" s="471">
        <v>1429</v>
      </c>
      <c r="D1413" s="471">
        <v>1420.7</v>
      </c>
      <c r="E1413" s="469">
        <v>96.85</v>
      </c>
      <c r="F1413" s="469">
        <v>11.2</v>
      </c>
      <c r="G1413" s="469">
        <v>6.2</v>
      </c>
      <c r="H1413" s="470">
        <v>164</v>
      </c>
      <c r="I1413" s="470">
        <v>774</v>
      </c>
      <c r="J1413" s="470">
        <v>3442</v>
      </c>
      <c r="K1413" s="469">
        <v>1.65</v>
      </c>
    </row>
    <row r="1414" spans="2:11" x14ac:dyDescent="0.35">
      <c r="B1414" s="62">
        <v>12.25</v>
      </c>
      <c r="C1414" s="471">
        <v>1430</v>
      </c>
      <c r="D1414" s="471">
        <v>1421.6</v>
      </c>
      <c r="E1414" s="469">
        <v>100.59</v>
      </c>
      <c r="F1414" s="469">
        <v>10.4</v>
      </c>
      <c r="G1414" s="469">
        <v>6.4</v>
      </c>
      <c r="H1414" s="470">
        <v>164</v>
      </c>
      <c r="I1414" s="470">
        <v>774</v>
      </c>
      <c r="J1414" s="470">
        <v>3419</v>
      </c>
      <c r="K1414" s="469">
        <v>1.65</v>
      </c>
    </row>
    <row r="1415" spans="2:11" x14ac:dyDescent="0.35">
      <c r="B1415" s="62">
        <v>12.25</v>
      </c>
      <c r="C1415" s="471">
        <v>1431</v>
      </c>
      <c r="D1415" s="471">
        <v>1422.6</v>
      </c>
      <c r="E1415" s="469">
        <v>99.2</v>
      </c>
      <c r="F1415" s="469">
        <v>10.1</v>
      </c>
      <c r="G1415" s="469">
        <v>6.9</v>
      </c>
      <c r="H1415" s="470">
        <v>164</v>
      </c>
      <c r="I1415" s="470">
        <v>774</v>
      </c>
      <c r="J1415" s="470">
        <v>3459</v>
      </c>
      <c r="K1415" s="469">
        <v>1.65</v>
      </c>
    </row>
    <row r="1416" spans="2:11" x14ac:dyDescent="0.35">
      <c r="B1416" s="62">
        <v>12.25</v>
      </c>
      <c r="C1416" s="471">
        <v>1432</v>
      </c>
      <c r="D1416" s="471">
        <v>1423.6</v>
      </c>
      <c r="E1416" s="469">
        <v>98.27</v>
      </c>
      <c r="F1416" s="469">
        <v>10.1</v>
      </c>
      <c r="G1416" s="469">
        <v>7.2</v>
      </c>
      <c r="H1416" s="470">
        <v>164</v>
      </c>
      <c r="I1416" s="470">
        <v>774</v>
      </c>
      <c r="J1416" s="470">
        <v>3474</v>
      </c>
      <c r="K1416" s="469">
        <v>1.65</v>
      </c>
    </row>
    <row r="1417" spans="2:11" x14ac:dyDescent="0.35">
      <c r="B1417" s="62">
        <v>12.25</v>
      </c>
      <c r="C1417" s="471">
        <v>1433</v>
      </c>
      <c r="D1417" s="471">
        <v>1424.6</v>
      </c>
      <c r="E1417" s="469">
        <v>84.89</v>
      </c>
      <c r="F1417" s="469">
        <v>11</v>
      </c>
      <c r="G1417" s="469">
        <v>7.6</v>
      </c>
      <c r="H1417" s="470">
        <v>164</v>
      </c>
      <c r="I1417" s="470">
        <v>775</v>
      </c>
      <c r="J1417" s="470">
        <v>3497</v>
      </c>
      <c r="K1417" s="469">
        <v>1.65</v>
      </c>
    </row>
    <row r="1418" spans="2:11" x14ac:dyDescent="0.35">
      <c r="B1418" s="62">
        <v>12.25</v>
      </c>
      <c r="C1418" s="471">
        <v>1434</v>
      </c>
      <c r="D1418" s="471">
        <v>1425.6</v>
      </c>
      <c r="E1418" s="469">
        <v>63.59</v>
      </c>
      <c r="F1418" s="469">
        <v>11.4</v>
      </c>
      <c r="G1418" s="469">
        <v>6.9</v>
      </c>
      <c r="H1418" s="470">
        <v>164</v>
      </c>
      <c r="I1418" s="470">
        <v>774</v>
      </c>
      <c r="J1418" s="470">
        <v>3461</v>
      </c>
      <c r="K1418" s="469">
        <v>1.65</v>
      </c>
    </row>
    <row r="1419" spans="2:11" x14ac:dyDescent="0.35">
      <c r="B1419" s="62">
        <v>12.25</v>
      </c>
      <c r="C1419" s="471">
        <v>1435</v>
      </c>
      <c r="D1419" s="471">
        <v>1426.6</v>
      </c>
      <c r="E1419" s="469">
        <v>75.510000000000005</v>
      </c>
      <c r="F1419" s="469">
        <v>10.9</v>
      </c>
      <c r="G1419" s="469">
        <v>7.3</v>
      </c>
      <c r="H1419" s="470">
        <v>164</v>
      </c>
      <c r="I1419" s="470">
        <v>775</v>
      </c>
      <c r="J1419" s="470">
        <v>3475</v>
      </c>
      <c r="K1419" s="469">
        <v>1.65</v>
      </c>
    </row>
    <row r="1420" spans="2:11" x14ac:dyDescent="0.35">
      <c r="B1420" s="62">
        <v>12.25</v>
      </c>
      <c r="C1420" s="471">
        <v>1436</v>
      </c>
      <c r="D1420" s="471">
        <v>1427.6</v>
      </c>
      <c r="E1420" s="469">
        <v>99.62</v>
      </c>
      <c r="F1420" s="469">
        <v>10.6</v>
      </c>
      <c r="G1420" s="469">
        <v>7.3</v>
      </c>
      <c r="H1420" s="470">
        <v>164</v>
      </c>
      <c r="I1420" s="470">
        <v>773</v>
      </c>
      <c r="J1420" s="470">
        <v>3443</v>
      </c>
      <c r="K1420" s="469">
        <v>1.65</v>
      </c>
    </row>
    <row r="1421" spans="2:11" x14ac:dyDescent="0.35">
      <c r="B1421" s="62">
        <v>12.25</v>
      </c>
      <c r="C1421" s="471">
        <v>1437</v>
      </c>
      <c r="D1421" s="471">
        <v>1428.6</v>
      </c>
      <c r="E1421" s="469">
        <v>90.61</v>
      </c>
      <c r="F1421" s="469">
        <v>10.5</v>
      </c>
      <c r="G1421" s="469">
        <v>7.1</v>
      </c>
      <c r="H1421" s="470">
        <v>164</v>
      </c>
      <c r="I1421" s="470">
        <v>775</v>
      </c>
      <c r="J1421" s="470">
        <v>3453</v>
      </c>
      <c r="K1421" s="469">
        <v>1.65</v>
      </c>
    </row>
    <row r="1422" spans="2:11" x14ac:dyDescent="0.35">
      <c r="B1422" s="62">
        <v>12.25</v>
      </c>
      <c r="C1422" s="471">
        <v>1438</v>
      </c>
      <c r="D1422" s="471">
        <v>1429.6</v>
      </c>
      <c r="E1422" s="469">
        <v>78.040000000000006</v>
      </c>
      <c r="F1422" s="469">
        <v>9.1</v>
      </c>
      <c r="G1422" s="469">
        <v>6.1</v>
      </c>
      <c r="H1422" s="470">
        <v>164</v>
      </c>
      <c r="I1422" s="470">
        <v>773</v>
      </c>
      <c r="J1422" s="470">
        <v>3419</v>
      </c>
      <c r="K1422" s="469">
        <v>1.65</v>
      </c>
    </row>
    <row r="1423" spans="2:11" x14ac:dyDescent="0.35">
      <c r="B1423" s="62">
        <v>12.25</v>
      </c>
      <c r="C1423" s="471">
        <v>1439</v>
      </c>
      <c r="D1423" s="471">
        <v>1430.6</v>
      </c>
      <c r="E1423" s="469">
        <v>36.15</v>
      </c>
      <c r="F1423" s="469">
        <v>4.5999999999999996</v>
      </c>
      <c r="G1423" s="469">
        <v>4.7</v>
      </c>
      <c r="H1423" s="470">
        <v>166</v>
      </c>
      <c r="I1423" s="470">
        <v>776</v>
      </c>
      <c r="J1423" s="470">
        <v>3298</v>
      </c>
      <c r="K1423" s="469">
        <v>1.65</v>
      </c>
    </row>
    <row r="1424" spans="2:11" x14ac:dyDescent="0.35">
      <c r="B1424" s="62">
        <v>12.25</v>
      </c>
      <c r="C1424" s="471">
        <v>1440</v>
      </c>
      <c r="D1424" s="471">
        <v>1431.6</v>
      </c>
      <c r="E1424" s="469">
        <v>68.83</v>
      </c>
      <c r="F1424" s="469">
        <v>6.9</v>
      </c>
      <c r="G1424" s="469">
        <v>6</v>
      </c>
      <c r="H1424" s="470">
        <v>166</v>
      </c>
      <c r="I1424" s="470">
        <v>774</v>
      </c>
      <c r="J1424" s="470">
        <v>3391</v>
      </c>
      <c r="K1424" s="469">
        <v>1.65</v>
      </c>
    </row>
    <row r="1425" spans="2:11" x14ac:dyDescent="0.35">
      <c r="B1425" s="62">
        <v>12.25</v>
      </c>
      <c r="C1425" s="471">
        <v>1441</v>
      </c>
      <c r="D1425" s="471">
        <v>1432.6</v>
      </c>
      <c r="E1425" s="469">
        <v>56.94</v>
      </c>
      <c r="F1425" s="469">
        <v>7</v>
      </c>
      <c r="G1425" s="469">
        <v>5.9</v>
      </c>
      <c r="H1425" s="470">
        <v>166</v>
      </c>
      <c r="I1425" s="470">
        <v>774</v>
      </c>
      <c r="J1425" s="470">
        <v>3373</v>
      </c>
      <c r="K1425" s="469">
        <v>1.65</v>
      </c>
    </row>
    <row r="1426" spans="2:11" x14ac:dyDescent="0.35">
      <c r="B1426" s="62">
        <v>12.25</v>
      </c>
      <c r="C1426" s="471">
        <v>1442</v>
      </c>
      <c r="D1426" s="471">
        <v>1433.6</v>
      </c>
      <c r="E1426" s="469">
        <v>70.319999999999993</v>
      </c>
      <c r="F1426" s="469">
        <v>8.8000000000000007</v>
      </c>
      <c r="G1426" s="469">
        <v>6.9</v>
      </c>
      <c r="H1426" s="470">
        <v>166</v>
      </c>
      <c r="I1426" s="470">
        <v>775</v>
      </c>
      <c r="J1426" s="470">
        <v>3431</v>
      </c>
      <c r="K1426" s="469">
        <v>1.65</v>
      </c>
    </row>
    <row r="1427" spans="2:11" x14ac:dyDescent="0.35">
      <c r="B1427" s="62">
        <v>12.25</v>
      </c>
      <c r="C1427" s="471">
        <v>1443</v>
      </c>
      <c r="D1427" s="471">
        <v>1434.6</v>
      </c>
      <c r="E1427" s="469">
        <v>63.59</v>
      </c>
      <c r="F1427" s="469">
        <v>9.4</v>
      </c>
      <c r="G1427" s="469">
        <v>6.4</v>
      </c>
      <c r="H1427" s="470">
        <v>166</v>
      </c>
      <c r="I1427" s="470">
        <v>773</v>
      </c>
      <c r="J1427" s="470">
        <v>3435</v>
      </c>
      <c r="K1427" s="469">
        <v>1.65</v>
      </c>
    </row>
    <row r="1428" spans="2:11" x14ac:dyDescent="0.35">
      <c r="B1428" s="62">
        <v>12.25</v>
      </c>
      <c r="C1428" s="471">
        <v>1444</v>
      </c>
      <c r="D1428" s="471">
        <v>1435.5</v>
      </c>
      <c r="E1428" s="469">
        <v>70.2</v>
      </c>
      <c r="F1428" s="469">
        <v>9</v>
      </c>
      <c r="G1428" s="469">
        <v>7.4</v>
      </c>
      <c r="H1428" s="470">
        <v>166</v>
      </c>
      <c r="I1428" s="470">
        <v>774</v>
      </c>
      <c r="J1428" s="470">
        <v>3458</v>
      </c>
      <c r="K1428" s="469">
        <v>1.65</v>
      </c>
    </row>
    <row r="1429" spans="2:11" x14ac:dyDescent="0.35">
      <c r="B1429" s="62">
        <v>12.25</v>
      </c>
      <c r="C1429" s="471">
        <v>1445</v>
      </c>
      <c r="D1429" s="471">
        <v>1436.6</v>
      </c>
      <c r="E1429" s="469">
        <v>57.53</v>
      </c>
      <c r="F1429" s="469">
        <v>9.3000000000000007</v>
      </c>
      <c r="G1429" s="469">
        <v>6.2</v>
      </c>
      <c r="H1429" s="470">
        <v>166</v>
      </c>
      <c r="I1429" s="470">
        <v>777</v>
      </c>
      <c r="J1429" s="470">
        <v>3439</v>
      </c>
      <c r="K1429" s="469">
        <v>1.65</v>
      </c>
    </row>
    <row r="1430" spans="2:11" x14ac:dyDescent="0.35">
      <c r="B1430" s="62">
        <v>12.25</v>
      </c>
      <c r="C1430" s="471">
        <v>1446</v>
      </c>
      <c r="D1430" s="471">
        <v>1437.5</v>
      </c>
      <c r="E1430" s="469">
        <v>68.08</v>
      </c>
      <c r="F1430" s="469">
        <v>9.6999999999999993</v>
      </c>
      <c r="G1430" s="469">
        <v>7.1</v>
      </c>
      <c r="H1430" s="470">
        <v>166</v>
      </c>
      <c r="I1430" s="470">
        <v>775</v>
      </c>
      <c r="J1430" s="470">
        <v>3438</v>
      </c>
      <c r="K1430" s="469">
        <v>1.65</v>
      </c>
    </row>
    <row r="1431" spans="2:11" x14ac:dyDescent="0.35">
      <c r="B1431" s="62">
        <v>12.25</v>
      </c>
      <c r="C1431" s="471">
        <v>1447</v>
      </c>
      <c r="D1431" s="471">
        <v>1438.5</v>
      </c>
      <c r="E1431" s="469">
        <v>65</v>
      </c>
      <c r="F1431" s="469">
        <v>9.8000000000000007</v>
      </c>
      <c r="G1431" s="469">
        <v>6.5</v>
      </c>
      <c r="H1431" s="470">
        <v>166</v>
      </c>
      <c r="I1431" s="470">
        <v>774</v>
      </c>
      <c r="J1431" s="470">
        <v>3451</v>
      </c>
      <c r="K1431" s="469">
        <v>1.65</v>
      </c>
    </row>
    <row r="1432" spans="2:11" x14ac:dyDescent="0.35">
      <c r="B1432" s="62">
        <v>12.25</v>
      </c>
      <c r="C1432" s="471">
        <v>1448</v>
      </c>
      <c r="D1432" s="471">
        <v>1439.5</v>
      </c>
      <c r="E1432" s="469">
        <v>78.790000000000006</v>
      </c>
      <c r="F1432" s="469">
        <v>9.5</v>
      </c>
      <c r="G1432" s="469">
        <v>7.3</v>
      </c>
      <c r="H1432" s="470">
        <v>166</v>
      </c>
      <c r="I1432" s="470">
        <v>775</v>
      </c>
      <c r="J1432" s="470">
        <v>3453</v>
      </c>
      <c r="K1432" s="469">
        <v>1.65</v>
      </c>
    </row>
    <row r="1433" spans="2:11" x14ac:dyDescent="0.35">
      <c r="B1433" s="62">
        <v>12.25</v>
      </c>
      <c r="C1433" s="471">
        <v>1449</v>
      </c>
      <c r="D1433" s="471">
        <v>1440.5</v>
      </c>
      <c r="E1433" s="469">
        <v>71.22</v>
      </c>
      <c r="F1433" s="469">
        <v>8.4</v>
      </c>
      <c r="G1433" s="469">
        <v>5.8</v>
      </c>
      <c r="H1433" s="470">
        <v>166</v>
      </c>
      <c r="I1433" s="470">
        <v>775</v>
      </c>
      <c r="J1433" s="470">
        <v>3416</v>
      </c>
      <c r="K1433" s="469">
        <v>1.65</v>
      </c>
    </row>
    <row r="1434" spans="2:11" x14ac:dyDescent="0.35">
      <c r="B1434" s="62">
        <v>12.25</v>
      </c>
      <c r="C1434" s="471">
        <v>1450</v>
      </c>
      <c r="D1434" s="471">
        <v>1441.5</v>
      </c>
      <c r="E1434" s="469">
        <v>66.58</v>
      </c>
      <c r="F1434" s="469">
        <v>9.5</v>
      </c>
      <c r="G1434" s="469">
        <v>6.8</v>
      </c>
      <c r="H1434" s="470">
        <v>166</v>
      </c>
      <c r="I1434" s="470">
        <v>775</v>
      </c>
      <c r="J1434" s="470">
        <v>3429</v>
      </c>
      <c r="K1434" s="469">
        <v>1.65</v>
      </c>
    </row>
    <row r="1435" spans="2:11" x14ac:dyDescent="0.35">
      <c r="B1435" s="62">
        <v>12.25</v>
      </c>
      <c r="C1435" s="471">
        <v>1451</v>
      </c>
      <c r="D1435" s="471">
        <v>1442.5</v>
      </c>
      <c r="E1435" s="469">
        <v>58.74</v>
      </c>
      <c r="F1435" s="469">
        <v>11.3</v>
      </c>
      <c r="G1435" s="469">
        <v>7.6</v>
      </c>
      <c r="H1435" s="470">
        <v>166</v>
      </c>
      <c r="I1435" s="470">
        <v>775</v>
      </c>
      <c r="J1435" s="470">
        <v>3447</v>
      </c>
      <c r="K1435" s="469">
        <v>1.65</v>
      </c>
    </row>
    <row r="1436" spans="2:11" x14ac:dyDescent="0.35">
      <c r="B1436" s="62">
        <v>12.25</v>
      </c>
      <c r="C1436" s="471">
        <v>1452</v>
      </c>
      <c r="D1436" s="471">
        <v>1443.5</v>
      </c>
      <c r="E1436" s="469">
        <v>78.849999999999994</v>
      </c>
      <c r="F1436" s="469">
        <v>8.5</v>
      </c>
      <c r="G1436" s="469">
        <v>6.2</v>
      </c>
      <c r="H1436" s="470">
        <v>166</v>
      </c>
      <c r="I1436" s="470">
        <v>775</v>
      </c>
      <c r="J1436" s="470">
        <v>3416</v>
      </c>
      <c r="K1436" s="469">
        <v>1.65</v>
      </c>
    </row>
    <row r="1437" spans="2:11" x14ac:dyDescent="0.35">
      <c r="B1437" s="62">
        <v>12.25</v>
      </c>
      <c r="C1437" s="471">
        <v>1453</v>
      </c>
      <c r="D1437" s="471">
        <v>1444.5</v>
      </c>
      <c r="E1437" s="469">
        <v>71.73</v>
      </c>
      <c r="F1437" s="469">
        <v>8.1</v>
      </c>
      <c r="G1437" s="469">
        <v>6.1</v>
      </c>
      <c r="H1437" s="470">
        <v>166</v>
      </c>
      <c r="I1437" s="470">
        <v>775</v>
      </c>
      <c r="J1437" s="470">
        <v>3414</v>
      </c>
      <c r="K1437" s="469">
        <v>1.65</v>
      </c>
    </row>
    <row r="1438" spans="2:11" x14ac:dyDescent="0.35">
      <c r="B1438" s="62">
        <v>12.25</v>
      </c>
      <c r="C1438" s="471">
        <v>1454</v>
      </c>
      <c r="D1438" s="471">
        <v>1445.5</v>
      </c>
      <c r="E1438" s="469">
        <v>100.15</v>
      </c>
      <c r="F1438" s="469">
        <v>8.1999999999999993</v>
      </c>
      <c r="G1438" s="469">
        <v>6.3</v>
      </c>
      <c r="H1438" s="470">
        <v>166</v>
      </c>
      <c r="I1438" s="470">
        <v>775</v>
      </c>
      <c r="J1438" s="470">
        <v>3415</v>
      </c>
      <c r="K1438" s="469">
        <v>1.65</v>
      </c>
    </row>
    <row r="1439" spans="2:11" x14ac:dyDescent="0.35">
      <c r="B1439" s="62">
        <v>12.25</v>
      </c>
      <c r="C1439" s="471">
        <v>1455</v>
      </c>
      <c r="D1439" s="471">
        <v>1446.5</v>
      </c>
      <c r="E1439" s="469">
        <v>87.75</v>
      </c>
      <c r="F1439" s="469">
        <v>11.3</v>
      </c>
      <c r="G1439" s="469">
        <v>7.8</v>
      </c>
      <c r="H1439" s="470">
        <v>166</v>
      </c>
      <c r="I1439" s="470">
        <v>776</v>
      </c>
      <c r="J1439" s="470">
        <v>3484</v>
      </c>
      <c r="K1439" s="469">
        <v>1.65</v>
      </c>
    </row>
    <row r="1440" spans="2:11" x14ac:dyDescent="0.35">
      <c r="B1440" s="62">
        <v>12.25</v>
      </c>
      <c r="C1440" s="471">
        <v>1456</v>
      </c>
      <c r="D1440" s="471">
        <v>1447.5</v>
      </c>
      <c r="E1440" s="469">
        <v>90</v>
      </c>
      <c r="F1440" s="469">
        <v>9.6999999999999993</v>
      </c>
      <c r="G1440" s="469">
        <v>7.2</v>
      </c>
      <c r="H1440" s="470">
        <v>166</v>
      </c>
      <c r="I1440" s="470">
        <v>775</v>
      </c>
      <c r="J1440" s="470">
        <v>3449</v>
      </c>
      <c r="K1440" s="469">
        <v>1.65</v>
      </c>
    </row>
    <row r="1441" spans="2:11" x14ac:dyDescent="0.35">
      <c r="B1441" s="62">
        <v>12.25</v>
      </c>
      <c r="C1441" s="471">
        <v>1457</v>
      </c>
      <c r="D1441" s="471">
        <v>1448.5</v>
      </c>
      <c r="E1441" s="469">
        <v>79.42</v>
      </c>
      <c r="F1441" s="469">
        <v>9.6</v>
      </c>
      <c r="G1441" s="469">
        <v>7.4</v>
      </c>
      <c r="H1441" s="470">
        <v>166</v>
      </c>
      <c r="I1441" s="470">
        <v>777</v>
      </c>
      <c r="J1441" s="470">
        <v>3474</v>
      </c>
      <c r="K1441" s="469">
        <v>1.65</v>
      </c>
    </row>
    <row r="1442" spans="2:11" x14ac:dyDescent="0.35">
      <c r="B1442" s="62">
        <v>12.25</v>
      </c>
      <c r="C1442" s="471">
        <v>1458</v>
      </c>
      <c r="D1442" s="471">
        <v>1449.5</v>
      </c>
      <c r="E1442" s="469">
        <v>77.14</v>
      </c>
      <c r="F1442" s="469">
        <v>10.1</v>
      </c>
      <c r="G1442" s="469">
        <v>7.5</v>
      </c>
      <c r="H1442" s="470">
        <v>165</v>
      </c>
      <c r="I1442" s="470">
        <v>773</v>
      </c>
      <c r="J1442" s="470">
        <v>3472</v>
      </c>
      <c r="K1442" s="469">
        <v>1.65</v>
      </c>
    </row>
    <row r="1443" spans="2:11" x14ac:dyDescent="0.35">
      <c r="B1443" s="62">
        <v>12.25</v>
      </c>
      <c r="C1443" s="471">
        <v>1459</v>
      </c>
      <c r="D1443" s="471">
        <v>1450.4</v>
      </c>
      <c r="E1443" s="469">
        <v>74.650000000000006</v>
      </c>
      <c r="F1443" s="469">
        <v>11.9</v>
      </c>
      <c r="G1443" s="469">
        <v>8</v>
      </c>
      <c r="H1443" s="470">
        <v>166</v>
      </c>
      <c r="I1443" s="470">
        <v>777</v>
      </c>
      <c r="J1443" s="470">
        <v>3500</v>
      </c>
      <c r="K1443" s="469">
        <v>1.65</v>
      </c>
    </row>
    <row r="1444" spans="2:11" x14ac:dyDescent="0.35">
      <c r="B1444" s="62">
        <v>12.25</v>
      </c>
      <c r="C1444" s="471">
        <v>1460</v>
      </c>
      <c r="D1444" s="471">
        <v>1451.4</v>
      </c>
      <c r="E1444" s="469">
        <v>54</v>
      </c>
      <c r="F1444" s="469">
        <v>11.7</v>
      </c>
      <c r="G1444" s="469">
        <v>7.4</v>
      </c>
      <c r="H1444" s="470">
        <v>165</v>
      </c>
      <c r="I1444" s="470">
        <v>773</v>
      </c>
      <c r="J1444" s="470">
        <v>3463</v>
      </c>
      <c r="K1444" s="469">
        <v>1.65</v>
      </c>
    </row>
    <row r="1445" spans="2:11" x14ac:dyDescent="0.35">
      <c r="B1445" s="62">
        <v>12.25</v>
      </c>
      <c r="C1445" s="471">
        <v>1461</v>
      </c>
      <c r="D1445" s="471">
        <v>1452.5</v>
      </c>
      <c r="E1445" s="469">
        <v>58.5</v>
      </c>
      <c r="F1445" s="469">
        <v>10.7</v>
      </c>
      <c r="G1445" s="469">
        <v>6.9</v>
      </c>
      <c r="H1445" s="470">
        <v>166</v>
      </c>
      <c r="I1445" s="470">
        <v>774</v>
      </c>
      <c r="J1445" s="470">
        <v>3442</v>
      </c>
      <c r="K1445" s="469">
        <v>1.65</v>
      </c>
    </row>
    <row r="1446" spans="2:11" x14ac:dyDescent="0.35">
      <c r="B1446" s="62">
        <v>12.25</v>
      </c>
      <c r="C1446" s="471">
        <v>1462</v>
      </c>
      <c r="D1446" s="471">
        <v>1453.5</v>
      </c>
      <c r="E1446" s="469">
        <v>61.74</v>
      </c>
      <c r="F1446" s="469">
        <v>10.7</v>
      </c>
      <c r="G1446" s="469">
        <v>6.7</v>
      </c>
      <c r="H1446" s="470">
        <v>166</v>
      </c>
      <c r="I1446" s="470">
        <v>775</v>
      </c>
      <c r="J1446" s="470">
        <v>3469</v>
      </c>
      <c r="K1446" s="469">
        <v>1.65</v>
      </c>
    </row>
    <row r="1447" spans="2:11" x14ac:dyDescent="0.35">
      <c r="B1447" s="62">
        <v>12.25</v>
      </c>
      <c r="C1447" s="471">
        <v>1463</v>
      </c>
      <c r="D1447" s="471">
        <v>1454.4</v>
      </c>
      <c r="E1447" s="469">
        <v>50.05</v>
      </c>
      <c r="F1447" s="469">
        <v>10</v>
      </c>
      <c r="G1447" s="469">
        <v>6.5</v>
      </c>
      <c r="H1447" s="470">
        <v>166</v>
      </c>
      <c r="I1447" s="470">
        <v>775</v>
      </c>
      <c r="J1447" s="470">
        <v>3448</v>
      </c>
      <c r="K1447" s="469">
        <v>1.65</v>
      </c>
    </row>
    <row r="1448" spans="2:11" x14ac:dyDescent="0.35">
      <c r="B1448" s="62">
        <v>12.25</v>
      </c>
      <c r="C1448" s="471">
        <v>1464</v>
      </c>
      <c r="D1448" s="471">
        <v>1455.5</v>
      </c>
      <c r="E1448" s="469">
        <v>53.41</v>
      </c>
      <c r="F1448" s="469">
        <v>11.4</v>
      </c>
      <c r="G1448" s="469">
        <v>6.7</v>
      </c>
      <c r="H1448" s="470">
        <v>166</v>
      </c>
      <c r="I1448" s="470">
        <v>774</v>
      </c>
      <c r="J1448" s="470">
        <v>3486</v>
      </c>
      <c r="K1448" s="469">
        <v>1.65</v>
      </c>
    </row>
    <row r="1449" spans="2:11" x14ac:dyDescent="0.35">
      <c r="B1449" s="62">
        <v>12.25</v>
      </c>
      <c r="C1449" s="471">
        <v>1465</v>
      </c>
      <c r="D1449" s="471">
        <v>1456.4</v>
      </c>
      <c r="E1449" s="469">
        <v>56.07</v>
      </c>
      <c r="F1449" s="469">
        <v>10</v>
      </c>
      <c r="G1449" s="469">
        <v>7</v>
      </c>
      <c r="H1449" s="470">
        <v>166</v>
      </c>
      <c r="I1449" s="470">
        <v>776</v>
      </c>
      <c r="J1449" s="470">
        <v>3518</v>
      </c>
      <c r="K1449" s="469">
        <v>1.65</v>
      </c>
    </row>
    <row r="1450" spans="2:11" x14ac:dyDescent="0.35">
      <c r="B1450" s="62">
        <v>12.25</v>
      </c>
      <c r="C1450" s="471">
        <v>1466</v>
      </c>
      <c r="D1450" s="471">
        <v>1457.4</v>
      </c>
      <c r="E1450" s="469">
        <v>67.38</v>
      </c>
      <c r="F1450" s="469">
        <v>8.9</v>
      </c>
      <c r="G1450" s="469">
        <v>7.4</v>
      </c>
      <c r="H1450" s="470">
        <v>165</v>
      </c>
      <c r="I1450" s="470">
        <v>774</v>
      </c>
      <c r="J1450" s="470">
        <v>3512</v>
      </c>
      <c r="K1450" s="469">
        <v>1.65</v>
      </c>
    </row>
    <row r="1451" spans="2:11" x14ac:dyDescent="0.35">
      <c r="B1451" s="62">
        <v>12.25</v>
      </c>
      <c r="C1451" s="471">
        <v>1467</v>
      </c>
      <c r="D1451" s="471">
        <v>1458.4</v>
      </c>
      <c r="E1451" s="469">
        <v>9.51</v>
      </c>
      <c r="F1451" s="469">
        <v>6.9</v>
      </c>
      <c r="G1451" s="469">
        <v>6.1</v>
      </c>
      <c r="H1451" s="470">
        <v>165</v>
      </c>
      <c r="I1451" s="470">
        <v>775</v>
      </c>
      <c r="J1451" s="470">
        <v>3426</v>
      </c>
      <c r="K1451" s="469">
        <v>1.65</v>
      </c>
    </row>
    <row r="1452" spans="2:11" x14ac:dyDescent="0.35">
      <c r="B1452" s="62">
        <v>12.25</v>
      </c>
      <c r="C1452" s="471">
        <v>1468</v>
      </c>
      <c r="D1452" s="471">
        <v>1459.4</v>
      </c>
      <c r="E1452" s="469">
        <v>3.91</v>
      </c>
      <c r="F1452" s="469">
        <v>1.7</v>
      </c>
      <c r="G1452" s="469">
        <v>2.2999999999999998</v>
      </c>
      <c r="H1452" s="470">
        <v>159</v>
      </c>
      <c r="I1452" s="470">
        <v>716</v>
      </c>
      <c r="J1452" s="470">
        <v>2718</v>
      </c>
      <c r="K1452" s="469">
        <v>1.65</v>
      </c>
    </row>
    <row r="1453" spans="2:11" x14ac:dyDescent="0.35">
      <c r="B1453" s="62">
        <v>12.25</v>
      </c>
      <c r="C1453" s="471">
        <v>1469</v>
      </c>
      <c r="D1453" s="471">
        <v>1460.4</v>
      </c>
      <c r="E1453" s="469">
        <v>44.26</v>
      </c>
      <c r="F1453" s="469">
        <v>7.7</v>
      </c>
      <c r="G1453" s="469">
        <v>5.9</v>
      </c>
      <c r="H1453" s="470">
        <v>165</v>
      </c>
      <c r="I1453" s="470">
        <v>767</v>
      </c>
      <c r="J1453" s="470">
        <v>3373</v>
      </c>
      <c r="K1453" s="469">
        <v>1.65</v>
      </c>
    </row>
    <row r="1454" spans="2:11" x14ac:dyDescent="0.35">
      <c r="B1454" s="62">
        <v>12.25</v>
      </c>
      <c r="C1454" s="471">
        <v>1470</v>
      </c>
      <c r="D1454" s="471">
        <v>1461.4</v>
      </c>
      <c r="E1454" s="469">
        <v>73.13</v>
      </c>
      <c r="F1454" s="469">
        <v>9</v>
      </c>
      <c r="G1454" s="469">
        <v>6.6</v>
      </c>
      <c r="H1454" s="470">
        <v>165</v>
      </c>
      <c r="I1454" s="470">
        <v>767</v>
      </c>
      <c r="J1454" s="470">
        <v>3439</v>
      </c>
      <c r="K1454" s="469">
        <v>1.65</v>
      </c>
    </row>
    <row r="1455" spans="2:11" x14ac:dyDescent="0.35">
      <c r="B1455" s="62">
        <v>12.25</v>
      </c>
      <c r="C1455" s="471">
        <v>1471</v>
      </c>
      <c r="D1455" s="471">
        <v>1462.4</v>
      </c>
      <c r="E1455" s="469">
        <v>39.869999999999997</v>
      </c>
      <c r="F1455" s="469">
        <v>7.2</v>
      </c>
      <c r="G1455" s="469">
        <v>6</v>
      </c>
      <c r="H1455" s="470">
        <v>165</v>
      </c>
      <c r="I1455" s="470">
        <v>769</v>
      </c>
      <c r="J1455" s="470">
        <v>3391</v>
      </c>
      <c r="K1455" s="469">
        <v>1.65</v>
      </c>
    </row>
    <row r="1456" spans="2:11" x14ac:dyDescent="0.35">
      <c r="B1456" s="62">
        <v>12.25</v>
      </c>
      <c r="C1456" s="471">
        <v>1472</v>
      </c>
      <c r="D1456" s="471">
        <v>1463.4</v>
      </c>
      <c r="E1456" s="469">
        <v>77.19</v>
      </c>
      <c r="F1456" s="469">
        <v>8.8000000000000007</v>
      </c>
      <c r="G1456" s="469">
        <v>7.1</v>
      </c>
      <c r="H1456" s="470">
        <v>164</v>
      </c>
      <c r="I1456" s="470">
        <v>767</v>
      </c>
      <c r="J1456" s="470">
        <v>3433</v>
      </c>
      <c r="K1456" s="469">
        <v>1.65</v>
      </c>
    </row>
    <row r="1457" spans="2:11" x14ac:dyDescent="0.35">
      <c r="B1457" s="62">
        <v>12.25</v>
      </c>
      <c r="C1457" s="471">
        <v>1473</v>
      </c>
      <c r="D1457" s="471">
        <v>1464.4</v>
      </c>
      <c r="E1457" s="469">
        <v>47.69</v>
      </c>
      <c r="F1457" s="469">
        <v>10</v>
      </c>
      <c r="G1457" s="469">
        <v>6.3</v>
      </c>
      <c r="H1457" s="470">
        <v>163</v>
      </c>
      <c r="I1457" s="470">
        <v>753</v>
      </c>
      <c r="J1457" s="470">
        <v>3339</v>
      </c>
      <c r="K1457" s="469">
        <v>1.65</v>
      </c>
    </row>
    <row r="1458" spans="2:11" x14ac:dyDescent="0.35">
      <c r="B1458" s="62">
        <v>12.25</v>
      </c>
      <c r="C1458" s="471">
        <v>1474</v>
      </c>
      <c r="D1458" s="471">
        <v>1465.4</v>
      </c>
      <c r="E1458" s="469">
        <v>35.64</v>
      </c>
      <c r="F1458" s="469">
        <v>10.3</v>
      </c>
      <c r="G1458" s="469">
        <v>5.7</v>
      </c>
      <c r="H1458" s="470">
        <v>162</v>
      </c>
      <c r="I1458" s="470">
        <v>741</v>
      </c>
      <c r="J1458" s="470">
        <v>3234</v>
      </c>
      <c r="K1458" s="469">
        <v>1.65</v>
      </c>
    </row>
    <row r="1459" spans="2:11" x14ac:dyDescent="0.35">
      <c r="B1459" s="62">
        <v>12.25</v>
      </c>
      <c r="C1459" s="471">
        <v>1475</v>
      </c>
      <c r="D1459" s="471">
        <v>1466.3</v>
      </c>
      <c r="E1459" s="469">
        <v>36.15</v>
      </c>
      <c r="F1459" s="469">
        <v>10.9</v>
      </c>
      <c r="G1459" s="469">
        <v>6.5</v>
      </c>
      <c r="H1459" s="470">
        <v>162</v>
      </c>
      <c r="I1459" s="470">
        <v>743</v>
      </c>
      <c r="J1459" s="470">
        <v>3233</v>
      </c>
      <c r="K1459" s="469">
        <v>1.65</v>
      </c>
    </row>
    <row r="1460" spans="2:11" x14ac:dyDescent="0.35">
      <c r="B1460" s="62">
        <v>12.25</v>
      </c>
      <c r="C1460" s="471">
        <v>1476</v>
      </c>
      <c r="D1460" s="471">
        <v>1467.3</v>
      </c>
      <c r="E1460" s="469">
        <v>49.6</v>
      </c>
      <c r="F1460" s="469">
        <v>10.4</v>
      </c>
      <c r="G1460" s="469">
        <v>6.9</v>
      </c>
      <c r="H1460" s="470">
        <v>162</v>
      </c>
      <c r="I1460" s="470">
        <v>740</v>
      </c>
      <c r="J1460" s="470">
        <v>3263</v>
      </c>
      <c r="K1460" s="469">
        <v>1.65</v>
      </c>
    </row>
    <row r="1461" spans="2:11" x14ac:dyDescent="0.35">
      <c r="B1461" s="62">
        <v>12.25</v>
      </c>
      <c r="C1461" s="471">
        <v>1477</v>
      </c>
      <c r="D1461" s="471">
        <v>1468.4</v>
      </c>
      <c r="E1461" s="469">
        <v>62.63</v>
      </c>
      <c r="F1461" s="469">
        <v>9.6</v>
      </c>
      <c r="G1461" s="469">
        <v>7.7</v>
      </c>
      <c r="H1461" s="470">
        <v>161</v>
      </c>
      <c r="I1461" s="470">
        <v>737</v>
      </c>
      <c r="J1461" s="470">
        <v>3309</v>
      </c>
      <c r="K1461" s="469">
        <v>1.65</v>
      </c>
    </row>
    <row r="1462" spans="2:11" x14ac:dyDescent="0.35">
      <c r="B1462" s="62">
        <v>12.25</v>
      </c>
      <c r="C1462" s="471">
        <v>1478</v>
      </c>
      <c r="D1462" s="471">
        <v>1469.3</v>
      </c>
      <c r="E1462" s="469">
        <v>78.209999999999994</v>
      </c>
      <c r="F1462" s="469">
        <v>10.5</v>
      </c>
      <c r="G1462" s="469">
        <v>8.6999999999999993</v>
      </c>
      <c r="H1462" s="470">
        <v>161</v>
      </c>
      <c r="I1462" s="470">
        <v>737</v>
      </c>
      <c r="J1462" s="470">
        <v>3351</v>
      </c>
      <c r="K1462" s="469">
        <v>1.65</v>
      </c>
    </row>
    <row r="1463" spans="2:11" x14ac:dyDescent="0.35">
      <c r="B1463" s="62">
        <v>12.25</v>
      </c>
      <c r="C1463" s="471">
        <v>1479</v>
      </c>
      <c r="D1463" s="471">
        <v>1470.4</v>
      </c>
      <c r="E1463" s="469">
        <v>70.08</v>
      </c>
      <c r="F1463" s="469">
        <v>10.6</v>
      </c>
      <c r="G1463" s="469">
        <v>8.3000000000000007</v>
      </c>
      <c r="H1463" s="470">
        <v>161</v>
      </c>
      <c r="I1463" s="470">
        <v>738</v>
      </c>
      <c r="J1463" s="470">
        <v>3335</v>
      </c>
      <c r="K1463" s="469">
        <v>1.65</v>
      </c>
    </row>
    <row r="1464" spans="2:11" x14ac:dyDescent="0.35">
      <c r="B1464" s="62">
        <v>12.25</v>
      </c>
      <c r="C1464" s="471">
        <v>1480</v>
      </c>
      <c r="D1464" s="471">
        <v>1471.3</v>
      </c>
      <c r="E1464" s="469">
        <v>71.97</v>
      </c>
      <c r="F1464" s="469">
        <v>9.9</v>
      </c>
      <c r="G1464" s="469">
        <v>8.4</v>
      </c>
      <c r="H1464" s="470">
        <v>161</v>
      </c>
      <c r="I1464" s="470">
        <v>739</v>
      </c>
      <c r="J1464" s="470">
        <v>3336</v>
      </c>
      <c r="K1464" s="469">
        <v>1.65</v>
      </c>
    </row>
    <row r="1465" spans="2:11" x14ac:dyDescent="0.35">
      <c r="B1465" s="62">
        <v>12.25</v>
      </c>
      <c r="C1465" s="471">
        <v>1481</v>
      </c>
      <c r="D1465" s="471">
        <v>1472.4</v>
      </c>
      <c r="E1465" s="469">
        <v>66.23</v>
      </c>
      <c r="F1465" s="469">
        <v>9.8000000000000007</v>
      </c>
      <c r="G1465" s="469">
        <v>7</v>
      </c>
      <c r="H1465" s="470">
        <v>161</v>
      </c>
      <c r="I1465" s="470">
        <v>738</v>
      </c>
      <c r="J1465" s="470">
        <v>3308</v>
      </c>
      <c r="K1465" s="469">
        <v>1.65</v>
      </c>
    </row>
    <row r="1466" spans="2:11" x14ac:dyDescent="0.35">
      <c r="B1466" s="62">
        <v>12.25</v>
      </c>
      <c r="C1466" s="471">
        <v>1482</v>
      </c>
      <c r="D1466" s="471">
        <v>1473.3</v>
      </c>
      <c r="E1466" s="469">
        <v>52.99</v>
      </c>
      <c r="F1466" s="469">
        <v>10.6</v>
      </c>
      <c r="G1466" s="469">
        <v>6.8</v>
      </c>
      <c r="H1466" s="470">
        <v>162</v>
      </c>
      <c r="I1466" s="470">
        <v>740</v>
      </c>
      <c r="J1466" s="470">
        <v>3272</v>
      </c>
      <c r="K1466" s="469">
        <v>1.65</v>
      </c>
    </row>
    <row r="1467" spans="2:11" x14ac:dyDescent="0.35">
      <c r="B1467" s="62">
        <v>12.25</v>
      </c>
      <c r="C1467" s="471">
        <v>1483</v>
      </c>
      <c r="D1467" s="471">
        <v>1474.3</v>
      </c>
      <c r="E1467" s="469">
        <v>60.41</v>
      </c>
      <c r="F1467" s="469">
        <v>11.2</v>
      </c>
      <c r="G1467" s="469">
        <v>7.1</v>
      </c>
      <c r="H1467" s="470">
        <v>161</v>
      </c>
      <c r="I1467" s="470">
        <v>738</v>
      </c>
      <c r="J1467" s="470">
        <v>3279</v>
      </c>
      <c r="K1467" s="469">
        <v>1.65</v>
      </c>
    </row>
    <row r="1468" spans="2:11" x14ac:dyDescent="0.35">
      <c r="B1468" s="62">
        <v>12.25</v>
      </c>
      <c r="C1468" s="471">
        <v>1484</v>
      </c>
      <c r="D1468" s="471">
        <v>1475.3</v>
      </c>
      <c r="E1468" s="469">
        <v>60.52</v>
      </c>
      <c r="F1468" s="469">
        <v>10.4</v>
      </c>
      <c r="G1468" s="469">
        <v>7.3</v>
      </c>
      <c r="H1468" s="470">
        <v>161</v>
      </c>
      <c r="I1468" s="470">
        <v>740</v>
      </c>
      <c r="J1468" s="470">
        <v>3276</v>
      </c>
      <c r="K1468" s="469">
        <v>1.65</v>
      </c>
    </row>
    <row r="1469" spans="2:11" x14ac:dyDescent="0.35">
      <c r="B1469" s="62">
        <v>12.25</v>
      </c>
      <c r="C1469" s="471">
        <v>1485</v>
      </c>
      <c r="D1469" s="471">
        <v>1476.3</v>
      </c>
      <c r="E1469" s="469">
        <v>60.79</v>
      </c>
      <c r="F1469" s="469">
        <v>9.8000000000000007</v>
      </c>
      <c r="G1469" s="469">
        <v>7.5</v>
      </c>
      <c r="H1469" s="470">
        <v>161</v>
      </c>
      <c r="I1469" s="470">
        <v>741</v>
      </c>
      <c r="J1469" s="470">
        <v>3270</v>
      </c>
      <c r="K1469" s="469">
        <v>1.65</v>
      </c>
    </row>
    <row r="1470" spans="2:11" x14ac:dyDescent="0.35">
      <c r="B1470" s="62">
        <v>12.25</v>
      </c>
      <c r="C1470" s="471">
        <v>1486</v>
      </c>
      <c r="D1470" s="471">
        <v>1477.3</v>
      </c>
      <c r="E1470" s="469">
        <v>46.1</v>
      </c>
      <c r="F1470" s="469">
        <v>9.6999999999999993</v>
      </c>
      <c r="G1470" s="469">
        <v>7.2</v>
      </c>
      <c r="H1470" s="470">
        <v>161</v>
      </c>
      <c r="I1470" s="470">
        <v>739</v>
      </c>
      <c r="J1470" s="470">
        <v>3243</v>
      </c>
      <c r="K1470" s="469">
        <v>1.65</v>
      </c>
    </row>
    <row r="1471" spans="2:11" x14ac:dyDescent="0.35">
      <c r="B1471" s="62">
        <v>12.25</v>
      </c>
      <c r="C1471" s="471">
        <v>1487</v>
      </c>
      <c r="D1471" s="471">
        <v>1478.3</v>
      </c>
      <c r="E1471" s="469">
        <v>67.91</v>
      </c>
      <c r="F1471" s="469">
        <v>10</v>
      </c>
      <c r="G1471" s="469">
        <v>6.9</v>
      </c>
      <c r="H1471" s="470">
        <v>162</v>
      </c>
      <c r="I1471" s="470">
        <v>739</v>
      </c>
      <c r="J1471" s="470">
        <v>3262</v>
      </c>
      <c r="K1471" s="469">
        <v>1.65</v>
      </c>
    </row>
    <row r="1472" spans="2:11" x14ac:dyDescent="0.35">
      <c r="B1472" s="62">
        <v>12.25</v>
      </c>
      <c r="C1472" s="471">
        <v>1488</v>
      </c>
      <c r="D1472" s="471">
        <v>1479.3</v>
      </c>
      <c r="E1472" s="469">
        <v>44.86</v>
      </c>
      <c r="F1472" s="469">
        <v>9.6999999999999993</v>
      </c>
      <c r="G1472" s="469">
        <v>6.6</v>
      </c>
      <c r="H1472" s="470">
        <v>162</v>
      </c>
      <c r="I1472" s="470">
        <v>742</v>
      </c>
      <c r="J1472" s="470">
        <v>3230</v>
      </c>
      <c r="K1472" s="469">
        <v>1.65</v>
      </c>
    </row>
    <row r="1473" spans="2:11" x14ac:dyDescent="0.35">
      <c r="B1473" s="62">
        <v>12.25</v>
      </c>
      <c r="C1473" s="471">
        <v>1489</v>
      </c>
      <c r="D1473" s="471">
        <v>1480.3</v>
      </c>
      <c r="E1473" s="469">
        <v>46.29</v>
      </c>
      <c r="F1473" s="469">
        <v>10</v>
      </c>
      <c r="G1473" s="469">
        <v>5.9</v>
      </c>
      <c r="H1473" s="470">
        <v>162</v>
      </c>
      <c r="I1473" s="470">
        <v>741</v>
      </c>
      <c r="J1473" s="470">
        <v>3218</v>
      </c>
      <c r="K1473" s="469">
        <v>1.65</v>
      </c>
    </row>
    <row r="1474" spans="2:11" x14ac:dyDescent="0.35">
      <c r="B1474" s="62">
        <v>12.25</v>
      </c>
      <c r="C1474" s="471">
        <v>1490</v>
      </c>
      <c r="D1474" s="471">
        <v>1481.3</v>
      </c>
      <c r="E1474" s="469">
        <v>64.930000000000007</v>
      </c>
      <c r="F1474" s="469">
        <v>10.1</v>
      </c>
      <c r="G1474" s="469">
        <v>7.1</v>
      </c>
      <c r="H1474" s="470">
        <v>161</v>
      </c>
      <c r="I1474" s="470">
        <v>737</v>
      </c>
      <c r="J1474" s="470">
        <v>3257</v>
      </c>
      <c r="K1474" s="469">
        <v>1.65</v>
      </c>
    </row>
    <row r="1475" spans="2:11" x14ac:dyDescent="0.35">
      <c r="B1475" s="62">
        <v>12.25</v>
      </c>
      <c r="C1475" s="471">
        <v>1491</v>
      </c>
      <c r="D1475" s="471">
        <v>1482.2</v>
      </c>
      <c r="E1475" s="469">
        <v>65.180000000000007</v>
      </c>
      <c r="F1475" s="469">
        <v>9.1999999999999993</v>
      </c>
      <c r="G1475" s="469">
        <v>6.5</v>
      </c>
      <c r="H1475" s="470">
        <v>162</v>
      </c>
      <c r="I1475" s="470">
        <v>741</v>
      </c>
      <c r="J1475" s="470">
        <v>3245</v>
      </c>
      <c r="K1475" s="469">
        <v>1.65</v>
      </c>
    </row>
    <row r="1476" spans="2:11" x14ac:dyDescent="0.35">
      <c r="B1476" s="62">
        <v>12.25</v>
      </c>
      <c r="C1476" s="471">
        <v>1492</v>
      </c>
      <c r="D1476" s="471">
        <v>1483.3</v>
      </c>
      <c r="E1476" s="469">
        <v>54.5</v>
      </c>
      <c r="F1476" s="469">
        <v>10.7</v>
      </c>
      <c r="G1476" s="469">
        <v>6.4</v>
      </c>
      <c r="H1476" s="470">
        <v>162</v>
      </c>
      <c r="I1476" s="470">
        <v>738</v>
      </c>
      <c r="J1476" s="470">
        <v>3249</v>
      </c>
      <c r="K1476" s="469">
        <v>1.65</v>
      </c>
    </row>
    <row r="1477" spans="2:11" x14ac:dyDescent="0.35">
      <c r="B1477" s="62">
        <v>12.25</v>
      </c>
      <c r="C1477" s="471">
        <v>1493</v>
      </c>
      <c r="D1477" s="471">
        <v>1484.2</v>
      </c>
      <c r="E1477" s="469">
        <v>56.9</v>
      </c>
      <c r="F1477" s="469">
        <v>9.1999999999999993</v>
      </c>
      <c r="G1477" s="469">
        <v>5.9</v>
      </c>
      <c r="H1477" s="470">
        <v>162</v>
      </c>
      <c r="I1477" s="470">
        <v>743</v>
      </c>
      <c r="J1477" s="470">
        <v>3213</v>
      </c>
      <c r="K1477" s="469">
        <v>1.65</v>
      </c>
    </row>
    <row r="1478" spans="2:11" x14ac:dyDescent="0.35">
      <c r="B1478" s="62">
        <v>12.25</v>
      </c>
      <c r="C1478" s="471">
        <v>1494</v>
      </c>
      <c r="D1478" s="471">
        <v>1485.2</v>
      </c>
      <c r="E1478" s="469">
        <v>85.84</v>
      </c>
      <c r="F1478" s="469">
        <v>9.1</v>
      </c>
      <c r="G1478" s="469">
        <v>6.3</v>
      </c>
      <c r="H1478" s="470">
        <v>162</v>
      </c>
      <c r="I1478" s="470">
        <v>742</v>
      </c>
      <c r="J1478" s="470">
        <v>3241</v>
      </c>
      <c r="K1478" s="469">
        <v>1.65</v>
      </c>
    </row>
    <row r="1479" spans="2:11" x14ac:dyDescent="0.35">
      <c r="B1479" s="62">
        <v>12.25</v>
      </c>
      <c r="C1479" s="471">
        <v>1495</v>
      </c>
      <c r="D1479" s="471">
        <v>1486.2</v>
      </c>
      <c r="E1479" s="469">
        <v>71.73</v>
      </c>
      <c r="F1479" s="469">
        <v>9.9</v>
      </c>
      <c r="G1479" s="469">
        <v>6</v>
      </c>
      <c r="H1479" s="470">
        <v>162</v>
      </c>
      <c r="I1479" s="470">
        <v>738</v>
      </c>
      <c r="J1479" s="470">
        <v>3268</v>
      </c>
      <c r="K1479" s="469">
        <v>1.65</v>
      </c>
    </row>
    <row r="1480" spans="2:11" x14ac:dyDescent="0.35">
      <c r="B1480" s="62">
        <v>12.25</v>
      </c>
      <c r="C1480" s="471">
        <v>1496</v>
      </c>
      <c r="D1480" s="471">
        <v>1487.2</v>
      </c>
      <c r="E1480" s="469">
        <v>9.2799999999999994</v>
      </c>
      <c r="F1480" s="469">
        <v>5.9</v>
      </c>
      <c r="G1480" s="469">
        <v>4.2</v>
      </c>
      <c r="H1480" s="470">
        <v>163</v>
      </c>
      <c r="I1480" s="470">
        <v>754</v>
      </c>
      <c r="J1480" s="470">
        <v>3220</v>
      </c>
      <c r="K1480" s="469">
        <v>1.65</v>
      </c>
    </row>
    <row r="1481" spans="2:11" x14ac:dyDescent="0.35">
      <c r="B1481" s="62">
        <v>12.25</v>
      </c>
      <c r="C1481" s="471">
        <v>1497</v>
      </c>
      <c r="D1481" s="471">
        <v>1488.3</v>
      </c>
      <c r="E1481" s="469">
        <v>8.0500000000000007</v>
      </c>
      <c r="F1481" s="469">
        <v>2.7</v>
      </c>
      <c r="G1481" s="469">
        <v>2.7</v>
      </c>
      <c r="H1481" s="470">
        <v>155</v>
      </c>
      <c r="I1481" s="470">
        <v>684</v>
      </c>
      <c r="J1481" s="470">
        <v>2776</v>
      </c>
      <c r="K1481" s="469">
        <v>1.65</v>
      </c>
    </row>
    <row r="1482" spans="2:11" x14ac:dyDescent="0.35">
      <c r="B1482" s="62">
        <v>12.25</v>
      </c>
      <c r="C1482" s="471">
        <v>1498</v>
      </c>
      <c r="D1482" s="471">
        <v>1489.2</v>
      </c>
      <c r="E1482" s="469">
        <v>8.08</v>
      </c>
      <c r="F1482" s="469">
        <v>4</v>
      </c>
      <c r="G1482" s="469">
        <v>3.5</v>
      </c>
      <c r="H1482" s="470">
        <v>162</v>
      </c>
      <c r="I1482" s="470">
        <v>743</v>
      </c>
      <c r="J1482" s="470">
        <v>2956</v>
      </c>
      <c r="K1482" s="469">
        <v>1.65</v>
      </c>
    </row>
    <row r="1483" spans="2:11" x14ac:dyDescent="0.35">
      <c r="B1483" s="62">
        <v>12.25</v>
      </c>
      <c r="C1483" s="471">
        <v>1499</v>
      </c>
      <c r="D1483" s="471">
        <v>1490.2</v>
      </c>
      <c r="E1483" s="469">
        <v>43.67</v>
      </c>
      <c r="F1483" s="469">
        <v>7.3</v>
      </c>
      <c r="G1483" s="469">
        <v>5.6</v>
      </c>
      <c r="H1483" s="470">
        <v>166</v>
      </c>
      <c r="I1483" s="470">
        <v>784</v>
      </c>
      <c r="J1483" s="470">
        <v>3442</v>
      </c>
      <c r="K1483" s="469">
        <v>1.65</v>
      </c>
    </row>
    <row r="1484" spans="2:11" x14ac:dyDescent="0.35">
      <c r="B1484" s="62">
        <v>12.25</v>
      </c>
      <c r="C1484" s="471">
        <v>1500</v>
      </c>
      <c r="D1484" s="471">
        <v>1491.2</v>
      </c>
      <c r="E1484" s="469">
        <v>40.98</v>
      </c>
      <c r="F1484" s="469">
        <v>8.4</v>
      </c>
      <c r="G1484" s="469">
        <v>5.6</v>
      </c>
      <c r="H1484" s="470">
        <v>166</v>
      </c>
      <c r="I1484" s="470">
        <v>781</v>
      </c>
      <c r="J1484" s="470">
        <v>3455</v>
      </c>
      <c r="K1484" s="469">
        <v>1.65</v>
      </c>
    </row>
    <row r="1485" spans="2:11" x14ac:dyDescent="0.35">
      <c r="B1485" s="62">
        <v>12.25</v>
      </c>
      <c r="C1485" s="471">
        <v>1501</v>
      </c>
      <c r="D1485" s="471">
        <v>1492.2</v>
      </c>
      <c r="E1485" s="469">
        <v>32.700000000000003</v>
      </c>
      <c r="F1485" s="469">
        <v>9.6</v>
      </c>
      <c r="G1485" s="469">
        <v>6.3</v>
      </c>
      <c r="H1485" s="470">
        <v>166</v>
      </c>
      <c r="I1485" s="470">
        <v>782</v>
      </c>
      <c r="J1485" s="470">
        <v>3479</v>
      </c>
      <c r="K1485" s="469">
        <v>1.65</v>
      </c>
    </row>
    <row r="1486" spans="2:11" x14ac:dyDescent="0.35">
      <c r="B1486" s="62">
        <v>12.25</v>
      </c>
      <c r="C1486" s="471">
        <v>1502</v>
      </c>
      <c r="D1486" s="471">
        <v>1493.2</v>
      </c>
      <c r="E1486" s="469">
        <v>43.92</v>
      </c>
      <c r="F1486" s="469">
        <v>8.1</v>
      </c>
      <c r="G1486" s="469">
        <v>5.0999999999999996</v>
      </c>
      <c r="H1486" s="470">
        <v>166</v>
      </c>
      <c r="I1486" s="470">
        <v>782</v>
      </c>
      <c r="J1486" s="470">
        <v>3449</v>
      </c>
      <c r="K1486" s="469">
        <v>1.65</v>
      </c>
    </row>
    <row r="1487" spans="2:11" x14ac:dyDescent="0.35">
      <c r="B1487" s="62">
        <v>12.25</v>
      </c>
      <c r="C1487" s="471">
        <v>1503</v>
      </c>
      <c r="D1487" s="471">
        <v>1494.2</v>
      </c>
      <c r="E1487" s="469">
        <v>48.98</v>
      </c>
      <c r="F1487" s="469">
        <v>6.9</v>
      </c>
      <c r="G1487" s="469">
        <v>5.5</v>
      </c>
      <c r="H1487" s="470">
        <v>163</v>
      </c>
      <c r="I1487" s="470">
        <v>749</v>
      </c>
      <c r="J1487" s="470">
        <v>3255</v>
      </c>
      <c r="K1487" s="469">
        <v>1.65</v>
      </c>
    </row>
    <row r="1488" spans="2:11" x14ac:dyDescent="0.35">
      <c r="B1488" s="62">
        <v>12.25</v>
      </c>
      <c r="C1488" s="471">
        <v>1504</v>
      </c>
      <c r="D1488" s="471">
        <v>1495.2</v>
      </c>
      <c r="E1488" s="469">
        <v>72.709999999999994</v>
      </c>
      <c r="F1488" s="469">
        <v>10.5</v>
      </c>
      <c r="G1488" s="469">
        <v>7</v>
      </c>
      <c r="H1488" s="470">
        <v>163</v>
      </c>
      <c r="I1488" s="470">
        <v>750</v>
      </c>
      <c r="J1488" s="470">
        <v>3374</v>
      </c>
      <c r="K1488" s="469">
        <v>1.65</v>
      </c>
    </row>
    <row r="1489" spans="2:11" x14ac:dyDescent="0.35">
      <c r="B1489" s="62">
        <v>12.25</v>
      </c>
      <c r="C1489" s="471">
        <v>1505</v>
      </c>
      <c r="D1489" s="471">
        <v>1496.2</v>
      </c>
      <c r="E1489" s="469">
        <v>70.97</v>
      </c>
      <c r="F1489" s="469">
        <v>10</v>
      </c>
      <c r="G1489" s="469">
        <v>6.8</v>
      </c>
      <c r="H1489" s="470">
        <v>163</v>
      </c>
      <c r="I1489" s="470">
        <v>751</v>
      </c>
      <c r="J1489" s="470">
        <v>3356</v>
      </c>
      <c r="K1489" s="469">
        <v>1.65</v>
      </c>
    </row>
    <row r="1490" spans="2:11" x14ac:dyDescent="0.35">
      <c r="B1490" s="62">
        <v>12.25</v>
      </c>
      <c r="C1490" s="471">
        <v>1506</v>
      </c>
      <c r="D1490" s="471">
        <v>1497.2</v>
      </c>
      <c r="E1490" s="469">
        <v>84.11</v>
      </c>
      <c r="F1490" s="469">
        <v>9.9</v>
      </c>
      <c r="G1490" s="469">
        <v>7.1</v>
      </c>
      <c r="H1490" s="470">
        <v>163</v>
      </c>
      <c r="I1490" s="470">
        <v>751</v>
      </c>
      <c r="J1490" s="470">
        <v>3375</v>
      </c>
      <c r="K1490" s="469">
        <v>1.65</v>
      </c>
    </row>
    <row r="1491" spans="2:11" x14ac:dyDescent="0.35">
      <c r="B1491" s="62">
        <v>12.25</v>
      </c>
      <c r="C1491" s="471">
        <v>1507</v>
      </c>
      <c r="D1491" s="471">
        <v>1498.1</v>
      </c>
      <c r="E1491" s="469">
        <v>67.099999999999994</v>
      </c>
      <c r="F1491" s="469">
        <v>10.5</v>
      </c>
      <c r="G1491" s="469">
        <v>7.2</v>
      </c>
      <c r="H1491" s="470">
        <v>163</v>
      </c>
      <c r="I1491" s="470">
        <v>750</v>
      </c>
      <c r="J1491" s="470">
        <v>3379</v>
      </c>
      <c r="K1491" s="469">
        <v>1.65</v>
      </c>
    </row>
    <row r="1492" spans="2:11" x14ac:dyDescent="0.35">
      <c r="B1492" s="62">
        <v>12.25</v>
      </c>
      <c r="C1492" s="471">
        <v>1508</v>
      </c>
      <c r="D1492" s="471">
        <v>1499.2</v>
      </c>
      <c r="E1492" s="469">
        <v>54.97</v>
      </c>
      <c r="F1492" s="469">
        <v>11.1</v>
      </c>
      <c r="G1492" s="469">
        <v>6.8</v>
      </c>
      <c r="H1492" s="470">
        <v>163</v>
      </c>
      <c r="I1492" s="470">
        <v>750</v>
      </c>
      <c r="J1492" s="470">
        <v>3360</v>
      </c>
      <c r="K1492" s="469">
        <v>1.65</v>
      </c>
    </row>
    <row r="1493" spans="2:11" x14ac:dyDescent="0.35">
      <c r="B1493" s="62">
        <v>12.25</v>
      </c>
      <c r="C1493" s="471">
        <v>1509</v>
      </c>
      <c r="D1493" s="471">
        <v>1500.2</v>
      </c>
      <c r="E1493" s="469">
        <v>58.2</v>
      </c>
      <c r="F1493" s="469">
        <v>10.4</v>
      </c>
      <c r="G1493" s="469">
        <v>5.9</v>
      </c>
      <c r="H1493" s="470">
        <v>163</v>
      </c>
      <c r="I1493" s="470">
        <v>752</v>
      </c>
      <c r="J1493" s="470">
        <v>3333</v>
      </c>
      <c r="K1493" s="469">
        <v>1.65</v>
      </c>
    </row>
    <row r="1494" spans="2:11" x14ac:dyDescent="0.35">
      <c r="B1494" s="62">
        <v>12.25</v>
      </c>
      <c r="C1494" s="471">
        <v>1510</v>
      </c>
      <c r="D1494" s="471">
        <v>1501.2</v>
      </c>
      <c r="E1494" s="469">
        <v>64.02</v>
      </c>
      <c r="F1494" s="469">
        <v>10.9</v>
      </c>
      <c r="G1494" s="469">
        <v>7.1</v>
      </c>
      <c r="H1494" s="470">
        <v>162</v>
      </c>
      <c r="I1494" s="470">
        <v>750</v>
      </c>
      <c r="J1494" s="470">
        <v>3339</v>
      </c>
      <c r="K1494" s="469">
        <v>1.65</v>
      </c>
    </row>
    <row r="1495" spans="2:11" x14ac:dyDescent="0.35">
      <c r="B1495" s="62">
        <v>12.25</v>
      </c>
      <c r="C1495" s="471">
        <v>1511</v>
      </c>
      <c r="D1495" s="471">
        <v>1502.1</v>
      </c>
      <c r="E1495" s="469">
        <v>42.56</v>
      </c>
      <c r="F1495" s="469">
        <v>13.4</v>
      </c>
      <c r="G1495" s="469">
        <v>6.7</v>
      </c>
      <c r="H1495" s="470">
        <v>165</v>
      </c>
      <c r="I1495" s="470">
        <v>771</v>
      </c>
      <c r="J1495" s="470">
        <v>3483</v>
      </c>
      <c r="K1495" s="469">
        <v>1.65</v>
      </c>
    </row>
    <row r="1496" spans="2:11" x14ac:dyDescent="0.35">
      <c r="B1496" s="62">
        <v>12.25</v>
      </c>
      <c r="C1496" s="471">
        <v>1512</v>
      </c>
      <c r="D1496" s="471">
        <v>1503.1</v>
      </c>
      <c r="E1496" s="469">
        <v>84.68</v>
      </c>
      <c r="F1496" s="469">
        <v>10.9</v>
      </c>
      <c r="G1496" s="469">
        <v>7</v>
      </c>
      <c r="H1496" s="470">
        <v>166</v>
      </c>
      <c r="I1496" s="470">
        <v>779</v>
      </c>
      <c r="J1496" s="470">
        <v>3541</v>
      </c>
      <c r="K1496" s="469">
        <v>1.65</v>
      </c>
    </row>
    <row r="1497" spans="2:11" x14ac:dyDescent="0.35">
      <c r="B1497" s="62">
        <v>12.25</v>
      </c>
      <c r="C1497" s="471">
        <v>1513</v>
      </c>
      <c r="D1497" s="471">
        <v>1504.1</v>
      </c>
      <c r="E1497" s="469">
        <v>88.71</v>
      </c>
      <c r="F1497" s="469">
        <v>12.2</v>
      </c>
      <c r="G1497" s="469">
        <v>7.4</v>
      </c>
      <c r="H1497" s="470">
        <v>166</v>
      </c>
      <c r="I1497" s="470">
        <v>778</v>
      </c>
      <c r="J1497" s="470">
        <v>3592</v>
      </c>
      <c r="K1497" s="469">
        <v>1.65</v>
      </c>
    </row>
    <row r="1498" spans="2:11" x14ac:dyDescent="0.35">
      <c r="B1498" s="62">
        <v>12.25</v>
      </c>
      <c r="C1498" s="471">
        <v>1514</v>
      </c>
      <c r="D1498" s="471">
        <v>1505.1</v>
      </c>
      <c r="E1498" s="469">
        <v>74.06</v>
      </c>
      <c r="F1498" s="469">
        <v>11.4</v>
      </c>
      <c r="G1498" s="469">
        <v>7.4</v>
      </c>
      <c r="H1498" s="470">
        <v>166</v>
      </c>
      <c r="I1498" s="470">
        <v>782</v>
      </c>
      <c r="J1498" s="470">
        <v>3580</v>
      </c>
      <c r="K1498" s="469">
        <v>1.65</v>
      </c>
    </row>
    <row r="1499" spans="2:11" x14ac:dyDescent="0.35">
      <c r="B1499" s="62">
        <v>12.25</v>
      </c>
      <c r="C1499" s="471">
        <v>1515</v>
      </c>
      <c r="D1499" s="471">
        <v>1506.1</v>
      </c>
      <c r="E1499" s="469">
        <v>69.569999999999993</v>
      </c>
      <c r="F1499" s="469">
        <v>12.2</v>
      </c>
      <c r="G1499" s="469">
        <v>7.8</v>
      </c>
      <c r="H1499" s="470">
        <v>165</v>
      </c>
      <c r="I1499" s="470">
        <v>777</v>
      </c>
      <c r="J1499" s="470">
        <v>3594</v>
      </c>
      <c r="K1499" s="469">
        <v>1.65</v>
      </c>
    </row>
    <row r="1500" spans="2:11" x14ac:dyDescent="0.35">
      <c r="B1500" s="62">
        <v>12.25</v>
      </c>
      <c r="C1500" s="471">
        <v>1516</v>
      </c>
      <c r="D1500" s="471">
        <v>1507.1</v>
      </c>
      <c r="E1500" s="469">
        <v>68.19</v>
      </c>
      <c r="F1500" s="469">
        <v>13.4</v>
      </c>
      <c r="G1500" s="469">
        <v>7.8</v>
      </c>
      <c r="H1500" s="470">
        <v>166</v>
      </c>
      <c r="I1500" s="470">
        <v>780</v>
      </c>
      <c r="J1500" s="470">
        <v>3627</v>
      </c>
      <c r="K1500" s="469">
        <v>1.65</v>
      </c>
    </row>
    <row r="1501" spans="2:11" x14ac:dyDescent="0.35">
      <c r="B1501" s="62">
        <v>12.25</v>
      </c>
      <c r="C1501" s="471">
        <v>1517</v>
      </c>
      <c r="D1501" s="471">
        <v>1508.1</v>
      </c>
      <c r="E1501" s="469">
        <v>81.760000000000005</v>
      </c>
      <c r="F1501" s="469">
        <v>12.6</v>
      </c>
      <c r="G1501" s="469">
        <v>8.1</v>
      </c>
      <c r="H1501" s="470">
        <v>166</v>
      </c>
      <c r="I1501" s="470">
        <v>781</v>
      </c>
      <c r="J1501" s="470">
        <v>3621</v>
      </c>
      <c r="K1501" s="469">
        <v>1.65</v>
      </c>
    </row>
    <row r="1502" spans="2:11" x14ac:dyDescent="0.35">
      <c r="B1502" s="62">
        <v>12.25</v>
      </c>
      <c r="C1502" s="471">
        <v>1518</v>
      </c>
      <c r="D1502" s="471">
        <v>1509.1</v>
      </c>
      <c r="E1502" s="469">
        <v>92.13</v>
      </c>
      <c r="F1502" s="469">
        <v>12.1</v>
      </c>
      <c r="G1502" s="469">
        <v>7.1</v>
      </c>
      <c r="H1502" s="470">
        <v>166</v>
      </c>
      <c r="I1502" s="470">
        <v>778</v>
      </c>
      <c r="J1502" s="470">
        <v>3632</v>
      </c>
      <c r="K1502" s="469">
        <v>1.65</v>
      </c>
    </row>
    <row r="1503" spans="2:11" x14ac:dyDescent="0.35">
      <c r="B1503" s="62">
        <v>12.25</v>
      </c>
      <c r="C1503" s="471">
        <v>1519</v>
      </c>
      <c r="D1503" s="471">
        <v>1510.1</v>
      </c>
      <c r="E1503" s="469">
        <v>56.94</v>
      </c>
      <c r="F1503" s="469">
        <v>13.1</v>
      </c>
      <c r="G1503" s="469">
        <v>5.7</v>
      </c>
      <c r="H1503" s="470">
        <v>166</v>
      </c>
      <c r="I1503" s="470">
        <v>779</v>
      </c>
      <c r="J1503" s="470">
        <v>3620</v>
      </c>
      <c r="K1503" s="469">
        <v>1.65</v>
      </c>
    </row>
    <row r="1504" spans="2:11" x14ac:dyDescent="0.35">
      <c r="B1504" s="62">
        <v>12.25</v>
      </c>
      <c r="C1504" s="471">
        <v>1520</v>
      </c>
      <c r="D1504" s="471">
        <v>1511.1</v>
      </c>
      <c r="E1504" s="469">
        <v>67.5</v>
      </c>
      <c r="F1504" s="469">
        <v>11.9</v>
      </c>
      <c r="G1504" s="469">
        <v>6</v>
      </c>
      <c r="H1504" s="470">
        <v>166</v>
      </c>
      <c r="I1504" s="470">
        <v>780</v>
      </c>
      <c r="J1504" s="470">
        <v>3583</v>
      </c>
      <c r="K1504" s="469">
        <v>1.65</v>
      </c>
    </row>
    <row r="1505" spans="2:11" x14ac:dyDescent="0.35">
      <c r="B1505" s="62">
        <v>12.25</v>
      </c>
      <c r="C1505" s="471">
        <v>1521</v>
      </c>
      <c r="D1505" s="471">
        <v>1512.1</v>
      </c>
      <c r="E1505" s="469">
        <v>79.55</v>
      </c>
      <c r="F1505" s="469">
        <v>11.7</v>
      </c>
      <c r="G1505" s="469">
        <v>6.8</v>
      </c>
      <c r="H1505" s="470">
        <v>166</v>
      </c>
      <c r="I1505" s="470">
        <v>778</v>
      </c>
      <c r="J1505" s="470">
        <v>3611</v>
      </c>
      <c r="K1505" s="469">
        <v>1.65</v>
      </c>
    </row>
    <row r="1506" spans="2:11" x14ac:dyDescent="0.35">
      <c r="B1506" s="62">
        <v>12.25</v>
      </c>
      <c r="C1506" s="471">
        <v>1522</v>
      </c>
      <c r="D1506" s="471">
        <v>1513.1</v>
      </c>
      <c r="E1506" s="469">
        <v>71.73</v>
      </c>
      <c r="F1506" s="469">
        <v>13</v>
      </c>
      <c r="G1506" s="469">
        <v>6.4</v>
      </c>
      <c r="H1506" s="470">
        <v>166</v>
      </c>
      <c r="I1506" s="470">
        <v>778</v>
      </c>
      <c r="J1506" s="470">
        <v>3624</v>
      </c>
      <c r="K1506" s="469">
        <v>1.65</v>
      </c>
    </row>
    <row r="1507" spans="2:11" x14ac:dyDescent="0.35">
      <c r="B1507" s="62">
        <v>12.25</v>
      </c>
      <c r="C1507" s="471">
        <v>1523</v>
      </c>
      <c r="D1507" s="471">
        <v>1514.1</v>
      </c>
      <c r="E1507" s="469">
        <v>84.48</v>
      </c>
      <c r="F1507" s="469">
        <v>11.5</v>
      </c>
      <c r="G1507" s="469">
        <v>6.2</v>
      </c>
      <c r="H1507" s="470">
        <v>166</v>
      </c>
      <c r="I1507" s="470">
        <v>780</v>
      </c>
      <c r="J1507" s="470">
        <v>3589</v>
      </c>
      <c r="K1507" s="469">
        <v>1.65</v>
      </c>
    </row>
    <row r="1508" spans="2:11" x14ac:dyDescent="0.35">
      <c r="B1508" s="62">
        <v>12.25</v>
      </c>
      <c r="C1508" s="471">
        <v>1524</v>
      </c>
      <c r="D1508" s="471">
        <v>1515.1</v>
      </c>
      <c r="E1508" s="469">
        <v>79.62</v>
      </c>
      <c r="F1508" s="469">
        <v>11.9</v>
      </c>
      <c r="G1508" s="469">
        <v>6.8</v>
      </c>
      <c r="H1508" s="470">
        <v>166</v>
      </c>
      <c r="I1508" s="470">
        <v>781</v>
      </c>
      <c r="J1508" s="470">
        <v>3619</v>
      </c>
      <c r="K1508" s="469">
        <v>1.65</v>
      </c>
    </row>
    <row r="1509" spans="2:11" x14ac:dyDescent="0.35">
      <c r="B1509" s="62">
        <v>12.25</v>
      </c>
      <c r="C1509" s="471">
        <v>1525</v>
      </c>
      <c r="D1509" s="471">
        <v>1516.1</v>
      </c>
      <c r="E1509" s="469">
        <v>17.41</v>
      </c>
      <c r="F1509" s="469">
        <v>8.9</v>
      </c>
      <c r="G1509" s="469">
        <v>5.6</v>
      </c>
      <c r="H1509" s="470">
        <v>154</v>
      </c>
      <c r="I1509" s="470">
        <v>768</v>
      </c>
      <c r="J1509" s="470">
        <v>3450</v>
      </c>
      <c r="K1509" s="469">
        <v>1.65</v>
      </c>
    </row>
    <row r="1510" spans="2:11" x14ac:dyDescent="0.35">
      <c r="B1510" s="62">
        <v>12.25</v>
      </c>
      <c r="C1510" s="471">
        <v>1526</v>
      </c>
      <c r="D1510" s="471">
        <v>1517</v>
      </c>
      <c r="E1510" s="469">
        <v>30.52</v>
      </c>
      <c r="F1510" s="469">
        <v>8.4</v>
      </c>
      <c r="G1510" s="469">
        <v>5.7</v>
      </c>
      <c r="H1510" s="470">
        <v>165</v>
      </c>
      <c r="I1510" s="470">
        <v>765</v>
      </c>
      <c r="J1510" s="470">
        <v>3340</v>
      </c>
      <c r="K1510" s="469">
        <v>1.66</v>
      </c>
    </row>
    <row r="1511" spans="2:11" x14ac:dyDescent="0.35">
      <c r="B1511" s="62">
        <v>12.25</v>
      </c>
      <c r="C1511" s="471">
        <v>1527</v>
      </c>
      <c r="D1511" s="471">
        <v>1518.1</v>
      </c>
      <c r="E1511" s="469">
        <v>51.23</v>
      </c>
      <c r="F1511" s="469">
        <v>9.1</v>
      </c>
      <c r="G1511" s="469">
        <v>7</v>
      </c>
      <c r="H1511" s="470">
        <v>166</v>
      </c>
      <c r="I1511" s="470">
        <v>772</v>
      </c>
      <c r="J1511" s="470">
        <v>3500</v>
      </c>
      <c r="K1511" s="469">
        <v>1.66</v>
      </c>
    </row>
    <row r="1512" spans="2:11" x14ac:dyDescent="0.35">
      <c r="B1512" s="62">
        <v>12.25</v>
      </c>
      <c r="C1512" s="471">
        <v>1528</v>
      </c>
      <c r="D1512" s="471">
        <v>1519</v>
      </c>
      <c r="E1512" s="469">
        <v>52.18</v>
      </c>
      <c r="F1512" s="469">
        <v>10.1</v>
      </c>
      <c r="G1512" s="469">
        <v>6.3</v>
      </c>
      <c r="H1512" s="470">
        <v>165</v>
      </c>
      <c r="I1512" s="470">
        <v>769</v>
      </c>
      <c r="J1512" s="470">
        <v>3561</v>
      </c>
      <c r="K1512" s="469">
        <v>1.66</v>
      </c>
    </row>
    <row r="1513" spans="2:11" x14ac:dyDescent="0.35">
      <c r="B1513" s="62">
        <v>12.25</v>
      </c>
      <c r="C1513" s="471">
        <v>1529</v>
      </c>
      <c r="D1513" s="471">
        <v>1520</v>
      </c>
      <c r="E1513" s="469">
        <v>60.67</v>
      </c>
      <c r="F1513" s="469">
        <v>9.1</v>
      </c>
      <c r="G1513" s="469">
        <v>6.9</v>
      </c>
      <c r="H1513" s="470">
        <v>166</v>
      </c>
      <c r="I1513" s="470">
        <v>771</v>
      </c>
      <c r="J1513" s="470">
        <v>3559</v>
      </c>
      <c r="K1513" s="469">
        <v>1.66</v>
      </c>
    </row>
    <row r="1514" spans="2:11" x14ac:dyDescent="0.35">
      <c r="B1514" s="62">
        <v>12.25</v>
      </c>
      <c r="C1514" s="471">
        <v>1530</v>
      </c>
      <c r="D1514" s="471">
        <v>1521</v>
      </c>
      <c r="E1514" s="469">
        <v>77.97</v>
      </c>
      <c r="F1514" s="469">
        <v>9.3000000000000007</v>
      </c>
      <c r="G1514" s="469">
        <v>6.9</v>
      </c>
      <c r="H1514" s="470">
        <v>166</v>
      </c>
      <c r="I1514" s="470">
        <v>769</v>
      </c>
      <c r="J1514" s="470">
        <v>3561</v>
      </c>
      <c r="K1514" s="469">
        <v>1.66</v>
      </c>
    </row>
    <row r="1515" spans="2:11" x14ac:dyDescent="0.35">
      <c r="B1515" s="62">
        <v>12.25</v>
      </c>
      <c r="C1515" s="471">
        <v>1531</v>
      </c>
      <c r="D1515" s="471">
        <v>1522</v>
      </c>
      <c r="E1515" s="469">
        <v>73.430000000000007</v>
      </c>
      <c r="F1515" s="469">
        <v>11</v>
      </c>
      <c r="G1515" s="469">
        <v>6.1</v>
      </c>
      <c r="H1515" s="470">
        <v>166</v>
      </c>
      <c r="I1515" s="470">
        <v>770</v>
      </c>
      <c r="J1515" s="470">
        <v>3582</v>
      </c>
      <c r="K1515" s="469">
        <v>1.66</v>
      </c>
    </row>
    <row r="1516" spans="2:11" x14ac:dyDescent="0.35">
      <c r="B1516" s="62">
        <v>12.25</v>
      </c>
      <c r="C1516" s="471">
        <v>1532</v>
      </c>
      <c r="D1516" s="471">
        <v>1523</v>
      </c>
      <c r="E1516" s="469">
        <v>74.72</v>
      </c>
      <c r="F1516" s="469">
        <v>11.2</v>
      </c>
      <c r="G1516" s="469">
        <v>6.4</v>
      </c>
      <c r="H1516" s="470">
        <v>165</v>
      </c>
      <c r="I1516" s="470">
        <v>771</v>
      </c>
      <c r="J1516" s="470">
        <v>3592</v>
      </c>
      <c r="K1516" s="469">
        <v>1.66</v>
      </c>
    </row>
    <row r="1517" spans="2:11" x14ac:dyDescent="0.35">
      <c r="B1517" s="62">
        <v>12.25</v>
      </c>
      <c r="C1517" s="471">
        <v>1533</v>
      </c>
      <c r="D1517" s="471">
        <v>1524</v>
      </c>
      <c r="E1517" s="469">
        <v>54.85</v>
      </c>
      <c r="F1517" s="469">
        <v>10.7</v>
      </c>
      <c r="G1517" s="469">
        <v>6</v>
      </c>
      <c r="H1517" s="470">
        <v>166</v>
      </c>
      <c r="I1517" s="470">
        <v>771</v>
      </c>
      <c r="J1517" s="470">
        <v>3557</v>
      </c>
      <c r="K1517" s="469">
        <v>1.66</v>
      </c>
    </row>
    <row r="1518" spans="2:11" x14ac:dyDescent="0.35">
      <c r="B1518" s="62">
        <v>12.25</v>
      </c>
      <c r="C1518" s="471">
        <v>1534</v>
      </c>
      <c r="D1518" s="471">
        <v>1525</v>
      </c>
      <c r="E1518" s="469">
        <v>55.24</v>
      </c>
      <c r="F1518" s="469">
        <v>10.6</v>
      </c>
      <c r="G1518" s="469">
        <v>6.1</v>
      </c>
      <c r="H1518" s="470">
        <v>166</v>
      </c>
      <c r="I1518" s="470">
        <v>771</v>
      </c>
      <c r="J1518" s="470">
        <v>3568</v>
      </c>
      <c r="K1518" s="469">
        <v>1.66</v>
      </c>
    </row>
    <row r="1519" spans="2:11" x14ac:dyDescent="0.35">
      <c r="B1519" s="62">
        <v>12.25</v>
      </c>
      <c r="C1519" s="471">
        <v>1535</v>
      </c>
      <c r="D1519" s="471">
        <v>1526</v>
      </c>
      <c r="E1519" s="469">
        <v>69.569999999999993</v>
      </c>
      <c r="F1519" s="469">
        <v>11.9</v>
      </c>
      <c r="G1519" s="469">
        <v>7.9</v>
      </c>
      <c r="H1519" s="470">
        <v>165</v>
      </c>
      <c r="I1519" s="470">
        <v>767</v>
      </c>
      <c r="J1519" s="470">
        <v>3597</v>
      </c>
      <c r="K1519" s="469">
        <v>1.66</v>
      </c>
    </row>
    <row r="1520" spans="2:11" x14ac:dyDescent="0.35">
      <c r="B1520" s="62">
        <v>12.25</v>
      </c>
      <c r="C1520" s="471">
        <v>1536</v>
      </c>
      <c r="D1520" s="471">
        <v>1527</v>
      </c>
      <c r="E1520" s="469">
        <v>74.02</v>
      </c>
      <c r="F1520" s="469">
        <v>12.6</v>
      </c>
      <c r="G1520" s="469">
        <v>8.1</v>
      </c>
      <c r="H1520" s="470">
        <v>165</v>
      </c>
      <c r="I1520" s="470">
        <v>766</v>
      </c>
      <c r="J1520" s="470">
        <v>3632</v>
      </c>
      <c r="K1520" s="469">
        <v>1.66</v>
      </c>
    </row>
    <row r="1521" spans="2:11" x14ac:dyDescent="0.35">
      <c r="B1521" s="62">
        <v>12.25</v>
      </c>
      <c r="C1521" s="471">
        <v>1537</v>
      </c>
      <c r="D1521" s="471">
        <v>1528</v>
      </c>
      <c r="E1521" s="469">
        <v>64.67</v>
      </c>
      <c r="F1521" s="469">
        <v>11.6</v>
      </c>
      <c r="G1521" s="469">
        <v>7.4</v>
      </c>
      <c r="H1521" s="470">
        <v>165</v>
      </c>
      <c r="I1521" s="470">
        <v>770</v>
      </c>
      <c r="J1521" s="470">
        <v>3596</v>
      </c>
      <c r="K1521" s="469">
        <v>1.66</v>
      </c>
    </row>
    <row r="1522" spans="2:11" x14ac:dyDescent="0.35">
      <c r="B1522" s="62">
        <v>12.25</v>
      </c>
      <c r="C1522" s="471">
        <v>1538</v>
      </c>
      <c r="D1522" s="471">
        <v>1528.8</v>
      </c>
      <c r="E1522" s="469">
        <v>48.36</v>
      </c>
      <c r="F1522" s="469">
        <v>10.8</v>
      </c>
      <c r="G1522" s="469">
        <v>7</v>
      </c>
      <c r="H1522" s="470">
        <v>166</v>
      </c>
      <c r="I1522" s="470">
        <v>777</v>
      </c>
      <c r="J1522" s="470">
        <v>3582</v>
      </c>
      <c r="K1522" s="469">
        <v>1.66</v>
      </c>
    </row>
    <row r="1523" spans="2:11" x14ac:dyDescent="0.35">
      <c r="B1523" s="62">
        <v>12.25</v>
      </c>
      <c r="C1523" s="471">
        <v>1539</v>
      </c>
      <c r="D1523" s="471">
        <v>1529.8</v>
      </c>
      <c r="E1523" s="469">
        <v>61.43</v>
      </c>
      <c r="F1523" s="469">
        <v>11.6</v>
      </c>
      <c r="G1523" s="469">
        <v>7.2</v>
      </c>
      <c r="H1523" s="470">
        <v>166</v>
      </c>
      <c r="I1523" s="470">
        <v>778</v>
      </c>
      <c r="J1523" s="470">
        <v>3593</v>
      </c>
      <c r="K1523" s="469">
        <v>1.66</v>
      </c>
    </row>
    <row r="1524" spans="2:11" x14ac:dyDescent="0.35">
      <c r="B1524" s="62">
        <v>12.25</v>
      </c>
      <c r="C1524" s="471">
        <v>1540</v>
      </c>
      <c r="D1524" s="471">
        <v>1530.8</v>
      </c>
      <c r="E1524" s="469">
        <v>86.07</v>
      </c>
      <c r="F1524" s="469">
        <v>11.4</v>
      </c>
      <c r="G1524" s="469">
        <v>7.2</v>
      </c>
      <c r="H1524" s="470">
        <v>167</v>
      </c>
      <c r="I1524" s="470">
        <v>777</v>
      </c>
      <c r="J1524" s="470">
        <v>3616</v>
      </c>
      <c r="K1524" s="469">
        <v>1.66</v>
      </c>
    </row>
    <row r="1525" spans="2:11" x14ac:dyDescent="0.35">
      <c r="B1525" s="62">
        <v>12.25</v>
      </c>
      <c r="C1525" s="471">
        <v>1541</v>
      </c>
      <c r="D1525" s="471">
        <v>1531.8</v>
      </c>
      <c r="E1525" s="469">
        <v>60.91</v>
      </c>
      <c r="F1525" s="469">
        <v>11.9</v>
      </c>
      <c r="G1525" s="469">
        <v>5.9</v>
      </c>
      <c r="H1525" s="470">
        <v>166</v>
      </c>
      <c r="I1525" s="470">
        <v>778</v>
      </c>
      <c r="J1525" s="470">
        <v>3610</v>
      </c>
      <c r="K1525" s="469">
        <v>1.66</v>
      </c>
    </row>
    <row r="1526" spans="2:11" x14ac:dyDescent="0.35">
      <c r="B1526" s="62">
        <v>12.25</v>
      </c>
      <c r="C1526" s="471">
        <v>1542</v>
      </c>
      <c r="D1526" s="471">
        <v>1532.8</v>
      </c>
      <c r="E1526" s="469">
        <v>83.09</v>
      </c>
      <c r="F1526" s="469">
        <v>9.5</v>
      </c>
      <c r="G1526" s="469">
        <v>6.7</v>
      </c>
      <c r="H1526" s="470">
        <v>167</v>
      </c>
      <c r="I1526" s="470">
        <v>779</v>
      </c>
      <c r="J1526" s="470">
        <v>3570</v>
      </c>
      <c r="K1526" s="469">
        <v>1.66</v>
      </c>
    </row>
    <row r="1527" spans="2:11" x14ac:dyDescent="0.35">
      <c r="B1527" s="62">
        <v>12.25</v>
      </c>
      <c r="C1527" s="471">
        <v>1543</v>
      </c>
      <c r="D1527" s="471">
        <v>1533.8</v>
      </c>
      <c r="E1527" s="469">
        <v>66.23</v>
      </c>
      <c r="F1527" s="469">
        <v>10.5</v>
      </c>
      <c r="G1527" s="469">
        <v>6.6</v>
      </c>
      <c r="H1527" s="470">
        <v>166</v>
      </c>
      <c r="I1527" s="470">
        <v>778</v>
      </c>
      <c r="J1527" s="470">
        <v>3607</v>
      </c>
      <c r="K1527" s="469">
        <v>1.66</v>
      </c>
    </row>
    <row r="1528" spans="2:11" x14ac:dyDescent="0.35">
      <c r="B1528" s="62">
        <v>12.25</v>
      </c>
      <c r="C1528" s="471">
        <v>1544</v>
      </c>
      <c r="D1528" s="471">
        <v>1534.8</v>
      </c>
      <c r="E1528" s="469">
        <v>56.95</v>
      </c>
      <c r="F1528" s="469">
        <v>9.1999999999999993</v>
      </c>
      <c r="G1528" s="469">
        <v>6.8</v>
      </c>
      <c r="H1528" s="470">
        <v>167</v>
      </c>
      <c r="I1528" s="470">
        <v>780</v>
      </c>
      <c r="J1528" s="470">
        <v>3534</v>
      </c>
      <c r="K1528" s="469">
        <v>1.66</v>
      </c>
    </row>
    <row r="1529" spans="2:11" x14ac:dyDescent="0.35">
      <c r="B1529" s="62">
        <v>12.25</v>
      </c>
      <c r="C1529" s="471">
        <v>1545</v>
      </c>
      <c r="D1529" s="471">
        <v>1535.8</v>
      </c>
      <c r="E1529" s="469">
        <v>80.55</v>
      </c>
      <c r="F1529" s="469">
        <v>8.3000000000000007</v>
      </c>
      <c r="G1529" s="469">
        <v>6.4</v>
      </c>
      <c r="H1529" s="470">
        <v>167</v>
      </c>
      <c r="I1529" s="470">
        <v>782</v>
      </c>
      <c r="J1529" s="470">
        <v>3548</v>
      </c>
      <c r="K1529" s="469">
        <v>1.66</v>
      </c>
    </row>
    <row r="1530" spans="2:11" x14ac:dyDescent="0.35">
      <c r="B1530" s="62">
        <v>12.25</v>
      </c>
      <c r="C1530" s="471">
        <v>1546</v>
      </c>
      <c r="D1530" s="471">
        <v>1536.8</v>
      </c>
      <c r="E1530" s="469">
        <v>70.2</v>
      </c>
      <c r="F1530" s="469">
        <v>10.4</v>
      </c>
      <c r="G1530" s="469">
        <v>6</v>
      </c>
      <c r="H1530" s="470">
        <v>166</v>
      </c>
      <c r="I1530" s="470">
        <v>779</v>
      </c>
      <c r="J1530" s="470">
        <v>3604</v>
      </c>
      <c r="K1530" s="469">
        <v>1.66</v>
      </c>
    </row>
    <row r="1531" spans="2:11" x14ac:dyDescent="0.35">
      <c r="B1531" s="62">
        <v>12.25</v>
      </c>
      <c r="C1531" s="471">
        <v>1547</v>
      </c>
      <c r="D1531" s="471">
        <v>1537.8</v>
      </c>
      <c r="E1531" s="469">
        <v>41.81</v>
      </c>
      <c r="F1531" s="469">
        <v>9.8000000000000007</v>
      </c>
      <c r="G1531" s="469">
        <v>5.6</v>
      </c>
      <c r="H1531" s="470">
        <v>167</v>
      </c>
      <c r="I1531" s="470">
        <v>784</v>
      </c>
      <c r="J1531" s="470">
        <v>3514</v>
      </c>
      <c r="K1531" s="469">
        <v>1.66</v>
      </c>
    </row>
    <row r="1532" spans="2:11" x14ac:dyDescent="0.35">
      <c r="B1532" s="62">
        <v>12.25</v>
      </c>
      <c r="C1532" s="471">
        <v>1548</v>
      </c>
      <c r="D1532" s="471">
        <v>1538.8</v>
      </c>
      <c r="E1532" s="469">
        <v>42.7</v>
      </c>
      <c r="F1532" s="469">
        <v>11.2</v>
      </c>
      <c r="G1532" s="469">
        <v>5.9</v>
      </c>
      <c r="H1532" s="470">
        <v>167</v>
      </c>
      <c r="I1532" s="470">
        <v>782</v>
      </c>
      <c r="J1532" s="470">
        <v>3537</v>
      </c>
      <c r="K1532" s="469">
        <v>1.66</v>
      </c>
    </row>
    <row r="1533" spans="2:11" x14ac:dyDescent="0.35">
      <c r="B1533" s="62">
        <v>12.25</v>
      </c>
      <c r="C1533" s="471">
        <v>1549</v>
      </c>
      <c r="D1533" s="471">
        <v>1539.7</v>
      </c>
      <c r="E1533" s="469">
        <v>43.45</v>
      </c>
      <c r="F1533" s="469">
        <v>12.7</v>
      </c>
      <c r="G1533" s="469">
        <v>6.5</v>
      </c>
      <c r="H1533" s="470">
        <v>167</v>
      </c>
      <c r="I1533" s="470">
        <v>780</v>
      </c>
      <c r="J1533" s="470">
        <v>3575</v>
      </c>
      <c r="K1533" s="469">
        <v>1.66</v>
      </c>
    </row>
    <row r="1534" spans="2:11" x14ac:dyDescent="0.35">
      <c r="B1534" s="62">
        <v>12.25</v>
      </c>
      <c r="C1534" s="471">
        <v>1550</v>
      </c>
      <c r="D1534" s="471">
        <v>1540.7</v>
      </c>
      <c r="E1534" s="469">
        <v>51.62</v>
      </c>
      <c r="F1534" s="469">
        <v>13.5</v>
      </c>
      <c r="G1534" s="469">
        <v>7.3</v>
      </c>
      <c r="H1534" s="470">
        <v>166</v>
      </c>
      <c r="I1534" s="470">
        <v>777</v>
      </c>
      <c r="J1534" s="470">
        <v>3608</v>
      </c>
      <c r="K1534" s="469">
        <v>1.66</v>
      </c>
    </row>
    <row r="1535" spans="2:11" x14ac:dyDescent="0.35">
      <c r="B1535" s="62">
        <v>12.25</v>
      </c>
      <c r="C1535" s="471">
        <v>1551</v>
      </c>
      <c r="D1535" s="471">
        <v>1541.8</v>
      </c>
      <c r="E1535" s="469">
        <v>49.81</v>
      </c>
      <c r="F1535" s="469">
        <v>12.8</v>
      </c>
      <c r="G1535" s="469">
        <v>7.6</v>
      </c>
      <c r="H1535" s="470">
        <v>166</v>
      </c>
      <c r="I1535" s="470">
        <v>779</v>
      </c>
      <c r="J1535" s="470">
        <v>3597</v>
      </c>
      <c r="K1535" s="469">
        <v>1.66</v>
      </c>
    </row>
    <row r="1536" spans="2:11" x14ac:dyDescent="0.35">
      <c r="B1536" s="62">
        <v>12.25</v>
      </c>
      <c r="C1536" s="471">
        <v>1552</v>
      </c>
      <c r="D1536" s="471">
        <v>1542.7</v>
      </c>
      <c r="E1536" s="469">
        <v>58.39</v>
      </c>
      <c r="F1536" s="469">
        <v>13.5</v>
      </c>
      <c r="G1536" s="469">
        <v>8.1</v>
      </c>
      <c r="H1536" s="470">
        <v>166</v>
      </c>
      <c r="I1536" s="470">
        <v>776</v>
      </c>
      <c r="J1536" s="470">
        <v>3640</v>
      </c>
      <c r="K1536" s="469">
        <v>1.66</v>
      </c>
    </row>
    <row r="1537" spans="2:11" x14ac:dyDescent="0.35">
      <c r="B1537" s="62">
        <v>12.25</v>
      </c>
      <c r="C1537" s="471">
        <v>1553</v>
      </c>
      <c r="D1537" s="471">
        <v>1543.7</v>
      </c>
      <c r="E1537" s="469">
        <v>61.43</v>
      </c>
      <c r="F1537" s="469">
        <v>12.7</v>
      </c>
      <c r="G1537" s="469">
        <v>7.8</v>
      </c>
      <c r="H1537" s="470">
        <v>166</v>
      </c>
      <c r="I1537" s="470">
        <v>776</v>
      </c>
      <c r="J1537" s="470">
        <v>3636</v>
      </c>
      <c r="K1537" s="469">
        <v>1.66</v>
      </c>
    </row>
    <row r="1538" spans="2:11" x14ac:dyDescent="0.35">
      <c r="B1538" s="62">
        <v>12.25</v>
      </c>
      <c r="C1538" s="471">
        <v>1554</v>
      </c>
      <c r="D1538" s="471">
        <v>1544.8</v>
      </c>
      <c r="E1538" s="469">
        <v>4.68</v>
      </c>
      <c r="F1538" s="469">
        <v>8.1</v>
      </c>
      <c r="G1538" s="469">
        <v>4.9000000000000004</v>
      </c>
      <c r="H1538" s="470">
        <v>167</v>
      </c>
      <c r="I1538" s="470">
        <v>782</v>
      </c>
      <c r="J1538" s="470">
        <v>3451</v>
      </c>
      <c r="K1538" s="469">
        <v>1.66</v>
      </c>
    </row>
    <row r="1539" spans="2:11" x14ac:dyDescent="0.35">
      <c r="B1539" s="62">
        <v>12.25</v>
      </c>
      <c r="C1539" s="471">
        <v>1555</v>
      </c>
      <c r="D1539" s="471">
        <v>1545.8</v>
      </c>
      <c r="E1539" s="469">
        <v>46.85</v>
      </c>
      <c r="F1539" s="469">
        <v>9</v>
      </c>
      <c r="G1539" s="469">
        <v>6.2</v>
      </c>
      <c r="H1539" s="470">
        <v>165</v>
      </c>
      <c r="I1539" s="470">
        <v>781</v>
      </c>
      <c r="J1539" s="470">
        <v>3628</v>
      </c>
      <c r="K1539" s="469">
        <v>1.66</v>
      </c>
    </row>
    <row r="1540" spans="2:11" x14ac:dyDescent="0.35">
      <c r="B1540" s="62">
        <v>12.25</v>
      </c>
      <c r="C1540" s="471">
        <v>1556</v>
      </c>
      <c r="D1540" s="471">
        <v>1546.8</v>
      </c>
      <c r="E1540" s="469">
        <v>41.41</v>
      </c>
      <c r="F1540" s="469">
        <v>6.4</v>
      </c>
      <c r="G1540" s="469">
        <v>5.6</v>
      </c>
      <c r="H1540" s="470">
        <v>166</v>
      </c>
      <c r="I1540" s="470">
        <v>784</v>
      </c>
      <c r="J1540" s="470">
        <v>3564</v>
      </c>
      <c r="K1540" s="469">
        <v>1.66</v>
      </c>
    </row>
    <row r="1541" spans="2:11" x14ac:dyDescent="0.35">
      <c r="B1541" s="62">
        <v>12.25</v>
      </c>
      <c r="C1541" s="471">
        <v>1557</v>
      </c>
      <c r="D1541" s="471">
        <v>1547.7</v>
      </c>
      <c r="E1541" s="469">
        <v>43.53</v>
      </c>
      <c r="F1541" s="469">
        <v>7.3</v>
      </c>
      <c r="G1541" s="469">
        <v>5</v>
      </c>
      <c r="H1541" s="470">
        <v>166</v>
      </c>
      <c r="I1541" s="470">
        <v>784</v>
      </c>
      <c r="J1541" s="470">
        <v>3567</v>
      </c>
      <c r="K1541" s="469">
        <v>1.66</v>
      </c>
    </row>
    <row r="1542" spans="2:11" x14ac:dyDescent="0.35">
      <c r="B1542" s="62">
        <v>12.25</v>
      </c>
      <c r="C1542" s="471">
        <v>1558</v>
      </c>
      <c r="D1542" s="471">
        <v>1548.7</v>
      </c>
      <c r="E1542" s="469">
        <v>55.18</v>
      </c>
      <c r="F1542" s="469">
        <v>10.1</v>
      </c>
      <c r="G1542" s="469">
        <v>6.9</v>
      </c>
      <c r="H1542" s="470">
        <v>166</v>
      </c>
      <c r="I1542" s="470">
        <v>781</v>
      </c>
      <c r="J1542" s="470">
        <v>3637</v>
      </c>
      <c r="K1542" s="469">
        <v>1.66</v>
      </c>
    </row>
    <row r="1543" spans="2:11" x14ac:dyDescent="0.35">
      <c r="B1543" s="62">
        <v>12.25</v>
      </c>
      <c r="C1543" s="471">
        <v>1559</v>
      </c>
      <c r="D1543" s="471">
        <v>1549.8</v>
      </c>
      <c r="E1543" s="469">
        <v>34.19</v>
      </c>
      <c r="F1543" s="469">
        <v>7.9</v>
      </c>
      <c r="G1543" s="469">
        <v>5.4</v>
      </c>
      <c r="H1543" s="470">
        <v>166</v>
      </c>
      <c r="I1543" s="470">
        <v>784</v>
      </c>
      <c r="J1543" s="470">
        <v>3545</v>
      </c>
      <c r="K1543" s="469">
        <v>1.66</v>
      </c>
    </row>
    <row r="1544" spans="2:11" x14ac:dyDescent="0.35">
      <c r="B1544" s="62">
        <v>12.25</v>
      </c>
      <c r="C1544" s="471">
        <v>1560</v>
      </c>
      <c r="D1544" s="471">
        <v>1550.7</v>
      </c>
      <c r="E1544" s="469">
        <v>59.87</v>
      </c>
      <c r="F1544" s="469">
        <v>9.8000000000000007</v>
      </c>
      <c r="G1544" s="469">
        <v>6.6</v>
      </c>
      <c r="H1544" s="470">
        <v>166</v>
      </c>
      <c r="I1544" s="470">
        <v>781</v>
      </c>
      <c r="J1544" s="470">
        <v>3647</v>
      </c>
      <c r="K1544" s="469">
        <v>1.66</v>
      </c>
    </row>
    <row r="1545" spans="2:11" x14ac:dyDescent="0.35">
      <c r="B1545" s="62">
        <v>12.25</v>
      </c>
      <c r="C1545" s="471">
        <v>1561</v>
      </c>
      <c r="D1545" s="471">
        <v>1551.7</v>
      </c>
      <c r="E1545" s="469">
        <v>45.31</v>
      </c>
      <c r="F1545" s="469">
        <v>9.1</v>
      </c>
      <c r="G1545" s="469">
        <v>5.9</v>
      </c>
      <c r="H1545" s="470">
        <v>166</v>
      </c>
      <c r="I1545" s="470">
        <v>782</v>
      </c>
      <c r="J1545" s="470">
        <v>3610</v>
      </c>
      <c r="K1545" s="469">
        <v>1.66</v>
      </c>
    </row>
    <row r="1546" spans="2:11" x14ac:dyDescent="0.35">
      <c r="B1546" s="62">
        <v>12.25</v>
      </c>
      <c r="C1546" s="471">
        <v>1562</v>
      </c>
      <c r="D1546" s="471">
        <v>1552.7</v>
      </c>
      <c r="E1546" s="469">
        <v>28.7</v>
      </c>
      <c r="F1546" s="469">
        <v>7.4</v>
      </c>
      <c r="G1546" s="469">
        <v>5.2</v>
      </c>
      <c r="H1546" s="470">
        <v>166</v>
      </c>
      <c r="I1546" s="470">
        <v>787</v>
      </c>
      <c r="J1546" s="470">
        <v>3552</v>
      </c>
      <c r="K1546" s="469">
        <v>1.66</v>
      </c>
    </row>
    <row r="1547" spans="2:11" x14ac:dyDescent="0.35">
      <c r="B1547" s="62">
        <v>12.25</v>
      </c>
      <c r="C1547" s="471">
        <v>1563</v>
      </c>
      <c r="D1547" s="471">
        <v>1553.7</v>
      </c>
      <c r="E1547" s="469">
        <v>62.68</v>
      </c>
      <c r="F1547" s="469">
        <v>9.5</v>
      </c>
      <c r="G1547" s="469">
        <v>6.3</v>
      </c>
      <c r="H1547" s="470">
        <v>166</v>
      </c>
      <c r="I1547" s="470">
        <v>783</v>
      </c>
      <c r="J1547" s="470">
        <v>3633</v>
      </c>
      <c r="K1547" s="469">
        <v>1.66</v>
      </c>
    </row>
    <row r="1548" spans="2:11" x14ac:dyDescent="0.35">
      <c r="B1548" s="62">
        <v>12.25</v>
      </c>
      <c r="C1548" s="471">
        <v>1564</v>
      </c>
      <c r="D1548" s="471">
        <v>1554.7</v>
      </c>
      <c r="E1548" s="469">
        <v>60.52</v>
      </c>
      <c r="F1548" s="469">
        <v>10</v>
      </c>
      <c r="G1548" s="469">
        <v>7.2</v>
      </c>
      <c r="H1548" s="470">
        <v>166</v>
      </c>
      <c r="I1548" s="470">
        <v>784</v>
      </c>
      <c r="J1548" s="470">
        <v>3666</v>
      </c>
      <c r="K1548" s="469">
        <v>1.66</v>
      </c>
    </row>
    <row r="1549" spans="2:11" x14ac:dyDescent="0.35">
      <c r="B1549" s="62">
        <v>12.25</v>
      </c>
      <c r="C1549" s="471">
        <v>1565</v>
      </c>
      <c r="D1549" s="471">
        <v>1555.8</v>
      </c>
      <c r="E1549" s="469">
        <v>48.75</v>
      </c>
      <c r="F1549" s="469">
        <v>12.4</v>
      </c>
      <c r="G1549" s="469">
        <v>6.9</v>
      </c>
      <c r="H1549" s="470">
        <v>166</v>
      </c>
      <c r="I1549" s="470">
        <v>782</v>
      </c>
      <c r="J1549" s="470">
        <v>3646</v>
      </c>
      <c r="K1549" s="469">
        <v>1.66</v>
      </c>
    </row>
    <row r="1550" spans="2:11" x14ac:dyDescent="0.35">
      <c r="B1550" s="62">
        <v>12.25</v>
      </c>
      <c r="C1550" s="471">
        <v>1566</v>
      </c>
      <c r="D1550" s="471">
        <v>1556.7</v>
      </c>
      <c r="E1550" s="469">
        <v>39.35</v>
      </c>
      <c r="F1550" s="469">
        <v>13.6</v>
      </c>
      <c r="G1550" s="469">
        <v>6.7</v>
      </c>
      <c r="H1550" s="470">
        <v>166</v>
      </c>
      <c r="I1550" s="470">
        <v>782</v>
      </c>
      <c r="J1550" s="470">
        <v>3644</v>
      </c>
      <c r="K1550" s="469">
        <v>1.66</v>
      </c>
    </row>
    <row r="1551" spans="2:11" x14ac:dyDescent="0.35">
      <c r="B1551" s="62">
        <v>12.25</v>
      </c>
      <c r="C1551" s="471">
        <v>1567</v>
      </c>
      <c r="D1551" s="471">
        <v>1557.7</v>
      </c>
      <c r="E1551" s="469">
        <v>50.69</v>
      </c>
      <c r="F1551" s="469">
        <v>9.5</v>
      </c>
      <c r="G1551" s="469">
        <v>6.5</v>
      </c>
      <c r="H1551" s="470">
        <v>166</v>
      </c>
      <c r="I1551" s="470">
        <v>784</v>
      </c>
      <c r="J1551" s="470">
        <v>3606</v>
      </c>
      <c r="K1551" s="469">
        <v>1.66</v>
      </c>
    </row>
    <row r="1552" spans="2:11" x14ac:dyDescent="0.35">
      <c r="B1552" s="62">
        <v>12.25</v>
      </c>
      <c r="C1552" s="471">
        <v>1568</v>
      </c>
      <c r="D1552" s="471">
        <v>1558.7</v>
      </c>
      <c r="E1552" s="469">
        <v>62.77</v>
      </c>
      <c r="F1552" s="469">
        <v>10.7</v>
      </c>
      <c r="G1552" s="469">
        <v>6.7</v>
      </c>
      <c r="H1552" s="470">
        <v>166</v>
      </c>
      <c r="I1552" s="470">
        <v>784</v>
      </c>
      <c r="J1552" s="470">
        <v>3629</v>
      </c>
      <c r="K1552" s="469">
        <v>1.66</v>
      </c>
    </row>
    <row r="1553" spans="2:11" x14ac:dyDescent="0.35">
      <c r="B1553" s="62">
        <v>12.25</v>
      </c>
      <c r="C1553" s="471">
        <v>1569</v>
      </c>
      <c r="D1553" s="471">
        <v>1559.6</v>
      </c>
      <c r="E1553" s="469">
        <v>60.16</v>
      </c>
      <c r="F1553" s="469">
        <v>10.8</v>
      </c>
      <c r="G1553" s="469">
        <v>6.6</v>
      </c>
      <c r="H1553" s="470">
        <v>166</v>
      </c>
      <c r="I1553" s="470">
        <v>782</v>
      </c>
      <c r="J1553" s="470">
        <v>3646</v>
      </c>
      <c r="K1553" s="469">
        <v>1.66</v>
      </c>
    </row>
    <row r="1554" spans="2:11" x14ac:dyDescent="0.35">
      <c r="B1554" s="62">
        <v>12.25</v>
      </c>
      <c r="C1554" s="471">
        <v>1570</v>
      </c>
      <c r="D1554" s="471">
        <v>1560.6</v>
      </c>
      <c r="E1554" s="469">
        <v>50.04</v>
      </c>
      <c r="F1554" s="469">
        <v>8.3000000000000007</v>
      </c>
      <c r="G1554" s="469">
        <v>5.8</v>
      </c>
      <c r="H1554" s="470">
        <v>166</v>
      </c>
      <c r="I1554" s="470">
        <v>784</v>
      </c>
      <c r="J1554" s="470">
        <v>3593</v>
      </c>
      <c r="K1554" s="469">
        <v>1.66</v>
      </c>
    </row>
    <row r="1555" spans="2:11" x14ac:dyDescent="0.35">
      <c r="B1555" s="62">
        <v>12.25</v>
      </c>
      <c r="C1555" s="471">
        <v>1571</v>
      </c>
      <c r="D1555" s="471">
        <v>1561.6</v>
      </c>
      <c r="E1555" s="469">
        <v>68.83</v>
      </c>
      <c r="F1555" s="469">
        <v>9.6</v>
      </c>
      <c r="G1555" s="469">
        <v>7.4</v>
      </c>
      <c r="H1555" s="470">
        <v>166</v>
      </c>
      <c r="I1555" s="470">
        <v>784</v>
      </c>
      <c r="J1555" s="470">
        <v>3638</v>
      </c>
      <c r="K1555" s="469">
        <v>1.66</v>
      </c>
    </row>
    <row r="1556" spans="2:11" x14ac:dyDescent="0.35">
      <c r="B1556" s="62">
        <v>12.25</v>
      </c>
      <c r="C1556" s="471">
        <v>1572</v>
      </c>
      <c r="D1556" s="471">
        <v>1562.7</v>
      </c>
      <c r="E1556" s="469">
        <v>42.7</v>
      </c>
      <c r="F1556" s="469">
        <v>11.9</v>
      </c>
      <c r="G1556" s="469">
        <v>7.2</v>
      </c>
      <c r="H1556" s="470">
        <v>166</v>
      </c>
      <c r="I1556" s="470">
        <v>784</v>
      </c>
      <c r="J1556" s="470">
        <v>3638</v>
      </c>
      <c r="K1556" s="469">
        <v>1.66</v>
      </c>
    </row>
    <row r="1557" spans="2:11" x14ac:dyDescent="0.35">
      <c r="B1557" s="62">
        <v>12.25</v>
      </c>
      <c r="C1557" s="471">
        <v>1573</v>
      </c>
      <c r="D1557" s="471">
        <v>1563.6</v>
      </c>
      <c r="E1557" s="469">
        <v>53.2</v>
      </c>
      <c r="F1557" s="469">
        <v>12.7</v>
      </c>
      <c r="G1557" s="469">
        <v>7</v>
      </c>
      <c r="H1557" s="470">
        <v>166</v>
      </c>
      <c r="I1557" s="470">
        <v>781</v>
      </c>
      <c r="J1557" s="470">
        <v>3655</v>
      </c>
      <c r="K1557" s="469">
        <v>1.66</v>
      </c>
    </row>
    <row r="1558" spans="2:11" x14ac:dyDescent="0.35">
      <c r="B1558" s="62">
        <v>12.25</v>
      </c>
      <c r="C1558" s="471">
        <v>1574</v>
      </c>
      <c r="D1558" s="471">
        <v>1564.6</v>
      </c>
      <c r="E1558" s="469">
        <v>56.63</v>
      </c>
      <c r="F1558" s="469">
        <v>14</v>
      </c>
      <c r="G1558" s="469">
        <v>7.4</v>
      </c>
      <c r="H1558" s="470">
        <v>166</v>
      </c>
      <c r="I1558" s="470">
        <v>782</v>
      </c>
      <c r="J1558" s="470">
        <v>3682</v>
      </c>
      <c r="K1558" s="469">
        <v>1.66</v>
      </c>
    </row>
    <row r="1559" spans="2:11" x14ac:dyDescent="0.35">
      <c r="B1559" s="62">
        <v>12.25</v>
      </c>
      <c r="C1559" s="471">
        <v>1575</v>
      </c>
      <c r="D1559" s="471">
        <v>1565.6</v>
      </c>
      <c r="E1559" s="469">
        <v>43.6</v>
      </c>
      <c r="F1559" s="469">
        <v>7.7</v>
      </c>
      <c r="G1559" s="469">
        <v>6.4</v>
      </c>
      <c r="H1559" s="470">
        <v>166</v>
      </c>
      <c r="I1559" s="470">
        <v>784</v>
      </c>
      <c r="J1559" s="470">
        <v>3566</v>
      </c>
      <c r="K1559" s="469">
        <v>1.66</v>
      </c>
    </row>
    <row r="1560" spans="2:11" x14ac:dyDescent="0.35">
      <c r="B1560" s="62">
        <v>12.25</v>
      </c>
      <c r="C1560" s="471">
        <v>1576</v>
      </c>
      <c r="D1560" s="471">
        <v>1566.6</v>
      </c>
      <c r="E1560" s="469">
        <v>56</v>
      </c>
      <c r="F1560" s="469">
        <v>11.8</v>
      </c>
      <c r="G1560" s="469">
        <v>7</v>
      </c>
      <c r="H1560" s="470">
        <v>166</v>
      </c>
      <c r="I1560" s="470">
        <v>781</v>
      </c>
      <c r="J1560" s="470">
        <v>3651</v>
      </c>
      <c r="K1560" s="469">
        <v>1.66</v>
      </c>
    </row>
    <row r="1561" spans="2:11" x14ac:dyDescent="0.35">
      <c r="B1561" s="62">
        <v>12.25</v>
      </c>
      <c r="C1561" s="471">
        <v>1577</v>
      </c>
      <c r="D1561" s="471">
        <v>1567.6</v>
      </c>
      <c r="E1561" s="469">
        <v>36.630000000000003</v>
      </c>
      <c r="F1561" s="469">
        <v>12.5</v>
      </c>
      <c r="G1561" s="469">
        <v>7</v>
      </c>
      <c r="H1561" s="470">
        <v>166</v>
      </c>
      <c r="I1561" s="470">
        <v>784</v>
      </c>
      <c r="J1561" s="470">
        <v>3631</v>
      </c>
      <c r="K1561" s="469">
        <v>1.66</v>
      </c>
    </row>
    <row r="1562" spans="2:11" x14ac:dyDescent="0.35">
      <c r="B1562" s="62">
        <v>12.25</v>
      </c>
      <c r="C1562" s="471">
        <v>1578</v>
      </c>
      <c r="D1562" s="471">
        <v>1568.6</v>
      </c>
      <c r="E1562" s="469">
        <v>73.709999999999994</v>
      </c>
      <c r="F1562" s="469">
        <v>15.7</v>
      </c>
      <c r="G1562" s="469">
        <v>8.3000000000000007</v>
      </c>
      <c r="H1562" s="470">
        <v>166</v>
      </c>
      <c r="I1562" s="470">
        <v>783</v>
      </c>
      <c r="J1562" s="470">
        <v>3751</v>
      </c>
      <c r="K1562" s="469">
        <v>1.66</v>
      </c>
    </row>
    <row r="1563" spans="2:11" x14ac:dyDescent="0.35">
      <c r="B1563" s="62">
        <v>12.25</v>
      </c>
      <c r="C1563" s="471">
        <v>1579</v>
      </c>
      <c r="D1563" s="471">
        <v>1569.6</v>
      </c>
      <c r="E1563" s="469">
        <v>71.44</v>
      </c>
      <c r="F1563" s="469">
        <v>11.3</v>
      </c>
      <c r="G1563" s="469">
        <v>6.9</v>
      </c>
      <c r="H1563" s="470">
        <v>165</v>
      </c>
      <c r="I1563" s="470">
        <v>783</v>
      </c>
      <c r="J1563" s="470">
        <v>3727</v>
      </c>
      <c r="K1563" s="469">
        <v>1.66</v>
      </c>
    </row>
    <row r="1564" spans="2:11" x14ac:dyDescent="0.35">
      <c r="B1564" s="62">
        <v>12.25</v>
      </c>
      <c r="C1564" s="471">
        <v>1580</v>
      </c>
      <c r="D1564" s="471">
        <v>1570.6</v>
      </c>
      <c r="E1564" s="469">
        <v>81.39</v>
      </c>
      <c r="F1564" s="469">
        <v>11.2</v>
      </c>
      <c r="G1564" s="469">
        <v>7.6</v>
      </c>
      <c r="H1564" s="470">
        <v>166</v>
      </c>
      <c r="I1564" s="470">
        <v>781</v>
      </c>
      <c r="J1564" s="470">
        <v>3721</v>
      </c>
      <c r="K1564" s="469">
        <v>1.66</v>
      </c>
    </row>
    <row r="1565" spans="2:11" x14ac:dyDescent="0.35">
      <c r="B1565" s="62">
        <v>12.25</v>
      </c>
      <c r="C1565" s="471">
        <v>1581</v>
      </c>
      <c r="D1565" s="471">
        <v>1571.6</v>
      </c>
      <c r="E1565" s="469">
        <v>64.510000000000005</v>
      </c>
      <c r="F1565" s="469">
        <v>14.6</v>
      </c>
      <c r="G1565" s="469">
        <v>8.1</v>
      </c>
      <c r="H1565" s="470">
        <v>166</v>
      </c>
      <c r="I1565" s="470">
        <v>780</v>
      </c>
      <c r="J1565" s="470">
        <v>3744</v>
      </c>
      <c r="K1565" s="469">
        <v>1.66</v>
      </c>
    </row>
    <row r="1566" spans="2:11" x14ac:dyDescent="0.35">
      <c r="B1566" s="62">
        <v>12.25</v>
      </c>
      <c r="C1566" s="471">
        <v>1582</v>
      </c>
      <c r="D1566" s="471">
        <v>1572.6</v>
      </c>
      <c r="E1566" s="469">
        <v>44.67</v>
      </c>
      <c r="F1566" s="469">
        <v>12.3</v>
      </c>
      <c r="G1566" s="469">
        <v>6.1</v>
      </c>
      <c r="H1566" s="470">
        <v>166</v>
      </c>
      <c r="I1566" s="470">
        <v>783</v>
      </c>
      <c r="J1566" s="470">
        <v>3662</v>
      </c>
      <c r="K1566" s="469">
        <v>1.66</v>
      </c>
    </row>
    <row r="1567" spans="2:11" x14ac:dyDescent="0.35">
      <c r="B1567" s="62">
        <v>12.25</v>
      </c>
      <c r="C1567" s="471">
        <v>1583</v>
      </c>
      <c r="D1567" s="471">
        <v>1573.6</v>
      </c>
      <c r="E1567" s="469">
        <v>11.07</v>
      </c>
      <c r="F1567" s="469">
        <v>5.6</v>
      </c>
      <c r="G1567" s="469">
        <v>4.9000000000000004</v>
      </c>
      <c r="H1567" s="470">
        <v>163</v>
      </c>
      <c r="I1567" s="470">
        <v>774</v>
      </c>
      <c r="J1567" s="470">
        <v>3412</v>
      </c>
      <c r="K1567" s="469">
        <v>1.67</v>
      </c>
    </row>
    <row r="1568" spans="2:11" x14ac:dyDescent="0.35">
      <c r="B1568" s="62">
        <v>12.25</v>
      </c>
      <c r="C1568" s="471">
        <v>1584</v>
      </c>
      <c r="D1568" s="471">
        <v>1574.6</v>
      </c>
      <c r="E1568" s="469">
        <v>43.67</v>
      </c>
      <c r="F1568" s="469">
        <v>11.8</v>
      </c>
      <c r="G1568" s="469">
        <v>6.9</v>
      </c>
      <c r="H1568" s="470">
        <v>162</v>
      </c>
      <c r="I1568" s="470">
        <v>767</v>
      </c>
      <c r="J1568" s="470">
        <v>3554</v>
      </c>
      <c r="K1568" s="469">
        <v>1.67</v>
      </c>
    </row>
    <row r="1569" spans="2:11" x14ac:dyDescent="0.35">
      <c r="B1569" s="62">
        <v>12.25</v>
      </c>
      <c r="C1569" s="471">
        <v>1585</v>
      </c>
      <c r="D1569" s="471">
        <v>1575.5</v>
      </c>
      <c r="E1569" s="469">
        <v>35.590000000000003</v>
      </c>
      <c r="F1569" s="469">
        <v>12.3</v>
      </c>
      <c r="G1569" s="469">
        <v>6.9</v>
      </c>
      <c r="H1569" s="470">
        <v>163</v>
      </c>
      <c r="I1569" s="470">
        <v>767</v>
      </c>
      <c r="J1569" s="470">
        <v>3531</v>
      </c>
      <c r="K1569" s="469">
        <v>1.67</v>
      </c>
    </row>
    <row r="1570" spans="2:11" x14ac:dyDescent="0.35">
      <c r="B1570" s="62">
        <v>12.25</v>
      </c>
      <c r="C1570" s="471">
        <v>1586</v>
      </c>
      <c r="D1570" s="471">
        <v>1576.5</v>
      </c>
      <c r="E1570" s="469">
        <v>6.79</v>
      </c>
      <c r="F1570" s="469">
        <v>10.9</v>
      </c>
      <c r="G1570" s="469">
        <v>6</v>
      </c>
      <c r="H1570" s="470">
        <v>167</v>
      </c>
      <c r="I1570" s="470">
        <v>785</v>
      </c>
      <c r="J1570" s="470">
        <v>3646</v>
      </c>
      <c r="K1570" s="469">
        <v>1.67</v>
      </c>
    </row>
    <row r="1571" spans="2:11" x14ac:dyDescent="0.35">
      <c r="B1571" s="62">
        <v>12.25</v>
      </c>
      <c r="C1571" s="471">
        <v>1587</v>
      </c>
      <c r="D1571" s="471">
        <v>1577.5</v>
      </c>
      <c r="E1571" s="469">
        <v>39.36</v>
      </c>
      <c r="F1571" s="469">
        <v>14.5</v>
      </c>
      <c r="G1571" s="469">
        <v>7.6</v>
      </c>
      <c r="H1571" s="470">
        <v>167</v>
      </c>
      <c r="I1571" s="470">
        <v>781</v>
      </c>
      <c r="J1571" s="470">
        <v>3769</v>
      </c>
      <c r="K1571" s="469">
        <v>1.67</v>
      </c>
    </row>
    <row r="1572" spans="2:11" x14ac:dyDescent="0.35">
      <c r="B1572" s="62">
        <v>12.25</v>
      </c>
      <c r="C1572" s="471">
        <v>1588</v>
      </c>
      <c r="D1572" s="471">
        <v>1578.5</v>
      </c>
      <c r="E1572" s="469">
        <v>38.15</v>
      </c>
      <c r="F1572" s="469">
        <v>14.4</v>
      </c>
      <c r="G1572" s="469">
        <v>7.3</v>
      </c>
      <c r="H1572" s="470">
        <v>167</v>
      </c>
      <c r="I1572" s="470">
        <v>782</v>
      </c>
      <c r="J1572" s="470">
        <v>3770</v>
      </c>
      <c r="K1572" s="469">
        <v>1.67</v>
      </c>
    </row>
    <row r="1573" spans="2:11" x14ac:dyDescent="0.35">
      <c r="B1573" s="62">
        <v>12.25</v>
      </c>
      <c r="C1573" s="471">
        <v>1589</v>
      </c>
      <c r="D1573" s="471">
        <v>1579.5</v>
      </c>
      <c r="E1573" s="469">
        <v>44.59</v>
      </c>
      <c r="F1573" s="469">
        <v>14.7</v>
      </c>
      <c r="G1573" s="469">
        <v>8.3000000000000007</v>
      </c>
      <c r="H1573" s="470">
        <v>167</v>
      </c>
      <c r="I1573" s="470">
        <v>782</v>
      </c>
      <c r="J1573" s="470">
        <v>3808</v>
      </c>
      <c r="K1573" s="469">
        <v>1.67</v>
      </c>
    </row>
    <row r="1574" spans="2:11" x14ac:dyDescent="0.35">
      <c r="B1574" s="62">
        <v>12.25</v>
      </c>
      <c r="C1574" s="471">
        <v>1590</v>
      </c>
      <c r="D1574" s="471">
        <v>1580.5</v>
      </c>
      <c r="E1574" s="469">
        <v>54.1</v>
      </c>
      <c r="F1574" s="469">
        <v>13</v>
      </c>
      <c r="G1574" s="469">
        <v>7.7</v>
      </c>
      <c r="H1574" s="470">
        <v>167</v>
      </c>
      <c r="I1574" s="470">
        <v>783</v>
      </c>
      <c r="J1574" s="470">
        <v>3780</v>
      </c>
      <c r="K1574" s="469">
        <v>1.67</v>
      </c>
    </row>
    <row r="1575" spans="2:11" x14ac:dyDescent="0.35">
      <c r="B1575" s="62">
        <v>12.25</v>
      </c>
      <c r="C1575" s="471">
        <v>1591</v>
      </c>
      <c r="D1575" s="471">
        <v>1581.5</v>
      </c>
      <c r="E1575" s="469">
        <v>54.6</v>
      </c>
      <c r="F1575" s="469">
        <v>13.1</v>
      </c>
      <c r="G1575" s="469">
        <v>8.3000000000000007</v>
      </c>
      <c r="H1575" s="470">
        <v>167</v>
      </c>
      <c r="I1575" s="470">
        <v>783</v>
      </c>
      <c r="J1575" s="470">
        <v>3819</v>
      </c>
      <c r="K1575" s="469">
        <v>1.67</v>
      </c>
    </row>
    <row r="1576" spans="2:11" x14ac:dyDescent="0.35">
      <c r="B1576" s="62">
        <v>12.25</v>
      </c>
      <c r="C1576" s="471">
        <v>1592</v>
      </c>
      <c r="D1576" s="471">
        <v>1582.5</v>
      </c>
      <c r="E1576" s="469">
        <v>34.409999999999997</v>
      </c>
      <c r="F1576" s="469">
        <v>13.7</v>
      </c>
      <c r="G1576" s="469">
        <v>7.5</v>
      </c>
      <c r="H1576" s="470">
        <v>167</v>
      </c>
      <c r="I1576" s="470">
        <v>782</v>
      </c>
      <c r="J1576" s="470">
        <v>3782</v>
      </c>
      <c r="K1576" s="469">
        <v>1.67</v>
      </c>
    </row>
    <row r="1577" spans="2:11" x14ac:dyDescent="0.35">
      <c r="B1577" s="62">
        <v>12.25</v>
      </c>
      <c r="C1577" s="471">
        <v>1593</v>
      </c>
      <c r="D1577" s="471">
        <v>1583.5</v>
      </c>
      <c r="E1577" s="469">
        <v>42.15</v>
      </c>
      <c r="F1577" s="469">
        <v>11.4</v>
      </c>
      <c r="G1577" s="469">
        <v>7.1</v>
      </c>
      <c r="H1577" s="470">
        <v>166</v>
      </c>
      <c r="I1577" s="470">
        <v>781</v>
      </c>
      <c r="J1577" s="470">
        <v>3773</v>
      </c>
      <c r="K1577" s="469">
        <v>1.67</v>
      </c>
    </row>
    <row r="1578" spans="2:11" x14ac:dyDescent="0.35">
      <c r="B1578" s="62">
        <v>12.25</v>
      </c>
      <c r="C1578" s="471">
        <v>1594</v>
      </c>
      <c r="D1578" s="471">
        <v>1584.5</v>
      </c>
      <c r="E1578" s="469">
        <v>48.46</v>
      </c>
      <c r="F1578" s="469">
        <v>13.4</v>
      </c>
      <c r="G1578" s="469">
        <v>7.4</v>
      </c>
      <c r="H1578" s="470">
        <v>167</v>
      </c>
      <c r="I1578" s="470">
        <v>782</v>
      </c>
      <c r="J1578" s="470">
        <v>3788</v>
      </c>
      <c r="K1578" s="469">
        <v>1.67</v>
      </c>
    </row>
    <row r="1579" spans="2:11" x14ac:dyDescent="0.35">
      <c r="B1579" s="62">
        <v>12.25</v>
      </c>
      <c r="C1579" s="471">
        <v>1595</v>
      </c>
      <c r="D1579" s="471">
        <v>1585.5</v>
      </c>
      <c r="E1579" s="469">
        <v>40.35</v>
      </c>
      <c r="F1579" s="469">
        <v>14.1</v>
      </c>
      <c r="G1579" s="469">
        <v>7.4</v>
      </c>
      <c r="H1579" s="470">
        <v>167</v>
      </c>
      <c r="I1579" s="470">
        <v>782</v>
      </c>
      <c r="J1579" s="470">
        <v>3789</v>
      </c>
      <c r="K1579" s="469">
        <v>1.67</v>
      </c>
    </row>
    <row r="1580" spans="2:11" x14ac:dyDescent="0.35">
      <c r="B1580" s="62">
        <v>12.25</v>
      </c>
      <c r="C1580" s="471">
        <v>1596</v>
      </c>
      <c r="D1580" s="471">
        <v>1586.5</v>
      </c>
      <c r="E1580" s="469">
        <v>33.020000000000003</v>
      </c>
      <c r="F1580" s="469">
        <v>13.4</v>
      </c>
      <c r="G1580" s="469">
        <v>7.1</v>
      </c>
      <c r="H1580" s="470">
        <v>167</v>
      </c>
      <c r="I1580" s="470">
        <v>783</v>
      </c>
      <c r="J1580" s="470">
        <v>3768</v>
      </c>
      <c r="K1580" s="469">
        <v>1.67</v>
      </c>
    </row>
    <row r="1581" spans="2:11" x14ac:dyDescent="0.35">
      <c r="B1581" s="62">
        <v>12.25</v>
      </c>
      <c r="C1581" s="471">
        <v>1597</v>
      </c>
      <c r="D1581" s="471">
        <v>1587.4</v>
      </c>
      <c r="E1581" s="469">
        <v>34.409999999999997</v>
      </c>
      <c r="F1581" s="469">
        <v>13.7</v>
      </c>
      <c r="G1581" s="469">
        <v>6.6</v>
      </c>
      <c r="H1581" s="470">
        <v>167</v>
      </c>
      <c r="I1581" s="470">
        <v>782</v>
      </c>
      <c r="J1581" s="470">
        <v>3741</v>
      </c>
      <c r="K1581" s="469">
        <v>1.67</v>
      </c>
    </row>
    <row r="1582" spans="2:11" x14ac:dyDescent="0.35">
      <c r="B1582" s="62">
        <v>12.25</v>
      </c>
      <c r="C1582" s="471">
        <v>1598</v>
      </c>
      <c r="D1582" s="471">
        <v>1588.4</v>
      </c>
      <c r="E1582" s="469">
        <v>33.21</v>
      </c>
      <c r="F1582" s="469">
        <v>14.4</v>
      </c>
      <c r="G1582" s="469">
        <v>6.7</v>
      </c>
      <c r="H1582" s="470">
        <v>167</v>
      </c>
      <c r="I1582" s="470">
        <v>783</v>
      </c>
      <c r="J1582" s="470">
        <v>3749</v>
      </c>
      <c r="K1582" s="469">
        <v>1.67</v>
      </c>
    </row>
    <row r="1583" spans="2:11" x14ac:dyDescent="0.35">
      <c r="B1583" s="62">
        <v>12.25</v>
      </c>
      <c r="C1583" s="471">
        <v>1599</v>
      </c>
      <c r="D1583" s="471">
        <v>1589.4</v>
      </c>
      <c r="E1583" s="469">
        <v>37.700000000000003</v>
      </c>
      <c r="F1583" s="469">
        <v>14</v>
      </c>
      <c r="G1583" s="469">
        <v>6.9</v>
      </c>
      <c r="H1583" s="470">
        <v>167</v>
      </c>
      <c r="I1583" s="470">
        <v>781</v>
      </c>
      <c r="J1583" s="470">
        <v>3749</v>
      </c>
      <c r="K1583" s="469">
        <v>1.67</v>
      </c>
    </row>
    <row r="1584" spans="2:11" x14ac:dyDescent="0.35">
      <c r="B1584" s="62">
        <v>12.25</v>
      </c>
      <c r="C1584" s="471">
        <v>1600</v>
      </c>
      <c r="D1584" s="471">
        <v>1590.4</v>
      </c>
      <c r="E1584" s="469">
        <v>45</v>
      </c>
      <c r="F1584" s="469">
        <v>11.6</v>
      </c>
      <c r="G1584" s="469">
        <v>6.6</v>
      </c>
      <c r="H1584" s="470">
        <v>167</v>
      </c>
      <c r="I1584" s="470">
        <v>782</v>
      </c>
      <c r="J1584" s="470">
        <v>3724</v>
      </c>
      <c r="K1584" s="469">
        <v>1.67</v>
      </c>
    </row>
    <row r="1585" spans="2:11" x14ac:dyDescent="0.35">
      <c r="B1585" s="62">
        <v>12.25</v>
      </c>
      <c r="C1585" s="471">
        <v>1601</v>
      </c>
      <c r="D1585" s="471">
        <v>1591.4</v>
      </c>
      <c r="E1585" s="469">
        <v>94.81</v>
      </c>
      <c r="F1585" s="469">
        <v>12.1</v>
      </c>
      <c r="G1585" s="469">
        <v>8.8000000000000007</v>
      </c>
      <c r="H1585" s="470">
        <v>166</v>
      </c>
      <c r="I1585" s="470">
        <v>781</v>
      </c>
      <c r="J1585" s="470">
        <v>3836</v>
      </c>
      <c r="K1585" s="469">
        <v>1.67</v>
      </c>
    </row>
    <row r="1586" spans="2:11" x14ac:dyDescent="0.35">
      <c r="B1586" s="62">
        <v>12.25</v>
      </c>
      <c r="C1586" s="471">
        <v>1602</v>
      </c>
      <c r="D1586" s="471">
        <v>1592.4</v>
      </c>
      <c r="E1586" s="469">
        <v>74.650000000000006</v>
      </c>
      <c r="F1586" s="469">
        <v>14.4</v>
      </c>
      <c r="G1586" s="469">
        <v>7.9</v>
      </c>
      <c r="H1586" s="470">
        <v>166</v>
      </c>
      <c r="I1586" s="470">
        <v>782</v>
      </c>
      <c r="J1586" s="470">
        <v>3871</v>
      </c>
      <c r="K1586" s="469">
        <v>1.67</v>
      </c>
    </row>
    <row r="1587" spans="2:11" x14ac:dyDescent="0.35">
      <c r="B1587" s="62">
        <v>12.25</v>
      </c>
      <c r="C1587" s="471">
        <v>1603</v>
      </c>
      <c r="D1587" s="471">
        <v>1593.5</v>
      </c>
      <c r="E1587" s="469">
        <v>71.069999999999993</v>
      </c>
      <c r="F1587" s="469">
        <v>13.3</v>
      </c>
      <c r="G1587" s="469">
        <v>7.4</v>
      </c>
      <c r="H1587" s="470">
        <v>167</v>
      </c>
      <c r="I1587" s="470">
        <v>782</v>
      </c>
      <c r="J1587" s="470">
        <v>3813</v>
      </c>
      <c r="K1587" s="469">
        <v>1.67</v>
      </c>
    </row>
    <row r="1588" spans="2:11" x14ac:dyDescent="0.35">
      <c r="B1588" s="62">
        <v>12.25</v>
      </c>
      <c r="C1588" s="471">
        <v>1604</v>
      </c>
      <c r="D1588" s="471">
        <v>1594.4</v>
      </c>
      <c r="E1588" s="469">
        <v>70.86</v>
      </c>
      <c r="F1588" s="469">
        <v>11.4</v>
      </c>
      <c r="G1588" s="469">
        <v>7</v>
      </c>
      <c r="H1588" s="470">
        <v>167</v>
      </c>
      <c r="I1588" s="470">
        <v>782</v>
      </c>
      <c r="J1588" s="470">
        <v>3767</v>
      </c>
      <c r="K1588" s="469">
        <v>1.67</v>
      </c>
    </row>
    <row r="1589" spans="2:11" x14ac:dyDescent="0.35">
      <c r="B1589" s="62">
        <v>12.25</v>
      </c>
      <c r="C1589" s="471">
        <v>1605</v>
      </c>
      <c r="D1589" s="471">
        <v>1595.4</v>
      </c>
      <c r="E1589" s="469">
        <v>48.36</v>
      </c>
      <c r="F1589" s="469">
        <v>10.6</v>
      </c>
      <c r="G1589" s="469">
        <v>6.3</v>
      </c>
      <c r="H1589" s="470">
        <v>167</v>
      </c>
      <c r="I1589" s="470">
        <v>782</v>
      </c>
      <c r="J1589" s="470">
        <v>3735</v>
      </c>
      <c r="K1589" s="469">
        <v>1.67</v>
      </c>
    </row>
    <row r="1590" spans="2:11" x14ac:dyDescent="0.35">
      <c r="B1590" s="62">
        <v>12.25</v>
      </c>
      <c r="C1590" s="471">
        <v>1606</v>
      </c>
      <c r="D1590" s="471">
        <v>1596.4</v>
      </c>
      <c r="E1590" s="469">
        <v>67.12</v>
      </c>
      <c r="F1590" s="469">
        <v>9.9</v>
      </c>
      <c r="G1590" s="469">
        <v>6.3</v>
      </c>
      <c r="H1590" s="470">
        <v>167</v>
      </c>
      <c r="I1590" s="470">
        <v>782</v>
      </c>
      <c r="J1590" s="470">
        <v>3712</v>
      </c>
      <c r="K1590" s="469">
        <v>1.67</v>
      </c>
    </row>
    <row r="1591" spans="2:11" x14ac:dyDescent="0.35">
      <c r="B1591" s="62">
        <v>12.25</v>
      </c>
      <c r="C1591" s="471">
        <v>1607</v>
      </c>
      <c r="D1591" s="471">
        <v>1597.4</v>
      </c>
      <c r="E1591" s="469">
        <v>60.31</v>
      </c>
      <c r="F1591" s="469">
        <v>11.1</v>
      </c>
      <c r="G1591" s="469">
        <v>6.7</v>
      </c>
      <c r="H1591" s="470">
        <v>167</v>
      </c>
      <c r="I1591" s="470">
        <v>783</v>
      </c>
      <c r="J1591" s="470">
        <v>3766</v>
      </c>
      <c r="K1591" s="469">
        <v>1.67</v>
      </c>
    </row>
    <row r="1592" spans="2:11" x14ac:dyDescent="0.35">
      <c r="B1592" s="62">
        <v>12.25</v>
      </c>
      <c r="C1592" s="471">
        <v>1608</v>
      </c>
      <c r="D1592" s="471">
        <v>1598.4</v>
      </c>
      <c r="E1592" s="469">
        <v>65.41</v>
      </c>
      <c r="F1592" s="469">
        <v>9.9</v>
      </c>
      <c r="G1592" s="469">
        <v>6.2</v>
      </c>
      <c r="H1592" s="470">
        <v>167</v>
      </c>
      <c r="I1592" s="470">
        <v>785</v>
      </c>
      <c r="J1592" s="470">
        <v>3706</v>
      </c>
      <c r="K1592" s="469">
        <v>1.67</v>
      </c>
    </row>
    <row r="1593" spans="2:11" x14ac:dyDescent="0.35">
      <c r="B1593" s="62">
        <v>12.25</v>
      </c>
      <c r="C1593" s="471">
        <v>1609</v>
      </c>
      <c r="D1593" s="471">
        <v>1599.4</v>
      </c>
      <c r="E1593" s="469">
        <v>49.54</v>
      </c>
      <c r="F1593" s="469">
        <v>8.6999999999999993</v>
      </c>
      <c r="G1593" s="469">
        <v>5.5</v>
      </c>
      <c r="H1593" s="470">
        <v>167</v>
      </c>
      <c r="I1593" s="470">
        <v>786</v>
      </c>
      <c r="J1593" s="470">
        <v>3649</v>
      </c>
      <c r="K1593" s="469">
        <v>1.67</v>
      </c>
    </row>
    <row r="1594" spans="2:11" x14ac:dyDescent="0.35">
      <c r="B1594" s="62">
        <v>12.25</v>
      </c>
      <c r="C1594" s="471">
        <v>1610</v>
      </c>
      <c r="D1594" s="471">
        <v>1600.4</v>
      </c>
      <c r="E1594" s="469">
        <v>64.069999999999993</v>
      </c>
      <c r="F1594" s="469">
        <v>9.5</v>
      </c>
      <c r="G1594" s="469">
        <v>6.3</v>
      </c>
      <c r="H1594" s="470">
        <v>167</v>
      </c>
      <c r="I1594" s="470">
        <v>784</v>
      </c>
      <c r="J1594" s="470">
        <v>3694</v>
      </c>
      <c r="K1594" s="469">
        <v>1.67</v>
      </c>
    </row>
    <row r="1595" spans="2:11" x14ac:dyDescent="0.35">
      <c r="B1595" s="62">
        <v>12.25</v>
      </c>
      <c r="C1595" s="471">
        <v>1611</v>
      </c>
      <c r="D1595" s="471">
        <v>1601.4</v>
      </c>
      <c r="E1595" s="469">
        <v>42.15</v>
      </c>
      <c r="F1595" s="469">
        <v>11.9</v>
      </c>
      <c r="G1595" s="469">
        <v>6.5</v>
      </c>
      <c r="H1595" s="470">
        <v>167</v>
      </c>
      <c r="I1595" s="470">
        <v>784</v>
      </c>
      <c r="J1595" s="470">
        <v>3712</v>
      </c>
      <c r="K1595" s="469">
        <v>1.67</v>
      </c>
    </row>
    <row r="1596" spans="2:11" x14ac:dyDescent="0.35">
      <c r="B1596" s="62">
        <v>12.25</v>
      </c>
      <c r="C1596" s="471">
        <v>1612</v>
      </c>
      <c r="D1596" s="471">
        <v>1602.4</v>
      </c>
      <c r="E1596" s="469">
        <v>7.51</v>
      </c>
      <c r="F1596" s="469">
        <v>9</v>
      </c>
      <c r="G1596" s="469">
        <v>5.0999999999999996</v>
      </c>
      <c r="H1596" s="470">
        <v>166</v>
      </c>
      <c r="I1596" s="470">
        <v>782</v>
      </c>
      <c r="J1596" s="470">
        <v>3537</v>
      </c>
      <c r="K1596" s="469">
        <v>1.67</v>
      </c>
    </row>
    <row r="1597" spans="2:11" x14ac:dyDescent="0.35">
      <c r="B1597" s="62">
        <v>12.25</v>
      </c>
      <c r="C1597" s="471">
        <v>1613</v>
      </c>
      <c r="D1597" s="471">
        <v>1603.5</v>
      </c>
      <c r="E1597" s="469">
        <v>53.76</v>
      </c>
      <c r="F1597" s="469">
        <v>13.3</v>
      </c>
      <c r="G1597" s="469">
        <v>7.7</v>
      </c>
      <c r="H1597" s="470">
        <v>165</v>
      </c>
      <c r="I1597" s="470">
        <v>775</v>
      </c>
      <c r="J1597" s="470">
        <v>3721</v>
      </c>
      <c r="K1597" s="469">
        <v>1.67</v>
      </c>
    </row>
    <row r="1598" spans="2:11" x14ac:dyDescent="0.35">
      <c r="B1598" s="62">
        <v>12.25</v>
      </c>
      <c r="C1598" s="471">
        <v>1614</v>
      </c>
      <c r="D1598" s="471">
        <v>1604.5</v>
      </c>
      <c r="E1598" s="469">
        <v>25.61</v>
      </c>
      <c r="F1598" s="469">
        <v>12.9</v>
      </c>
      <c r="G1598" s="469">
        <v>6.8</v>
      </c>
      <c r="H1598" s="470">
        <v>165</v>
      </c>
      <c r="I1598" s="470">
        <v>778</v>
      </c>
      <c r="J1598" s="470">
        <v>3669</v>
      </c>
      <c r="K1598" s="469">
        <v>1.67</v>
      </c>
    </row>
    <row r="1599" spans="2:11" x14ac:dyDescent="0.35">
      <c r="B1599" s="62">
        <v>12.25</v>
      </c>
      <c r="C1599" s="471">
        <v>1615</v>
      </c>
      <c r="D1599" s="471">
        <v>1605.4</v>
      </c>
      <c r="E1599" s="469">
        <v>30.77</v>
      </c>
      <c r="F1599" s="469">
        <v>12.2</v>
      </c>
      <c r="G1599" s="469">
        <v>7</v>
      </c>
      <c r="H1599" s="470">
        <v>166</v>
      </c>
      <c r="I1599" s="470">
        <v>780</v>
      </c>
      <c r="J1599" s="470">
        <v>3660</v>
      </c>
      <c r="K1599" s="469">
        <v>1.67</v>
      </c>
    </row>
    <row r="1600" spans="2:11" x14ac:dyDescent="0.35">
      <c r="B1600" s="62">
        <v>12.25</v>
      </c>
      <c r="C1600" s="471">
        <v>1616</v>
      </c>
      <c r="D1600" s="471">
        <v>1606.4</v>
      </c>
      <c r="E1600" s="469">
        <v>58.79</v>
      </c>
      <c r="F1600" s="469">
        <v>14.2</v>
      </c>
      <c r="G1600" s="469">
        <v>8.5</v>
      </c>
      <c r="H1600" s="470">
        <v>164</v>
      </c>
      <c r="I1600" s="470">
        <v>769</v>
      </c>
      <c r="J1600" s="470">
        <v>3764</v>
      </c>
      <c r="K1600" s="469">
        <v>1.67</v>
      </c>
    </row>
    <row r="1601" spans="2:11" x14ac:dyDescent="0.35">
      <c r="B1601" s="62">
        <v>12.25</v>
      </c>
      <c r="C1601" s="471">
        <v>1617</v>
      </c>
      <c r="D1601" s="471">
        <v>1607.4</v>
      </c>
      <c r="E1601" s="469">
        <v>64.72</v>
      </c>
      <c r="F1601" s="469">
        <v>14</v>
      </c>
      <c r="G1601" s="469">
        <v>9.1</v>
      </c>
      <c r="H1601" s="470">
        <v>161</v>
      </c>
      <c r="I1601" s="470">
        <v>769</v>
      </c>
      <c r="J1601" s="470">
        <v>3783</v>
      </c>
      <c r="K1601" s="469">
        <v>1.67</v>
      </c>
    </row>
    <row r="1602" spans="2:11" x14ac:dyDescent="0.35">
      <c r="B1602" s="62">
        <v>12.25</v>
      </c>
      <c r="C1602" s="471">
        <v>1618</v>
      </c>
      <c r="D1602" s="471">
        <v>1608.4</v>
      </c>
      <c r="E1602" s="469">
        <v>57.23</v>
      </c>
      <c r="F1602" s="469">
        <v>14.3</v>
      </c>
      <c r="G1602" s="469">
        <v>8.8000000000000007</v>
      </c>
      <c r="H1602" s="470">
        <v>164</v>
      </c>
      <c r="I1602" s="470">
        <v>768</v>
      </c>
      <c r="J1602" s="470">
        <v>3764</v>
      </c>
      <c r="K1602" s="469">
        <v>1.67</v>
      </c>
    </row>
    <row r="1603" spans="2:11" x14ac:dyDescent="0.35">
      <c r="B1603" s="62">
        <v>12.25</v>
      </c>
      <c r="C1603" s="471">
        <v>1619</v>
      </c>
      <c r="D1603" s="471">
        <v>1609.4</v>
      </c>
      <c r="E1603" s="469">
        <v>6.65</v>
      </c>
      <c r="F1603" s="469">
        <v>11.3</v>
      </c>
      <c r="G1603" s="469">
        <v>6.4</v>
      </c>
      <c r="H1603" s="470">
        <v>165</v>
      </c>
      <c r="I1603" s="470">
        <v>774</v>
      </c>
      <c r="J1603" s="470">
        <v>3618</v>
      </c>
      <c r="K1603" s="469">
        <v>1.68</v>
      </c>
    </row>
    <row r="1604" spans="2:11" x14ac:dyDescent="0.35">
      <c r="B1604" s="62">
        <v>12.25</v>
      </c>
      <c r="C1604" s="471">
        <v>1620</v>
      </c>
      <c r="D1604" s="471">
        <v>1610.4</v>
      </c>
      <c r="E1604" s="469">
        <v>55.5</v>
      </c>
      <c r="F1604" s="469">
        <v>12.2</v>
      </c>
      <c r="G1604" s="469">
        <v>7.8</v>
      </c>
      <c r="H1604" s="470">
        <v>164</v>
      </c>
      <c r="I1604" s="470">
        <v>767</v>
      </c>
      <c r="J1604" s="470">
        <v>3726</v>
      </c>
      <c r="K1604" s="469">
        <v>1.68</v>
      </c>
    </row>
    <row r="1605" spans="2:11" x14ac:dyDescent="0.35">
      <c r="B1605" s="62">
        <v>12.25</v>
      </c>
      <c r="C1605" s="471">
        <v>1621</v>
      </c>
      <c r="D1605" s="471">
        <v>1611.4</v>
      </c>
      <c r="E1605" s="469">
        <v>52.03</v>
      </c>
      <c r="F1605" s="469">
        <v>14.9</v>
      </c>
      <c r="G1605" s="469">
        <v>8.6</v>
      </c>
      <c r="H1605" s="470">
        <v>163</v>
      </c>
      <c r="I1605" s="470">
        <v>769</v>
      </c>
      <c r="J1605" s="470">
        <v>3775</v>
      </c>
      <c r="K1605" s="469">
        <v>1.68</v>
      </c>
    </row>
    <row r="1606" spans="2:11" x14ac:dyDescent="0.35">
      <c r="B1606" s="62">
        <v>12.25</v>
      </c>
      <c r="C1606" s="471">
        <v>1622</v>
      </c>
      <c r="D1606" s="471">
        <v>1612.4</v>
      </c>
      <c r="E1606" s="469">
        <v>39.369999999999997</v>
      </c>
      <c r="F1606" s="469">
        <v>14.6</v>
      </c>
      <c r="G1606" s="469">
        <v>7.7</v>
      </c>
      <c r="H1606" s="470">
        <v>165</v>
      </c>
      <c r="I1606" s="470">
        <v>778</v>
      </c>
      <c r="J1606" s="470">
        <v>3678</v>
      </c>
      <c r="K1606" s="469">
        <v>1.68</v>
      </c>
    </row>
    <row r="1607" spans="2:11" x14ac:dyDescent="0.35">
      <c r="B1607" s="62">
        <v>12.25</v>
      </c>
      <c r="C1607" s="471">
        <v>1623</v>
      </c>
      <c r="D1607" s="471">
        <v>1613.4</v>
      </c>
      <c r="E1607" s="469">
        <v>29.21</v>
      </c>
      <c r="F1607" s="469">
        <v>13.8</v>
      </c>
      <c r="G1607" s="469">
        <v>6.9</v>
      </c>
      <c r="H1607" s="470">
        <v>165</v>
      </c>
      <c r="I1607" s="470">
        <v>776</v>
      </c>
      <c r="J1607" s="470">
        <v>3653</v>
      </c>
      <c r="K1607" s="469">
        <v>1.68</v>
      </c>
    </row>
    <row r="1608" spans="2:11" x14ac:dyDescent="0.35">
      <c r="B1608" s="62">
        <v>12.25</v>
      </c>
      <c r="C1608" s="471">
        <v>1624</v>
      </c>
      <c r="D1608" s="471">
        <v>1614.4</v>
      </c>
      <c r="E1608" s="469">
        <v>45.4</v>
      </c>
      <c r="F1608" s="469">
        <v>14.1</v>
      </c>
      <c r="G1608" s="469">
        <v>7.3</v>
      </c>
      <c r="H1608" s="470">
        <v>164</v>
      </c>
      <c r="I1608" s="470">
        <v>767</v>
      </c>
      <c r="J1608" s="470">
        <v>3723</v>
      </c>
      <c r="K1608" s="469">
        <v>1.68</v>
      </c>
    </row>
    <row r="1609" spans="2:11" x14ac:dyDescent="0.35">
      <c r="B1609" s="62">
        <v>12.25</v>
      </c>
      <c r="C1609" s="471">
        <v>1625</v>
      </c>
      <c r="D1609" s="471">
        <v>1615.3</v>
      </c>
      <c r="E1609" s="469">
        <v>73.709999999999994</v>
      </c>
      <c r="F1609" s="469">
        <v>12.1</v>
      </c>
      <c r="G1609" s="469">
        <v>8.1</v>
      </c>
      <c r="H1609" s="470">
        <v>164</v>
      </c>
      <c r="I1609" s="470">
        <v>768</v>
      </c>
      <c r="J1609" s="470">
        <v>3752</v>
      </c>
      <c r="K1609" s="469">
        <v>1.68</v>
      </c>
    </row>
    <row r="1610" spans="2:11" x14ac:dyDescent="0.35">
      <c r="B1610" s="62">
        <v>12.25</v>
      </c>
      <c r="C1610" s="471">
        <v>1626</v>
      </c>
      <c r="D1610" s="471">
        <v>1616.4</v>
      </c>
      <c r="E1610" s="469">
        <v>66.03</v>
      </c>
      <c r="F1610" s="469">
        <v>12.2</v>
      </c>
      <c r="G1610" s="469">
        <v>7.4</v>
      </c>
      <c r="H1610" s="470">
        <v>164</v>
      </c>
      <c r="I1610" s="470">
        <v>767</v>
      </c>
      <c r="J1610" s="470">
        <v>3757</v>
      </c>
      <c r="K1610" s="469">
        <v>1.68</v>
      </c>
    </row>
    <row r="1611" spans="2:11" x14ac:dyDescent="0.35">
      <c r="B1611" s="62">
        <v>12.25</v>
      </c>
      <c r="C1611" s="471">
        <v>1627</v>
      </c>
      <c r="D1611" s="471">
        <v>1617.4</v>
      </c>
      <c r="E1611" s="469">
        <v>69.239999999999995</v>
      </c>
      <c r="F1611" s="469">
        <v>12.5</v>
      </c>
      <c r="G1611" s="469">
        <v>7.5</v>
      </c>
      <c r="H1611" s="470">
        <v>164</v>
      </c>
      <c r="I1611" s="470">
        <v>766</v>
      </c>
      <c r="J1611" s="470">
        <v>3782</v>
      </c>
      <c r="K1611" s="469">
        <v>1.68</v>
      </c>
    </row>
    <row r="1612" spans="2:11" x14ac:dyDescent="0.35">
      <c r="B1612" s="62">
        <v>12.25</v>
      </c>
      <c r="C1612" s="471">
        <v>1628</v>
      </c>
      <c r="D1612" s="471">
        <v>1618.3</v>
      </c>
      <c r="E1612" s="469">
        <v>74.78</v>
      </c>
      <c r="F1612" s="469">
        <v>11.4</v>
      </c>
      <c r="G1612" s="469">
        <v>7.6</v>
      </c>
      <c r="H1612" s="470">
        <v>164</v>
      </c>
      <c r="I1612" s="470">
        <v>770</v>
      </c>
      <c r="J1612" s="470">
        <v>3728</v>
      </c>
      <c r="K1612" s="469">
        <v>1.68</v>
      </c>
    </row>
    <row r="1613" spans="2:11" x14ac:dyDescent="0.35">
      <c r="B1613" s="62">
        <v>12.25</v>
      </c>
      <c r="C1613" s="471">
        <v>1629</v>
      </c>
      <c r="D1613" s="471">
        <v>1619.3</v>
      </c>
      <c r="E1613" s="469">
        <v>91.57</v>
      </c>
      <c r="F1613" s="469">
        <v>12.6</v>
      </c>
      <c r="G1613" s="469">
        <v>7.9</v>
      </c>
      <c r="H1613" s="470">
        <v>164</v>
      </c>
      <c r="I1613" s="470">
        <v>767</v>
      </c>
      <c r="J1613" s="470">
        <v>3772</v>
      </c>
      <c r="K1613" s="469">
        <v>1.68</v>
      </c>
    </row>
    <row r="1614" spans="2:11" x14ac:dyDescent="0.35">
      <c r="B1614" s="62">
        <v>12.25</v>
      </c>
      <c r="C1614" s="471">
        <v>1630</v>
      </c>
      <c r="D1614" s="471">
        <v>1620.3</v>
      </c>
      <c r="E1614" s="469">
        <v>89.66</v>
      </c>
      <c r="F1614" s="469">
        <v>11</v>
      </c>
      <c r="G1614" s="469">
        <v>7.1</v>
      </c>
      <c r="H1614" s="470">
        <v>164</v>
      </c>
      <c r="I1614" s="470">
        <v>766</v>
      </c>
      <c r="J1614" s="470">
        <v>3741</v>
      </c>
      <c r="K1614" s="469">
        <v>1.68</v>
      </c>
    </row>
    <row r="1615" spans="2:11" x14ac:dyDescent="0.35">
      <c r="B1615" s="62">
        <v>12.25</v>
      </c>
      <c r="C1615" s="471">
        <v>1631</v>
      </c>
      <c r="D1615" s="471">
        <v>1621.3</v>
      </c>
      <c r="E1615" s="469">
        <v>94.38</v>
      </c>
      <c r="F1615" s="469">
        <v>13.1</v>
      </c>
      <c r="G1615" s="469">
        <v>7.3</v>
      </c>
      <c r="H1615" s="470">
        <v>164</v>
      </c>
      <c r="I1615" s="470">
        <v>768</v>
      </c>
      <c r="J1615" s="470">
        <v>3782</v>
      </c>
      <c r="K1615" s="469">
        <v>1.68</v>
      </c>
    </row>
    <row r="1616" spans="2:11" x14ac:dyDescent="0.35">
      <c r="B1616" s="62">
        <v>12.25</v>
      </c>
      <c r="C1616" s="471">
        <v>1632</v>
      </c>
      <c r="D1616" s="471">
        <v>1622.3</v>
      </c>
      <c r="E1616" s="469">
        <v>95.9</v>
      </c>
      <c r="F1616" s="469">
        <v>11.6</v>
      </c>
      <c r="G1616" s="469">
        <v>6.7</v>
      </c>
      <c r="H1616" s="470">
        <v>164</v>
      </c>
      <c r="I1616" s="470">
        <v>770</v>
      </c>
      <c r="J1616" s="470">
        <v>3723</v>
      </c>
      <c r="K1616" s="469">
        <v>1.68</v>
      </c>
    </row>
    <row r="1617" spans="2:11" x14ac:dyDescent="0.35">
      <c r="B1617" s="62">
        <v>12.25</v>
      </c>
      <c r="C1617" s="471">
        <v>1633</v>
      </c>
      <c r="D1617" s="471">
        <v>1623.4</v>
      </c>
      <c r="E1617" s="469">
        <v>57.23</v>
      </c>
      <c r="F1617" s="469">
        <v>8.9</v>
      </c>
      <c r="G1617" s="469">
        <v>6</v>
      </c>
      <c r="H1617" s="470">
        <v>165</v>
      </c>
      <c r="I1617" s="470">
        <v>775</v>
      </c>
      <c r="J1617" s="470">
        <v>3660</v>
      </c>
      <c r="K1617" s="469">
        <v>1.68</v>
      </c>
    </row>
    <row r="1618" spans="2:11" x14ac:dyDescent="0.35">
      <c r="B1618" s="62">
        <v>12.25</v>
      </c>
      <c r="C1618" s="471">
        <v>1634</v>
      </c>
      <c r="D1618" s="471">
        <v>1624.3</v>
      </c>
      <c r="E1618" s="469">
        <v>71.540000000000006</v>
      </c>
      <c r="F1618" s="469">
        <v>7.3</v>
      </c>
      <c r="G1618" s="469">
        <v>5.7</v>
      </c>
      <c r="H1618" s="470">
        <v>165</v>
      </c>
      <c r="I1618" s="470">
        <v>778</v>
      </c>
      <c r="J1618" s="470">
        <v>3615</v>
      </c>
      <c r="K1618" s="469">
        <v>1.68</v>
      </c>
    </row>
    <row r="1619" spans="2:11" x14ac:dyDescent="0.35">
      <c r="B1619" s="62">
        <v>12.25</v>
      </c>
      <c r="C1619" s="471">
        <v>1635</v>
      </c>
      <c r="D1619" s="471">
        <v>1625.3</v>
      </c>
      <c r="E1619" s="469">
        <v>68.84</v>
      </c>
      <c r="F1619" s="469">
        <v>11.1</v>
      </c>
      <c r="G1619" s="469">
        <v>6.8</v>
      </c>
      <c r="H1619" s="470">
        <v>165</v>
      </c>
      <c r="I1619" s="470">
        <v>771</v>
      </c>
      <c r="J1619" s="470">
        <v>3704</v>
      </c>
      <c r="K1619" s="469">
        <v>1.68</v>
      </c>
    </row>
    <row r="1620" spans="2:11" x14ac:dyDescent="0.35">
      <c r="B1620" s="62">
        <v>12.25</v>
      </c>
      <c r="C1620" s="471">
        <v>1636</v>
      </c>
      <c r="D1620" s="471">
        <v>1626.3</v>
      </c>
      <c r="E1620" s="469">
        <v>72.989999999999995</v>
      </c>
      <c r="F1620" s="469">
        <v>11.9</v>
      </c>
      <c r="G1620" s="469">
        <v>6.8</v>
      </c>
      <c r="H1620" s="470">
        <v>164</v>
      </c>
      <c r="I1620" s="470">
        <v>768</v>
      </c>
      <c r="J1620" s="470">
        <v>3745</v>
      </c>
      <c r="K1620" s="469">
        <v>1.68</v>
      </c>
    </row>
    <row r="1621" spans="2:11" x14ac:dyDescent="0.35">
      <c r="B1621" s="62">
        <v>12.25</v>
      </c>
      <c r="C1621" s="471">
        <v>1637</v>
      </c>
      <c r="D1621" s="471">
        <v>1627.3</v>
      </c>
      <c r="E1621" s="469">
        <v>8.1199999999999992</v>
      </c>
      <c r="F1621" s="469">
        <v>7.8</v>
      </c>
      <c r="G1621" s="469">
        <v>5.5</v>
      </c>
      <c r="H1621" s="470">
        <v>165</v>
      </c>
      <c r="I1621" s="470">
        <v>774</v>
      </c>
      <c r="J1621" s="470">
        <v>3621</v>
      </c>
      <c r="K1621" s="469">
        <v>1.68</v>
      </c>
    </row>
    <row r="1622" spans="2:11" x14ac:dyDescent="0.35">
      <c r="B1622" s="62">
        <v>12.25</v>
      </c>
      <c r="C1622" s="471">
        <v>1638</v>
      </c>
      <c r="D1622" s="471">
        <v>1628.3</v>
      </c>
      <c r="E1622" s="469">
        <v>70.86</v>
      </c>
      <c r="F1622" s="469">
        <v>9</v>
      </c>
      <c r="G1622" s="469">
        <v>6.5</v>
      </c>
      <c r="H1622" s="470">
        <v>165</v>
      </c>
      <c r="I1622" s="470">
        <v>772</v>
      </c>
      <c r="J1622" s="470">
        <v>3672</v>
      </c>
      <c r="K1622" s="469">
        <v>1.68</v>
      </c>
    </row>
    <row r="1623" spans="2:11" x14ac:dyDescent="0.35">
      <c r="B1623" s="62">
        <v>12.25</v>
      </c>
      <c r="C1623" s="471">
        <v>1639</v>
      </c>
      <c r="D1623" s="471">
        <v>1629.3</v>
      </c>
      <c r="E1623" s="469">
        <v>75.540000000000006</v>
      </c>
      <c r="F1623" s="469">
        <v>10.199999999999999</v>
      </c>
      <c r="G1623" s="469">
        <v>6.4</v>
      </c>
      <c r="H1623" s="470">
        <v>164</v>
      </c>
      <c r="I1623" s="470">
        <v>765</v>
      </c>
      <c r="J1623" s="470">
        <v>3718</v>
      </c>
      <c r="K1623" s="469">
        <v>1.68</v>
      </c>
    </row>
    <row r="1624" spans="2:11" x14ac:dyDescent="0.35">
      <c r="B1624" s="62">
        <v>12.25</v>
      </c>
      <c r="C1624" s="471">
        <v>1640</v>
      </c>
      <c r="D1624" s="471">
        <v>1630.3</v>
      </c>
      <c r="E1624" s="469">
        <v>55.24</v>
      </c>
      <c r="F1624" s="469">
        <v>8</v>
      </c>
      <c r="G1624" s="469">
        <v>5.5</v>
      </c>
      <c r="H1624" s="470">
        <v>165</v>
      </c>
      <c r="I1624" s="470">
        <v>774</v>
      </c>
      <c r="J1624" s="470">
        <v>3644</v>
      </c>
      <c r="K1624" s="469">
        <v>1.68</v>
      </c>
    </row>
    <row r="1625" spans="2:11" x14ac:dyDescent="0.35">
      <c r="B1625" s="62">
        <v>12.25</v>
      </c>
      <c r="C1625" s="471">
        <v>1641</v>
      </c>
      <c r="D1625" s="471">
        <v>1631.2</v>
      </c>
      <c r="E1625" s="469">
        <v>3.84</v>
      </c>
      <c r="F1625" s="469">
        <v>7.2</v>
      </c>
      <c r="G1625" s="469">
        <v>4.3</v>
      </c>
      <c r="H1625" s="470">
        <v>157</v>
      </c>
      <c r="I1625" s="470">
        <v>746</v>
      </c>
      <c r="J1625" s="470">
        <v>3281</v>
      </c>
      <c r="K1625" s="469">
        <v>1.68</v>
      </c>
    </row>
    <row r="1626" spans="2:11" x14ac:dyDescent="0.35">
      <c r="B1626" s="62">
        <v>12.25</v>
      </c>
      <c r="C1626" s="471">
        <v>1642</v>
      </c>
      <c r="D1626" s="471">
        <v>1632.3</v>
      </c>
      <c r="E1626" s="469">
        <v>44.83</v>
      </c>
      <c r="F1626" s="469">
        <v>12.2</v>
      </c>
      <c r="G1626" s="469">
        <v>6.7</v>
      </c>
      <c r="H1626" s="470">
        <v>164</v>
      </c>
      <c r="I1626" s="470">
        <v>775</v>
      </c>
      <c r="J1626" s="470">
        <v>3683</v>
      </c>
      <c r="K1626" s="469">
        <v>1.68</v>
      </c>
    </row>
    <row r="1627" spans="2:11" x14ac:dyDescent="0.35">
      <c r="B1627" s="62">
        <v>12.25</v>
      </c>
      <c r="C1627" s="471">
        <v>1643</v>
      </c>
      <c r="D1627" s="471">
        <v>1633.3</v>
      </c>
      <c r="E1627" s="469">
        <v>56.9</v>
      </c>
      <c r="F1627" s="469">
        <v>13</v>
      </c>
      <c r="G1627" s="469">
        <v>7.7</v>
      </c>
      <c r="H1627" s="470">
        <v>164</v>
      </c>
      <c r="I1627" s="470">
        <v>774</v>
      </c>
      <c r="J1627" s="470">
        <v>3746</v>
      </c>
      <c r="K1627" s="469">
        <v>1.68</v>
      </c>
    </row>
    <row r="1628" spans="2:11" x14ac:dyDescent="0.35">
      <c r="B1628" s="62">
        <v>12.25</v>
      </c>
      <c r="C1628" s="471">
        <v>1644</v>
      </c>
      <c r="D1628" s="471">
        <v>1634.3</v>
      </c>
      <c r="E1628" s="469">
        <v>69.95</v>
      </c>
      <c r="F1628" s="469">
        <v>11</v>
      </c>
      <c r="G1628" s="469">
        <v>6.9</v>
      </c>
      <c r="H1628" s="470">
        <v>164</v>
      </c>
      <c r="I1628" s="470">
        <v>775</v>
      </c>
      <c r="J1628" s="470">
        <v>3669</v>
      </c>
      <c r="K1628" s="469">
        <v>1.68</v>
      </c>
    </row>
    <row r="1629" spans="2:11" x14ac:dyDescent="0.35">
      <c r="B1629" s="62">
        <v>12.25</v>
      </c>
      <c r="C1629" s="471">
        <v>1645</v>
      </c>
      <c r="D1629" s="471">
        <v>1635.3</v>
      </c>
      <c r="E1629" s="469">
        <v>71.27</v>
      </c>
      <c r="F1629" s="469">
        <v>13.9</v>
      </c>
      <c r="G1629" s="469">
        <v>7.8</v>
      </c>
      <c r="H1629" s="470">
        <v>161</v>
      </c>
      <c r="I1629" s="470">
        <v>746</v>
      </c>
      <c r="J1629" s="470">
        <v>3658</v>
      </c>
      <c r="K1629" s="469">
        <v>1.68</v>
      </c>
    </row>
    <row r="1630" spans="2:11" x14ac:dyDescent="0.35">
      <c r="B1630" s="62">
        <v>12.25</v>
      </c>
      <c r="C1630" s="471">
        <v>1646</v>
      </c>
      <c r="D1630" s="471">
        <v>1636.2</v>
      </c>
      <c r="E1630" s="469">
        <v>38.96</v>
      </c>
      <c r="F1630" s="469">
        <v>12.6</v>
      </c>
      <c r="G1630" s="469">
        <v>7</v>
      </c>
      <c r="H1630" s="470">
        <v>157</v>
      </c>
      <c r="I1630" s="470">
        <v>712</v>
      </c>
      <c r="J1630" s="470">
        <v>3071</v>
      </c>
      <c r="K1630" s="469">
        <v>1.68</v>
      </c>
    </row>
    <row r="1631" spans="2:11" x14ac:dyDescent="0.35">
      <c r="B1631" s="62">
        <v>12.25</v>
      </c>
      <c r="C1631" s="471">
        <v>1647</v>
      </c>
      <c r="D1631" s="471">
        <v>1637.2</v>
      </c>
      <c r="E1631" s="469">
        <v>47.07</v>
      </c>
      <c r="F1631" s="469">
        <v>13.7</v>
      </c>
      <c r="G1631" s="469">
        <v>7.3</v>
      </c>
      <c r="H1631" s="470">
        <v>161</v>
      </c>
      <c r="I1631" s="470">
        <v>740</v>
      </c>
      <c r="J1631" s="470">
        <v>3400</v>
      </c>
      <c r="K1631" s="469">
        <v>1.68</v>
      </c>
    </row>
    <row r="1632" spans="2:11" x14ac:dyDescent="0.35">
      <c r="B1632" s="62">
        <v>12.25</v>
      </c>
      <c r="C1632" s="471">
        <v>1648</v>
      </c>
      <c r="D1632" s="471">
        <v>1638.2</v>
      </c>
      <c r="E1632" s="469">
        <v>62.84</v>
      </c>
      <c r="F1632" s="469">
        <v>12.5</v>
      </c>
      <c r="G1632" s="469">
        <v>7.4</v>
      </c>
      <c r="H1632" s="470">
        <v>157</v>
      </c>
      <c r="I1632" s="470">
        <v>704</v>
      </c>
      <c r="J1632" s="470">
        <v>3139</v>
      </c>
      <c r="K1632" s="469">
        <v>1.68</v>
      </c>
    </row>
    <row r="1633" spans="2:11" x14ac:dyDescent="0.35">
      <c r="B1633" s="62">
        <v>12.25</v>
      </c>
      <c r="C1633" s="471">
        <v>1649</v>
      </c>
      <c r="D1633" s="471">
        <v>1639.2</v>
      </c>
      <c r="E1633" s="469">
        <v>58.2</v>
      </c>
      <c r="F1633" s="469">
        <v>9.9</v>
      </c>
      <c r="G1633" s="469">
        <v>6.9</v>
      </c>
      <c r="H1633" s="470">
        <v>152</v>
      </c>
      <c r="I1633" s="470">
        <v>657</v>
      </c>
      <c r="J1633" s="470">
        <v>2762</v>
      </c>
      <c r="K1633" s="469">
        <v>1.68</v>
      </c>
    </row>
    <row r="1634" spans="2:11" x14ac:dyDescent="0.35">
      <c r="B1634" s="62">
        <v>12.25</v>
      </c>
      <c r="C1634" s="471">
        <v>1650</v>
      </c>
      <c r="D1634" s="471">
        <v>1640.2</v>
      </c>
      <c r="E1634" s="469">
        <v>52.87</v>
      </c>
      <c r="F1634" s="469">
        <v>12.9</v>
      </c>
      <c r="G1634" s="469">
        <v>7.7</v>
      </c>
      <c r="H1634" s="470">
        <v>159</v>
      </c>
      <c r="I1634" s="470">
        <v>723</v>
      </c>
      <c r="J1634" s="470">
        <v>3274</v>
      </c>
      <c r="K1634" s="469">
        <v>1.68</v>
      </c>
    </row>
    <row r="1635" spans="2:11" x14ac:dyDescent="0.35">
      <c r="B1635" s="62">
        <v>12.25</v>
      </c>
      <c r="C1635" s="471">
        <v>1651</v>
      </c>
      <c r="D1635" s="471">
        <v>1641.2</v>
      </c>
      <c r="E1635" s="469">
        <v>35.82</v>
      </c>
      <c r="F1635" s="469">
        <v>12.7</v>
      </c>
      <c r="G1635" s="469">
        <v>6.8</v>
      </c>
      <c r="H1635" s="470">
        <v>159</v>
      </c>
      <c r="I1635" s="470">
        <v>727</v>
      </c>
      <c r="J1635" s="470">
        <v>3375</v>
      </c>
      <c r="K1635" s="469">
        <v>1.68</v>
      </c>
    </row>
    <row r="1636" spans="2:11" x14ac:dyDescent="0.35">
      <c r="B1636" s="62">
        <v>12.25</v>
      </c>
      <c r="C1636" s="471">
        <v>1652</v>
      </c>
      <c r="D1636" s="471">
        <v>1642.2</v>
      </c>
      <c r="E1636" s="469">
        <v>44.28</v>
      </c>
      <c r="F1636" s="469">
        <v>12.5</v>
      </c>
      <c r="G1636" s="469">
        <v>6.9</v>
      </c>
      <c r="H1636" s="470">
        <v>159</v>
      </c>
      <c r="I1636" s="470">
        <v>724</v>
      </c>
      <c r="J1636" s="470">
        <v>3435</v>
      </c>
      <c r="K1636" s="469">
        <v>1.68</v>
      </c>
    </row>
    <row r="1637" spans="2:11" x14ac:dyDescent="0.35">
      <c r="B1637" s="62">
        <v>12.25</v>
      </c>
      <c r="C1637" s="471">
        <v>1653</v>
      </c>
      <c r="D1637" s="471">
        <v>1643.2</v>
      </c>
      <c r="E1637" s="469">
        <v>44.86</v>
      </c>
      <c r="F1637" s="469">
        <v>11.7</v>
      </c>
      <c r="G1637" s="469">
        <v>6.8</v>
      </c>
      <c r="H1637" s="470">
        <v>155</v>
      </c>
      <c r="I1637" s="470">
        <v>699</v>
      </c>
      <c r="J1637" s="470">
        <v>3163</v>
      </c>
      <c r="K1637" s="469">
        <v>1.68</v>
      </c>
    </row>
    <row r="1638" spans="2:11" x14ac:dyDescent="0.35">
      <c r="B1638" s="62">
        <v>12.25</v>
      </c>
      <c r="C1638" s="471">
        <v>1654</v>
      </c>
      <c r="D1638" s="471">
        <v>1644.2</v>
      </c>
      <c r="E1638" s="469">
        <v>37.340000000000003</v>
      </c>
      <c r="F1638" s="469">
        <v>12.6</v>
      </c>
      <c r="G1638" s="469">
        <v>6.7</v>
      </c>
      <c r="H1638" s="470">
        <v>160</v>
      </c>
      <c r="I1638" s="470">
        <v>736</v>
      </c>
      <c r="J1638" s="470">
        <v>3375</v>
      </c>
      <c r="K1638" s="469">
        <v>1.68</v>
      </c>
    </row>
    <row r="1639" spans="2:11" x14ac:dyDescent="0.35">
      <c r="B1639" s="62">
        <v>12.25</v>
      </c>
      <c r="C1639" s="471">
        <v>1655</v>
      </c>
      <c r="D1639" s="471">
        <v>1645.2</v>
      </c>
      <c r="E1639" s="469">
        <v>46.19</v>
      </c>
      <c r="F1639" s="469">
        <v>12</v>
      </c>
      <c r="G1639" s="469">
        <v>6.2</v>
      </c>
      <c r="H1639" s="470">
        <v>160</v>
      </c>
      <c r="I1639" s="470">
        <v>730</v>
      </c>
      <c r="J1639" s="470">
        <v>3387</v>
      </c>
      <c r="K1639" s="469">
        <v>1.68</v>
      </c>
    </row>
    <row r="1640" spans="2:11" x14ac:dyDescent="0.35">
      <c r="B1640" s="62">
        <v>12.25</v>
      </c>
      <c r="C1640" s="471">
        <v>1656</v>
      </c>
      <c r="D1640" s="471">
        <v>1646.2</v>
      </c>
      <c r="E1640" s="469">
        <v>62.37</v>
      </c>
      <c r="F1640" s="469">
        <v>13.7</v>
      </c>
      <c r="G1640" s="469">
        <v>7.6</v>
      </c>
      <c r="H1640" s="470">
        <v>164</v>
      </c>
      <c r="I1640" s="470">
        <v>768</v>
      </c>
      <c r="J1640" s="470">
        <v>3774</v>
      </c>
      <c r="K1640" s="469">
        <v>1.68</v>
      </c>
    </row>
    <row r="1641" spans="2:11" x14ac:dyDescent="0.35">
      <c r="B1641" s="62">
        <v>12.25</v>
      </c>
      <c r="C1641" s="471">
        <v>1657</v>
      </c>
      <c r="D1641" s="471">
        <v>1647.1</v>
      </c>
      <c r="E1641" s="469">
        <v>65</v>
      </c>
      <c r="F1641" s="469">
        <v>13.2</v>
      </c>
      <c r="G1641" s="469">
        <v>7.3</v>
      </c>
      <c r="H1641" s="470">
        <v>164</v>
      </c>
      <c r="I1641" s="470">
        <v>769</v>
      </c>
      <c r="J1641" s="470">
        <v>3741</v>
      </c>
      <c r="K1641" s="469">
        <v>1.68</v>
      </c>
    </row>
    <row r="1642" spans="2:11" x14ac:dyDescent="0.35">
      <c r="B1642" s="62">
        <v>12.25</v>
      </c>
      <c r="C1642" s="471">
        <v>1658</v>
      </c>
      <c r="D1642" s="471">
        <v>1648.2</v>
      </c>
      <c r="E1642" s="469">
        <v>58.79</v>
      </c>
      <c r="F1642" s="469">
        <v>12.1</v>
      </c>
      <c r="G1642" s="469">
        <v>7.1</v>
      </c>
      <c r="H1642" s="470">
        <v>164</v>
      </c>
      <c r="I1642" s="470">
        <v>767</v>
      </c>
      <c r="J1642" s="470">
        <v>3699</v>
      </c>
      <c r="K1642" s="469">
        <v>1.68</v>
      </c>
    </row>
    <row r="1643" spans="2:11" x14ac:dyDescent="0.35">
      <c r="B1643" s="62">
        <v>12.25</v>
      </c>
      <c r="C1643" s="471">
        <v>1659</v>
      </c>
      <c r="D1643" s="471">
        <v>1649.1</v>
      </c>
      <c r="E1643" s="469">
        <v>58.46</v>
      </c>
      <c r="F1643" s="469">
        <v>11.8</v>
      </c>
      <c r="G1643" s="469">
        <v>7.3</v>
      </c>
      <c r="H1643" s="470">
        <v>164</v>
      </c>
      <c r="I1643" s="470">
        <v>768</v>
      </c>
      <c r="J1643" s="470">
        <v>3679</v>
      </c>
      <c r="K1643" s="469">
        <v>1.68</v>
      </c>
    </row>
    <row r="1644" spans="2:11" x14ac:dyDescent="0.35">
      <c r="B1644" s="62">
        <v>12.25</v>
      </c>
      <c r="C1644" s="471">
        <v>1660</v>
      </c>
      <c r="D1644" s="471">
        <v>1650.2</v>
      </c>
      <c r="E1644" s="469">
        <v>58.55</v>
      </c>
      <c r="F1644" s="469">
        <v>11.1</v>
      </c>
      <c r="G1644" s="469">
        <v>6.3</v>
      </c>
      <c r="H1644" s="470">
        <v>164</v>
      </c>
      <c r="I1644" s="470">
        <v>769</v>
      </c>
      <c r="J1644" s="470">
        <v>3670</v>
      </c>
      <c r="K1644" s="469">
        <v>1.68</v>
      </c>
    </row>
    <row r="1645" spans="2:11" x14ac:dyDescent="0.35">
      <c r="B1645" s="62">
        <v>12.25</v>
      </c>
      <c r="C1645" s="471">
        <v>1661</v>
      </c>
      <c r="D1645" s="471">
        <v>1651.2</v>
      </c>
      <c r="E1645" s="469">
        <v>48.7</v>
      </c>
      <c r="F1645" s="469">
        <v>11.3</v>
      </c>
      <c r="G1645" s="469">
        <v>6.7</v>
      </c>
      <c r="H1645" s="470">
        <v>163</v>
      </c>
      <c r="I1645" s="470">
        <v>768</v>
      </c>
      <c r="J1645" s="470">
        <v>3648</v>
      </c>
      <c r="K1645" s="469">
        <v>1.68</v>
      </c>
    </row>
    <row r="1646" spans="2:11" x14ac:dyDescent="0.35">
      <c r="B1646" s="62">
        <v>12.25</v>
      </c>
      <c r="C1646" s="471">
        <v>1662</v>
      </c>
      <c r="D1646" s="471">
        <v>1652.1</v>
      </c>
      <c r="E1646" s="469">
        <v>55.59</v>
      </c>
      <c r="F1646" s="469">
        <v>10.5</v>
      </c>
      <c r="G1646" s="469">
        <v>6.8</v>
      </c>
      <c r="H1646" s="470">
        <v>164</v>
      </c>
      <c r="I1646" s="470">
        <v>768</v>
      </c>
      <c r="J1646" s="470">
        <v>3637</v>
      </c>
      <c r="K1646" s="469">
        <v>1.68</v>
      </c>
    </row>
    <row r="1647" spans="2:11" x14ac:dyDescent="0.35">
      <c r="B1647" s="62">
        <v>12.25</v>
      </c>
      <c r="C1647" s="471">
        <v>1663</v>
      </c>
      <c r="D1647" s="471">
        <v>1653.1</v>
      </c>
      <c r="E1647" s="469">
        <v>50.69</v>
      </c>
      <c r="F1647" s="469">
        <v>11.2</v>
      </c>
      <c r="G1647" s="469">
        <v>6.7</v>
      </c>
      <c r="H1647" s="470">
        <v>164</v>
      </c>
      <c r="I1647" s="470">
        <v>767</v>
      </c>
      <c r="J1647" s="470">
        <v>3669</v>
      </c>
      <c r="K1647" s="469">
        <v>1.68</v>
      </c>
    </row>
    <row r="1648" spans="2:11" x14ac:dyDescent="0.35">
      <c r="B1648" s="62">
        <v>12.25</v>
      </c>
      <c r="C1648" s="471">
        <v>1664</v>
      </c>
      <c r="D1648" s="471">
        <v>1654.2</v>
      </c>
      <c r="E1648" s="469">
        <v>53.53</v>
      </c>
      <c r="F1648" s="469">
        <v>13.2</v>
      </c>
      <c r="G1648" s="469">
        <v>7.3</v>
      </c>
      <c r="H1648" s="470">
        <v>164</v>
      </c>
      <c r="I1648" s="470">
        <v>768</v>
      </c>
      <c r="J1648" s="470">
        <v>3707</v>
      </c>
      <c r="K1648" s="469">
        <v>1.68</v>
      </c>
    </row>
    <row r="1649" spans="2:11" x14ac:dyDescent="0.35">
      <c r="B1649" s="62">
        <v>12.25</v>
      </c>
      <c r="C1649" s="471">
        <v>1665</v>
      </c>
      <c r="D1649" s="471">
        <v>1655</v>
      </c>
      <c r="E1649" s="469">
        <v>44.36</v>
      </c>
      <c r="F1649" s="469">
        <v>11.3</v>
      </c>
      <c r="G1649" s="469">
        <v>5.8</v>
      </c>
      <c r="H1649" s="470">
        <v>164</v>
      </c>
      <c r="I1649" s="470">
        <v>769</v>
      </c>
      <c r="J1649" s="470">
        <v>3653</v>
      </c>
      <c r="K1649" s="469">
        <v>1.68</v>
      </c>
    </row>
    <row r="1650" spans="2:11" x14ac:dyDescent="0.35">
      <c r="B1650" s="62">
        <v>12.25</v>
      </c>
      <c r="C1650" s="471">
        <v>1666</v>
      </c>
      <c r="D1650" s="471">
        <v>1655.9</v>
      </c>
      <c r="E1650" s="469">
        <v>43.54</v>
      </c>
      <c r="F1650" s="469">
        <v>9.4</v>
      </c>
      <c r="G1650" s="469">
        <v>5.5</v>
      </c>
      <c r="H1650" s="470">
        <v>164</v>
      </c>
      <c r="I1650" s="470">
        <v>769</v>
      </c>
      <c r="J1650" s="470">
        <v>3616</v>
      </c>
      <c r="K1650" s="469">
        <v>1.68</v>
      </c>
    </row>
    <row r="1651" spans="2:11" x14ac:dyDescent="0.35">
      <c r="B1651" s="62">
        <v>12.25</v>
      </c>
      <c r="C1651" s="471">
        <v>1667</v>
      </c>
      <c r="D1651" s="471">
        <v>1656.9</v>
      </c>
      <c r="E1651" s="469">
        <v>54.85</v>
      </c>
      <c r="F1651" s="469">
        <v>9.5</v>
      </c>
      <c r="G1651" s="469">
        <v>5.6</v>
      </c>
      <c r="H1651" s="470">
        <v>164</v>
      </c>
      <c r="I1651" s="470">
        <v>768</v>
      </c>
      <c r="J1651" s="470">
        <v>3626</v>
      </c>
      <c r="K1651" s="469">
        <v>1.68</v>
      </c>
    </row>
    <row r="1652" spans="2:11" x14ac:dyDescent="0.35">
      <c r="B1652" s="62">
        <v>12.25</v>
      </c>
      <c r="C1652" s="471">
        <v>1668</v>
      </c>
      <c r="D1652" s="471">
        <v>1657.9</v>
      </c>
      <c r="E1652" s="469">
        <v>54.92</v>
      </c>
      <c r="F1652" s="469">
        <v>10.8</v>
      </c>
      <c r="G1652" s="469">
        <v>6.4</v>
      </c>
      <c r="H1652" s="470">
        <v>164</v>
      </c>
      <c r="I1652" s="470">
        <v>768</v>
      </c>
      <c r="J1652" s="470">
        <v>3679</v>
      </c>
      <c r="K1652" s="469">
        <v>1.68</v>
      </c>
    </row>
    <row r="1653" spans="2:11" x14ac:dyDescent="0.35">
      <c r="B1653" s="62">
        <v>12.25</v>
      </c>
      <c r="C1653" s="471">
        <v>1669</v>
      </c>
      <c r="D1653" s="471">
        <v>1658.9</v>
      </c>
      <c r="E1653" s="469">
        <v>9.2899999999999991</v>
      </c>
      <c r="F1653" s="469">
        <v>13.5</v>
      </c>
      <c r="G1653" s="469">
        <v>7.3</v>
      </c>
      <c r="H1653" s="470">
        <v>164</v>
      </c>
      <c r="I1653" s="470">
        <v>767</v>
      </c>
      <c r="J1653" s="470">
        <v>3779</v>
      </c>
      <c r="K1653" s="469">
        <v>1.68</v>
      </c>
    </row>
    <row r="1654" spans="2:11" x14ac:dyDescent="0.35">
      <c r="B1654" s="62">
        <v>12.25</v>
      </c>
      <c r="C1654" s="471">
        <v>1670</v>
      </c>
      <c r="D1654" s="471">
        <v>1659.9</v>
      </c>
      <c r="E1654" s="469">
        <v>30.07</v>
      </c>
      <c r="F1654" s="469">
        <v>5.6</v>
      </c>
      <c r="G1654" s="469">
        <v>4.3</v>
      </c>
      <c r="H1654" s="470">
        <v>167</v>
      </c>
      <c r="I1654" s="470">
        <v>776</v>
      </c>
      <c r="J1654" s="470">
        <v>3662</v>
      </c>
      <c r="K1654" s="469">
        <v>1.68</v>
      </c>
    </row>
    <row r="1655" spans="2:11" x14ac:dyDescent="0.35">
      <c r="B1655" s="62">
        <v>12.25</v>
      </c>
      <c r="C1655" s="471">
        <v>1671</v>
      </c>
      <c r="D1655" s="471">
        <v>1660.9</v>
      </c>
      <c r="E1655" s="469">
        <v>12.99</v>
      </c>
      <c r="F1655" s="469">
        <v>5.0999999999999996</v>
      </c>
      <c r="G1655" s="469">
        <v>3.2</v>
      </c>
      <c r="H1655" s="470">
        <v>168</v>
      </c>
      <c r="I1655" s="470">
        <v>789</v>
      </c>
      <c r="J1655" s="470">
        <v>3527</v>
      </c>
      <c r="K1655" s="469">
        <v>1.68</v>
      </c>
    </row>
    <row r="1656" spans="2:11" x14ac:dyDescent="0.35">
      <c r="B1656" s="62">
        <v>12.25</v>
      </c>
      <c r="C1656" s="471">
        <v>1672</v>
      </c>
      <c r="D1656" s="471">
        <v>1661.9</v>
      </c>
      <c r="E1656" s="469">
        <v>9.77</v>
      </c>
      <c r="F1656" s="469">
        <v>5.3</v>
      </c>
      <c r="G1656" s="469">
        <v>2.9</v>
      </c>
      <c r="H1656" s="470">
        <v>167</v>
      </c>
      <c r="I1656" s="470">
        <v>779</v>
      </c>
      <c r="J1656" s="470">
        <v>3617</v>
      </c>
      <c r="K1656" s="469">
        <v>1.68</v>
      </c>
    </row>
    <row r="1657" spans="2:11" x14ac:dyDescent="0.35">
      <c r="B1657" s="62">
        <v>12.25</v>
      </c>
      <c r="C1657" s="471">
        <v>1673</v>
      </c>
      <c r="D1657" s="471">
        <v>1662.9</v>
      </c>
      <c r="E1657" s="469">
        <v>14.92</v>
      </c>
      <c r="F1657" s="469">
        <v>6.7</v>
      </c>
      <c r="G1657" s="469">
        <v>3.6</v>
      </c>
      <c r="H1657" s="470">
        <v>167</v>
      </c>
      <c r="I1657" s="470">
        <v>775</v>
      </c>
      <c r="J1657" s="470">
        <v>3659</v>
      </c>
      <c r="K1657" s="469">
        <v>1.69</v>
      </c>
    </row>
    <row r="1658" spans="2:11" x14ac:dyDescent="0.35">
      <c r="B1658" s="62">
        <v>12.25</v>
      </c>
      <c r="C1658" s="471">
        <v>1674</v>
      </c>
      <c r="D1658" s="471">
        <v>1663.9</v>
      </c>
      <c r="E1658" s="469">
        <v>15.02</v>
      </c>
      <c r="F1658" s="469">
        <v>7.2</v>
      </c>
      <c r="G1658" s="469">
        <v>3.9</v>
      </c>
      <c r="H1658" s="470">
        <v>168</v>
      </c>
      <c r="I1658" s="470">
        <v>786</v>
      </c>
      <c r="J1658" s="470">
        <v>3584</v>
      </c>
      <c r="K1658" s="469">
        <v>1.69</v>
      </c>
    </row>
    <row r="1659" spans="2:11" x14ac:dyDescent="0.35">
      <c r="B1659" s="62">
        <v>12.25</v>
      </c>
      <c r="C1659" s="471">
        <v>1675</v>
      </c>
      <c r="D1659" s="471">
        <v>1664.9</v>
      </c>
      <c r="E1659" s="469">
        <v>13.6</v>
      </c>
      <c r="F1659" s="469">
        <v>7.3</v>
      </c>
      <c r="G1659" s="469">
        <v>3.8</v>
      </c>
      <c r="H1659" s="470">
        <v>167</v>
      </c>
      <c r="I1659" s="470">
        <v>780</v>
      </c>
      <c r="J1659" s="470">
        <v>3648</v>
      </c>
      <c r="K1659" s="469">
        <v>1.69</v>
      </c>
    </row>
    <row r="1660" spans="2:11" x14ac:dyDescent="0.35">
      <c r="B1660" s="62">
        <v>12.25</v>
      </c>
      <c r="C1660" s="471">
        <v>1676</v>
      </c>
      <c r="D1660" s="471">
        <v>1665.9</v>
      </c>
      <c r="E1660" s="469">
        <v>10.81</v>
      </c>
      <c r="F1660" s="469">
        <v>8.5</v>
      </c>
      <c r="G1660" s="469">
        <v>3.8</v>
      </c>
      <c r="H1660" s="470">
        <v>167</v>
      </c>
      <c r="I1660" s="470">
        <v>776</v>
      </c>
      <c r="J1660" s="470">
        <v>3675</v>
      </c>
      <c r="K1660" s="469">
        <v>1.69</v>
      </c>
    </row>
    <row r="1661" spans="2:11" x14ac:dyDescent="0.35">
      <c r="B1661" s="62">
        <v>12.25</v>
      </c>
      <c r="C1661" s="471">
        <v>1677</v>
      </c>
      <c r="D1661" s="471">
        <v>1666.9</v>
      </c>
      <c r="E1661" s="469">
        <v>32.08</v>
      </c>
      <c r="F1661" s="469">
        <v>10.1</v>
      </c>
      <c r="G1661" s="469">
        <v>5</v>
      </c>
      <c r="H1661" s="470">
        <v>167</v>
      </c>
      <c r="I1661" s="470">
        <v>773</v>
      </c>
      <c r="J1661" s="470">
        <v>3749</v>
      </c>
      <c r="K1661" s="469">
        <v>1.69</v>
      </c>
    </row>
    <row r="1662" spans="2:11" x14ac:dyDescent="0.35">
      <c r="B1662" s="62">
        <v>12.25</v>
      </c>
      <c r="C1662" s="471">
        <v>1678</v>
      </c>
      <c r="D1662" s="471">
        <v>1667.8</v>
      </c>
      <c r="E1662" s="469">
        <v>40.200000000000003</v>
      </c>
      <c r="F1662" s="469">
        <v>11</v>
      </c>
      <c r="G1662" s="469">
        <v>5.8</v>
      </c>
      <c r="H1662" s="470">
        <v>167</v>
      </c>
      <c r="I1662" s="470">
        <v>777</v>
      </c>
      <c r="J1662" s="470">
        <v>3715</v>
      </c>
      <c r="K1662" s="469">
        <v>1.69</v>
      </c>
    </row>
    <row r="1663" spans="2:11" x14ac:dyDescent="0.35">
      <c r="B1663" s="62">
        <v>12.25</v>
      </c>
      <c r="C1663" s="471">
        <v>1679</v>
      </c>
      <c r="D1663" s="471">
        <v>1668.8</v>
      </c>
      <c r="E1663" s="469">
        <v>25.34</v>
      </c>
      <c r="F1663" s="469">
        <v>9.8000000000000007</v>
      </c>
      <c r="G1663" s="469">
        <v>4.7</v>
      </c>
      <c r="H1663" s="470">
        <v>168</v>
      </c>
      <c r="I1663" s="470">
        <v>786</v>
      </c>
      <c r="J1663" s="470">
        <v>3637</v>
      </c>
      <c r="K1663" s="469">
        <v>1.69</v>
      </c>
    </row>
    <row r="1664" spans="2:11" x14ac:dyDescent="0.35">
      <c r="B1664" s="62">
        <v>12.25</v>
      </c>
      <c r="C1664" s="471">
        <v>1680</v>
      </c>
      <c r="D1664" s="471">
        <v>1669.8</v>
      </c>
      <c r="E1664" s="469">
        <v>27.62</v>
      </c>
      <c r="F1664" s="469">
        <v>11.3</v>
      </c>
      <c r="G1664" s="469">
        <v>5.0999999999999996</v>
      </c>
      <c r="H1664" s="470">
        <v>168</v>
      </c>
      <c r="I1664" s="470">
        <v>787</v>
      </c>
      <c r="J1664" s="470">
        <v>3626</v>
      </c>
      <c r="K1664" s="469">
        <v>1.69</v>
      </c>
    </row>
    <row r="1665" spans="2:11" x14ac:dyDescent="0.35">
      <c r="B1665" s="62">
        <v>12.25</v>
      </c>
      <c r="C1665" s="471">
        <v>1681</v>
      </c>
      <c r="D1665" s="471">
        <v>1670.8</v>
      </c>
      <c r="E1665" s="469">
        <v>37.76</v>
      </c>
      <c r="F1665" s="469">
        <v>9.5</v>
      </c>
      <c r="G1665" s="469">
        <v>5</v>
      </c>
      <c r="H1665" s="470">
        <v>167</v>
      </c>
      <c r="I1665" s="470">
        <v>778</v>
      </c>
      <c r="J1665" s="470">
        <v>3723</v>
      </c>
      <c r="K1665" s="469">
        <v>1.69</v>
      </c>
    </row>
    <row r="1666" spans="2:11" x14ac:dyDescent="0.35">
      <c r="B1666" s="62">
        <v>12.25</v>
      </c>
      <c r="C1666" s="471">
        <v>1682</v>
      </c>
      <c r="D1666" s="471">
        <v>1671.8</v>
      </c>
      <c r="E1666" s="469">
        <v>29.86</v>
      </c>
      <c r="F1666" s="469">
        <v>10</v>
      </c>
      <c r="G1666" s="469">
        <v>5.2</v>
      </c>
      <c r="H1666" s="470">
        <v>167</v>
      </c>
      <c r="I1666" s="470">
        <v>774</v>
      </c>
      <c r="J1666" s="470">
        <v>3750</v>
      </c>
      <c r="K1666" s="469">
        <v>1.69</v>
      </c>
    </row>
    <row r="1667" spans="2:11" x14ac:dyDescent="0.35">
      <c r="B1667" s="62">
        <v>12.25</v>
      </c>
      <c r="C1667" s="471">
        <v>1683</v>
      </c>
      <c r="D1667" s="471">
        <v>1672.8</v>
      </c>
      <c r="E1667" s="469">
        <v>26.55</v>
      </c>
      <c r="F1667" s="469">
        <v>9.5</v>
      </c>
      <c r="G1667" s="469">
        <v>5.2</v>
      </c>
      <c r="H1667" s="470">
        <v>167</v>
      </c>
      <c r="I1667" s="470">
        <v>775</v>
      </c>
      <c r="J1667" s="470">
        <v>3723</v>
      </c>
      <c r="K1667" s="469">
        <v>1.69</v>
      </c>
    </row>
    <row r="1668" spans="2:11" x14ac:dyDescent="0.35">
      <c r="B1668" s="62">
        <v>12.25</v>
      </c>
      <c r="C1668" s="471">
        <v>1684</v>
      </c>
      <c r="D1668" s="471">
        <v>1673.8</v>
      </c>
      <c r="E1668" s="469">
        <v>35.04</v>
      </c>
      <c r="F1668" s="469">
        <v>9.3000000000000007</v>
      </c>
      <c r="G1668" s="469">
        <v>5</v>
      </c>
      <c r="H1668" s="470">
        <v>167</v>
      </c>
      <c r="I1668" s="470">
        <v>774</v>
      </c>
      <c r="J1668" s="470">
        <v>3725</v>
      </c>
      <c r="K1668" s="469">
        <v>1.69</v>
      </c>
    </row>
    <row r="1669" spans="2:11" x14ac:dyDescent="0.35">
      <c r="B1669" s="62">
        <v>12.25</v>
      </c>
      <c r="C1669" s="471">
        <v>1685</v>
      </c>
      <c r="D1669" s="471">
        <v>1674.8</v>
      </c>
      <c r="E1669" s="469">
        <v>37.409999999999997</v>
      </c>
      <c r="F1669" s="469">
        <v>8.9</v>
      </c>
      <c r="G1669" s="469">
        <v>4.3</v>
      </c>
      <c r="H1669" s="470">
        <v>167</v>
      </c>
      <c r="I1669" s="470">
        <v>773</v>
      </c>
      <c r="J1669" s="470">
        <v>3715</v>
      </c>
      <c r="K1669" s="469">
        <v>1.69</v>
      </c>
    </row>
    <row r="1670" spans="2:11" x14ac:dyDescent="0.35">
      <c r="B1670" s="62">
        <v>12.25</v>
      </c>
      <c r="C1670" s="471">
        <v>1686</v>
      </c>
      <c r="D1670" s="471">
        <v>1675.8</v>
      </c>
      <c r="E1670" s="469">
        <v>31.36</v>
      </c>
      <c r="F1670" s="469">
        <v>9.6</v>
      </c>
      <c r="G1670" s="469">
        <v>4.7</v>
      </c>
      <c r="H1670" s="470">
        <v>167</v>
      </c>
      <c r="I1670" s="470">
        <v>776</v>
      </c>
      <c r="J1670" s="470">
        <v>3734</v>
      </c>
      <c r="K1670" s="469">
        <v>1.69</v>
      </c>
    </row>
    <row r="1671" spans="2:11" x14ac:dyDescent="0.35">
      <c r="B1671" s="62">
        <v>12.25</v>
      </c>
      <c r="C1671" s="471">
        <v>1687</v>
      </c>
      <c r="D1671" s="471">
        <v>1676.8</v>
      </c>
      <c r="E1671" s="469">
        <v>27</v>
      </c>
      <c r="F1671" s="469">
        <v>8.6</v>
      </c>
      <c r="G1671" s="469">
        <v>4.5</v>
      </c>
      <c r="H1671" s="470">
        <v>167</v>
      </c>
      <c r="I1671" s="470">
        <v>775</v>
      </c>
      <c r="J1671" s="470">
        <v>3705</v>
      </c>
      <c r="K1671" s="469">
        <v>1.69</v>
      </c>
    </row>
    <row r="1672" spans="2:11" x14ac:dyDescent="0.35">
      <c r="B1672" s="62">
        <v>12.25</v>
      </c>
      <c r="C1672" s="471">
        <v>1688</v>
      </c>
      <c r="D1672" s="471">
        <v>1677.8</v>
      </c>
      <c r="E1672" s="469">
        <v>19.579999999999998</v>
      </c>
      <c r="F1672" s="469">
        <v>9.5</v>
      </c>
      <c r="G1672" s="469">
        <v>4.3</v>
      </c>
      <c r="H1672" s="470">
        <v>168</v>
      </c>
      <c r="I1672" s="470">
        <v>780</v>
      </c>
      <c r="J1672" s="470">
        <v>3618</v>
      </c>
      <c r="K1672" s="469">
        <v>1.69</v>
      </c>
    </row>
    <row r="1673" spans="2:11" x14ac:dyDescent="0.35">
      <c r="B1673" s="62">
        <v>12.25</v>
      </c>
      <c r="C1673" s="471">
        <v>1689</v>
      </c>
      <c r="D1673" s="471">
        <v>1678.8</v>
      </c>
      <c r="E1673" s="469">
        <v>26.95</v>
      </c>
      <c r="F1673" s="469">
        <v>9.9</v>
      </c>
      <c r="G1673" s="469">
        <v>5.3</v>
      </c>
      <c r="H1673" s="470">
        <v>168</v>
      </c>
      <c r="I1673" s="470">
        <v>781</v>
      </c>
      <c r="J1673" s="470">
        <v>3599</v>
      </c>
      <c r="K1673" s="469">
        <v>1.69</v>
      </c>
    </row>
    <row r="1674" spans="2:11" x14ac:dyDescent="0.35">
      <c r="B1674" s="62">
        <v>12.25</v>
      </c>
      <c r="C1674" s="471">
        <v>1690</v>
      </c>
      <c r="D1674" s="471">
        <v>1679.8</v>
      </c>
      <c r="E1674" s="469">
        <v>32.46</v>
      </c>
      <c r="F1674" s="469">
        <v>11.4</v>
      </c>
      <c r="G1674" s="469">
        <v>5.5</v>
      </c>
      <c r="H1674" s="470">
        <v>166</v>
      </c>
      <c r="I1674" s="470">
        <v>770</v>
      </c>
      <c r="J1674" s="470">
        <v>3758</v>
      </c>
      <c r="K1674" s="469">
        <v>1.69</v>
      </c>
    </row>
    <row r="1675" spans="2:11" x14ac:dyDescent="0.35">
      <c r="B1675" s="62">
        <v>12.25</v>
      </c>
      <c r="C1675" s="471">
        <v>1691</v>
      </c>
      <c r="D1675" s="471">
        <v>1680.8</v>
      </c>
      <c r="E1675" s="469">
        <v>3.06</v>
      </c>
      <c r="F1675" s="469">
        <v>10.1</v>
      </c>
      <c r="G1675" s="469">
        <v>5.3</v>
      </c>
      <c r="H1675" s="470">
        <v>162</v>
      </c>
      <c r="I1675" s="470">
        <v>770</v>
      </c>
      <c r="J1675" s="470">
        <v>3753</v>
      </c>
      <c r="K1675" s="469">
        <v>1.69</v>
      </c>
    </row>
    <row r="1676" spans="2:11" x14ac:dyDescent="0.35">
      <c r="B1676" s="62">
        <v>12.25</v>
      </c>
      <c r="C1676" s="471">
        <v>1692</v>
      </c>
      <c r="D1676" s="471">
        <v>1681.7</v>
      </c>
      <c r="E1676" s="469">
        <v>40.159999999999997</v>
      </c>
      <c r="F1676" s="469">
        <v>9.6999999999999993</v>
      </c>
      <c r="G1676" s="469">
        <v>5.8</v>
      </c>
      <c r="H1676" s="470">
        <v>164</v>
      </c>
      <c r="I1676" s="470">
        <v>767</v>
      </c>
      <c r="J1676" s="470">
        <v>3680</v>
      </c>
      <c r="K1676" s="469">
        <v>1.69</v>
      </c>
    </row>
    <row r="1677" spans="2:11" x14ac:dyDescent="0.35">
      <c r="B1677" s="62">
        <v>12.25</v>
      </c>
      <c r="C1677" s="471">
        <v>1693</v>
      </c>
      <c r="D1677" s="471">
        <v>1682.7</v>
      </c>
      <c r="E1677" s="469">
        <v>43.67</v>
      </c>
      <c r="F1677" s="469">
        <v>11.2</v>
      </c>
      <c r="G1677" s="469">
        <v>5.0999999999999996</v>
      </c>
      <c r="H1677" s="470">
        <v>164</v>
      </c>
      <c r="I1677" s="470">
        <v>768</v>
      </c>
      <c r="J1677" s="470">
        <v>3692</v>
      </c>
      <c r="K1677" s="469">
        <v>1.69</v>
      </c>
    </row>
    <row r="1678" spans="2:11" x14ac:dyDescent="0.35">
      <c r="B1678" s="62">
        <v>12.25</v>
      </c>
      <c r="C1678" s="471">
        <v>1694</v>
      </c>
      <c r="D1678" s="471">
        <v>1683.8</v>
      </c>
      <c r="E1678" s="469">
        <v>29.23</v>
      </c>
      <c r="F1678" s="469">
        <v>9.4</v>
      </c>
      <c r="G1678" s="469">
        <v>4.7</v>
      </c>
      <c r="H1678" s="470">
        <v>164</v>
      </c>
      <c r="I1678" s="470">
        <v>774</v>
      </c>
      <c r="J1678" s="470">
        <v>3572</v>
      </c>
      <c r="K1678" s="469">
        <v>1.69</v>
      </c>
    </row>
    <row r="1679" spans="2:11" x14ac:dyDescent="0.35">
      <c r="B1679" s="62">
        <v>12.25</v>
      </c>
      <c r="C1679" s="471">
        <v>1695</v>
      </c>
      <c r="D1679" s="471">
        <v>1684.7</v>
      </c>
      <c r="E1679" s="469">
        <v>41.09</v>
      </c>
      <c r="F1679" s="469">
        <v>9.6</v>
      </c>
      <c r="G1679" s="469">
        <v>5</v>
      </c>
      <c r="H1679" s="470">
        <v>164</v>
      </c>
      <c r="I1679" s="470">
        <v>769</v>
      </c>
      <c r="J1679" s="470">
        <v>3641</v>
      </c>
      <c r="K1679" s="469">
        <v>1.69</v>
      </c>
    </row>
    <row r="1680" spans="2:11" x14ac:dyDescent="0.35">
      <c r="B1680" s="62">
        <v>12.25</v>
      </c>
      <c r="C1680" s="471">
        <v>1696</v>
      </c>
      <c r="D1680" s="471">
        <v>1685.7</v>
      </c>
      <c r="E1680" s="469">
        <v>30.64</v>
      </c>
      <c r="F1680" s="469">
        <v>10</v>
      </c>
      <c r="G1680" s="469">
        <v>5.2</v>
      </c>
      <c r="H1680" s="470">
        <v>165</v>
      </c>
      <c r="I1680" s="470">
        <v>780</v>
      </c>
      <c r="J1680" s="470">
        <v>3587</v>
      </c>
      <c r="K1680" s="469">
        <v>1.69</v>
      </c>
    </row>
    <row r="1681" spans="2:11" x14ac:dyDescent="0.35">
      <c r="B1681" s="62">
        <v>12.25</v>
      </c>
      <c r="C1681" s="471">
        <v>1697</v>
      </c>
      <c r="D1681" s="471">
        <v>1686.7</v>
      </c>
      <c r="E1681" s="469">
        <v>21</v>
      </c>
      <c r="F1681" s="469">
        <v>8.6999999999999993</v>
      </c>
      <c r="G1681" s="469">
        <v>4.8</v>
      </c>
      <c r="H1681" s="470">
        <v>166</v>
      </c>
      <c r="I1681" s="470">
        <v>784</v>
      </c>
      <c r="J1681" s="470">
        <v>3500</v>
      </c>
      <c r="K1681" s="469">
        <v>1.69</v>
      </c>
    </row>
    <row r="1682" spans="2:11" x14ac:dyDescent="0.35">
      <c r="B1682" s="62">
        <v>12.25</v>
      </c>
      <c r="C1682" s="471">
        <v>1698</v>
      </c>
      <c r="D1682" s="471">
        <v>1687.7</v>
      </c>
      <c r="E1682" s="469">
        <v>36.53</v>
      </c>
      <c r="F1682" s="469">
        <v>9</v>
      </c>
      <c r="G1682" s="469">
        <v>4.8</v>
      </c>
      <c r="H1682" s="470">
        <v>165</v>
      </c>
      <c r="I1682" s="470">
        <v>779</v>
      </c>
      <c r="J1682" s="470">
        <v>3541</v>
      </c>
      <c r="K1682" s="469">
        <v>1.69</v>
      </c>
    </row>
    <row r="1683" spans="2:11" x14ac:dyDescent="0.35">
      <c r="B1683" s="62">
        <v>12.25</v>
      </c>
      <c r="C1683" s="471">
        <v>1699</v>
      </c>
      <c r="D1683" s="471">
        <v>1688.7</v>
      </c>
      <c r="E1683" s="469">
        <v>3.82</v>
      </c>
      <c r="F1683" s="469">
        <v>4.5</v>
      </c>
      <c r="G1683" s="469">
        <v>3</v>
      </c>
      <c r="H1683" s="470">
        <v>164</v>
      </c>
      <c r="I1683" s="470">
        <v>754</v>
      </c>
      <c r="J1683" s="470">
        <v>3569</v>
      </c>
      <c r="K1683" s="469">
        <v>1.69</v>
      </c>
    </row>
    <row r="1684" spans="2:11" x14ac:dyDescent="0.35">
      <c r="B1684" s="62">
        <v>12.25</v>
      </c>
      <c r="C1684" s="471">
        <v>1700</v>
      </c>
      <c r="D1684" s="471">
        <v>1689.7</v>
      </c>
      <c r="E1684" s="469">
        <v>28.69</v>
      </c>
      <c r="F1684" s="469">
        <v>9.1</v>
      </c>
      <c r="G1684" s="469">
        <v>5.7</v>
      </c>
      <c r="H1684" s="470">
        <v>166</v>
      </c>
      <c r="I1684" s="470">
        <v>767</v>
      </c>
      <c r="J1684" s="470">
        <v>3770</v>
      </c>
      <c r="K1684" s="469">
        <v>1.7</v>
      </c>
    </row>
    <row r="1685" spans="2:11" x14ac:dyDescent="0.35">
      <c r="B1685" s="62">
        <v>12.25</v>
      </c>
      <c r="C1685" s="471">
        <v>1701</v>
      </c>
      <c r="D1685" s="471">
        <v>1690.7</v>
      </c>
      <c r="E1685" s="469">
        <v>26.12</v>
      </c>
      <c r="F1685" s="469">
        <v>7.2</v>
      </c>
      <c r="G1685" s="469">
        <v>4.7</v>
      </c>
      <c r="H1685" s="470">
        <v>166</v>
      </c>
      <c r="I1685" s="470">
        <v>768</v>
      </c>
      <c r="J1685" s="470">
        <v>3728</v>
      </c>
      <c r="K1685" s="469">
        <v>1.7</v>
      </c>
    </row>
    <row r="1686" spans="2:11" x14ac:dyDescent="0.35">
      <c r="B1686" s="62">
        <v>12.25</v>
      </c>
      <c r="C1686" s="471">
        <v>1702</v>
      </c>
      <c r="D1686" s="471">
        <v>1691.7</v>
      </c>
      <c r="E1686" s="469">
        <v>34.909999999999997</v>
      </c>
      <c r="F1686" s="469">
        <v>6.8</v>
      </c>
      <c r="G1686" s="469">
        <v>4.7</v>
      </c>
      <c r="H1686" s="470">
        <v>165</v>
      </c>
      <c r="I1686" s="470">
        <v>768</v>
      </c>
      <c r="J1686" s="470">
        <v>3732</v>
      </c>
      <c r="K1686" s="469">
        <v>1.7</v>
      </c>
    </row>
    <row r="1687" spans="2:11" x14ac:dyDescent="0.35">
      <c r="B1687" s="62">
        <v>12.25</v>
      </c>
      <c r="C1687" s="471">
        <v>1703</v>
      </c>
      <c r="D1687" s="471">
        <v>1692.6</v>
      </c>
      <c r="E1687" s="469">
        <v>23.91</v>
      </c>
      <c r="F1687" s="469">
        <v>8.4</v>
      </c>
      <c r="G1687" s="469">
        <v>4.8</v>
      </c>
      <c r="H1687" s="470">
        <v>166</v>
      </c>
      <c r="I1687" s="470">
        <v>768</v>
      </c>
      <c r="J1687" s="470">
        <v>3742</v>
      </c>
      <c r="K1687" s="469">
        <v>1.7</v>
      </c>
    </row>
    <row r="1688" spans="2:11" x14ac:dyDescent="0.35">
      <c r="B1688" s="62">
        <v>12.25</v>
      </c>
      <c r="C1688" s="471">
        <v>1704</v>
      </c>
      <c r="D1688" s="471">
        <v>1693.6</v>
      </c>
      <c r="E1688" s="469">
        <v>22.57</v>
      </c>
      <c r="F1688" s="469">
        <v>9.5</v>
      </c>
      <c r="G1688" s="469">
        <v>4.5999999999999996</v>
      </c>
      <c r="H1688" s="470">
        <v>165</v>
      </c>
      <c r="I1688" s="470">
        <v>767</v>
      </c>
      <c r="J1688" s="470">
        <v>3727</v>
      </c>
      <c r="K1688" s="469">
        <v>1.7</v>
      </c>
    </row>
    <row r="1689" spans="2:11" x14ac:dyDescent="0.35">
      <c r="B1689" s="62">
        <v>12.25</v>
      </c>
      <c r="C1689" s="471">
        <v>1705</v>
      </c>
      <c r="D1689" s="471">
        <v>1694.5</v>
      </c>
      <c r="E1689" s="469">
        <v>41.66</v>
      </c>
      <c r="F1689" s="469">
        <v>9</v>
      </c>
      <c r="G1689" s="469">
        <v>5.8</v>
      </c>
      <c r="H1689" s="470">
        <v>166</v>
      </c>
      <c r="I1689" s="470">
        <v>768</v>
      </c>
      <c r="J1689" s="470">
        <v>3761</v>
      </c>
      <c r="K1689" s="469">
        <v>1.7</v>
      </c>
    </row>
    <row r="1690" spans="2:11" x14ac:dyDescent="0.35">
      <c r="B1690" s="62">
        <v>12.25</v>
      </c>
      <c r="C1690" s="471">
        <v>1706</v>
      </c>
      <c r="D1690" s="471">
        <v>1695.5</v>
      </c>
      <c r="E1690" s="469">
        <v>21.35</v>
      </c>
      <c r="F1690" s="469">
        <v>9.9</v>
      </c>
      <c r="G1690" s="469">
        <v>5</v>
      </c>
      <c r="H1690" s="470">
        <v>166</v>
      </c>
      <c r="I1690" s="470">
        <v>767</v>
      </c>
      <c r="J1690" s="470">
        <v>3787</v>
      </c>
      <c r="K1690" s="469">
        <v>1.7</v>
      </c>
    </row>
    <row r="1691" spans="2:11" x14ac:dyDescent="0.35">
      <c r="B1691" s="62">
        <v>12.25</v>
      </c>
      <c r="C1691" s="471">
        <v>1707</v>
      </c>
      <c r="D1691" s="471">
        <v>1696.5</v>
      </c>
      <c r="E1691" s="469">
        <v>36.96</v>
      </c>
      <c r="F1691" s="469">
        <v>9.6999999999999993</v>
      </c>
      <c r="G1691" s="469">
        <v>5.8</v>
      </c>
      <c r="H1691" s="470">
        <v>165</v>
      </c>
      <c r="I1691" s="470">
        <v>767</v>
      </c>
      <c r="J1691" s="470">
        <v>3800</v>
      </c>
      <c r="K1691" s="469">
        <v>1.7</v>
      </c>
    </row>
    <row r="1692" spans="2:11" x14ac:dyDescent="0.35">
      <c r="B1692" s="62">
        <v>12.25</v>
      </c>
      <c r="C1692" s="471">
        <v>1708</v>
      </c>
      <c r="D1692" s="471">
        <v>1697.5</v>
      </c>
      <c r="E1692" s="469">
        <v>53.18</v>
      </c>
      <c r="F1692" s="469">
        <v>11.7</v>
      </c>
      <c r="G1692" s="469">
        <v>6.5</v>
      </c>
      <c r="H1692" s="470">
        <v>166</v>
      </c>
      <c r="I1692" s="470">
        <v>768</v>
      </c>
      <c r="J1692" s="470">
        <v>3849</v>
      </c>
      <c r="K1692" s="469">
        <v>1.7</v>
      </c>
    </row>
    <row r="1693" spans="2:11" x14ac:dyDescent="0.35">
      <c r="B1693" s="62">
        <v>12.25</v>
      </c>
      <c r="C1693" s="471">
        <v>1709</v>
      </c>
      <c r="D1693" s="471">
        <v>1698.5</v>
      </c>
      <c r="E1693" s="469">
        <v>45.13</v>
      </c>
      <c r="F1693" s="469">
        <v>12.8</v>
      </c>
      <c r="G1693" s="469">
        <v>6.8</v>
      </c>
      <c r="H1693" s="470">
        <v>165</v>
      </c>
      <c r="I1693" s="470">
        <v>766</v>
      </c>
      <c r="J1693" s="470">
        <v>3849</v>
      </c>
      <c r="K1693" s="469">
        <v>1.7</v>
      </c>
    </row>
    <row r="1694" spans="2:11" x14ac:dyDescent="0.35">
      <c r="B1694" s="62">
        <v>12.25</v>
      </c>
      <c r="C1694" s="471">
        <v>1710</v>
      </c>
      <c r="D1694" s="471">
        <v>1699.5</v>
      </c>
      <c r="E1694" s="469">
        <v>50.87</v>
      </c>
      <c r="F1694" s="469">
        <v>14.1</v>
      </c>
      <c r="G1694" s="469">
        <v>7.5</v>
      </c>
      <c r="H1694" s="470">
        <v>165</v>
      </c>
      <c r="I1694" s="470">
        <v>766</v>
      </c>
      <c r="J1694" s="470">
        <v>3639</v>
      </c>
      <c r="K1694" s="469">
        <v>1.7</v>
      </c>
    </row>
    <row r="1695" spans="2:11" x14ac:dyDescent="0.35">
      <c r="B1695" s="62">
        <v>12.25</v>
      </c>
      <c r="C1695" s="471">
        <v>1711</v>
      </c>
      <c r="D1695" s="471">
        <v>1700.5</v>
      </c>
      <c r="E1695" s="469">
        <v>52.39</v>
      </c>
      <c r="F1695" s="469">
        <v>13.3</v>
      </c>
      <c r="G1695" s="469">
        <v>6.9</v>
      </c>
      <c r="H1695" s="470">
        <v>166</v>
      </c>
      <c r="I1695" s="470">
        <v>768</v>
      </c>
      <c r="J1695" s="470">
        <v>3646</v>
      </c>
      <c r="K1695" s="469">
        <v>1.7</v>
      </c>
    </row>
    <row r="1696" spans="2:11" x14ac:dyDescent="0.35">
      <c r="B1696" s="62">
        <v>12.25</v>
      </c>
      <c r="C1696" s="471">
        <v>1712</v>
      </c>
      <c r="D1696" s="471">
        <v>1701.4</v>
      </c>
      <c r="E1696" s="469">
        <v>44.1</v>
      </c>
      <c r="F1696" s="469">
        <v>11.4</v>
      </c>
      <c r="G1696" s="469">
        <v>6.5</v>
      </c>
      <c r="H1696" s="470">
        <v>165</v>
      </c>
      <c r="I1696" s="470">
        <v>766</v>
      </c>
      <c r="J1696" s="470">
        <v>3605</v>
      </c>
      <c r="K1696" s="469">
        <v>1.7</v>
      </c>
    </row>
    <row r="1697" spans="2:11" x14ac:dyDescent="0.35">
      <c r="B1697" s="62">
        <v>12.25</v>
      </c>
      <c r="C1697" s="471">
        <v>1713</v>
      </c>
      <c r="D1697" s="471">
        <v>1702.5</v>
      </c>
      <c r="E1697" s="469">
        <v>57.85</v>
      </c>
      <c r="F1697" s="469">
        <v>12.1</v>
      </c>
      <c r="G1697" s="469">
        <v>6.6</v>
      </c>
      <c r="H1697" s="470">
        <v>166</v>
      </c>
      <c r="I1697" s="470">
        <v>767</v>
      </c>
      <c r="J1697" s="470">
        <v>3623</v>
      </c>
      <c r="K1697" s="469">
        <v>1.7</v>
      </c>
    </row>
    <row r="1698" spans="2:11" x14ac:dyDescent="0.35">
      <c r="B1698" s="62">
        <v>12.25</v>
      </c>
      <c r="C1698" s="471">
        <v>1714</v>
      </c>
      <c r="D1698" s="471">
        <v>1703.4</v>
      </c>
      <c r="E1698" s="469">
        <v>59.35</v>
      </c>
      <c r="F1698" s="469">
        <v>14.1</v>
      </c>
      <c r="G1698" s="469">
        <v>7</v>
      </c>
      <c r="H1698" s="470">
        <v>166</v>
      </c>
      <c r="I1698" s="470">
        <v>769</v>
      </c>
      <c r="J1698" s="470">
        <v>3671</v>
      </c>
      <c r="K1698" s="469">
        <v>1.7</v>
      </c>
    </row>
    <row r="1699" spans="2:11" x14ac:dyDescent="0.35">
      <c r="B1699" s="62">
        <v>12.25</v>
      </c>
      <c r="C1699" s="471">
        <v>1715</v>
      </c>
      <c r="D1699" s="471">
        <v>1704.4</v>
      </c>
      <c r="E1699" s="469">
        <v>74.72</v>
      </c>
      <c r="F1699" s="469">
        <v>14.9</v>
      </c>
      <c r="G1699" s="469">
        <v>6.8</v>
      </c>
      <c r="H1699" s="470">
        <v>166</v>
      </c>
      <c r="I1699" s="470">
        <v>766</v>
      </c>
      <c r="J1699" s="470">
        <v>3695</v>
      </c>
      <c r="K1699" s="469">
        <v>1.7</v>
      </c>
    </row>
    <row r="1700" spans="2:11" x14ac:dyDescent="0.35">
      <c r="B1700" s="62">
        <v>12.25</v>
      </c>
      <c r="C1700" s="471">
        <v>1716</v>
      </c>
      <c r="D1700" s="471">
        <v>1705.4</v>
      </c>
      <c r="E1700" s="469">
        <v>2.87</v>
      </c>
      <c r="F1700" s="469">
        <v>9.6</v>
      </c>
      <c r="G1700" s="469">
        <v>5.6</v>
      </c>
      <c r="H1700" s="470">
        <v>166</v>
      </c>
      <c r="I1700" s="470">
        <v>773</v>
      </c>
      <c r="J1700" s="470">
        <v>3580</v>
      </c>
      <c r="K1700" s="469">
        <v>1.7</v>
      </c>
    </row>
    <row r="1701" spans="2:11" x14ac:dyDescent="0.35">
      <c r="B1701" s="62">
        <v>12.25</v>
      </c>
      <c r="C1701" s="471">
        <v>1717</v>
      </c>
      <c r="D1701" s="471">
        <v>1706.4</v>
      </c>
      <c r="E1701" s="469">
        <v>48.65</v>
      </c>
      <c r="F1701" s="469">
        <v>13.8</v>
      </c>
      <c r="G1701" s="469">
        <v>7.3</v>
      </c>
      <c r="H1701" s="470">
        <v>165</v>
      </c>
      <c r="I1701" s="470">
        <v>767</v>
      </c>
      <c r="J1701" s="470">
        <v>3681</v>
      </c>
      <c r="K1701" s="469">
        <v>1.7</v>
      </c>
    </row>
    <row r="1702" spans="2:11" x14ac:dyDescent="0.35">
      <c r="B1702" s="62">
        <v>12.25</v>
      </c>
      <c r="C1702" s="471">
        <v>1718</v>
      </c>
      <c r="D1702" s="471">
        <v>1707.4</v>
      </c>
      <c r="E1702" s="469">
        <v>68.239999999999995</v>
      </c>
      <c r="F1702" s="469">
        <v>14.3</v>
      </c>
      <c r="G1702" s="469">
        <v>7.9</v>
      </c>
      <c r="H1702" s="470">
        <v>165</v>
      </c>
      <c r="I1702" s="470">
        <v>767</v>
      </c>
      <c r="J1702" s="470">
        <v>3720</v>
      </c>
      <c r="K1702" s="469">
        <v>1.7</v>
      </c>
    </row>
    <row r="1703" spans="2:11" x14ac:dyDescent="0.35">
      <c r="B1703" s="62">
        <v>12.25</v>
      </c>
      <c r="C1703" s="471">
        <v>1719</v>
      </c>
      <c r="D1703" s="471">
        <v>1708.4</v>
      </c>
      <c r="E1703" s="469">
        <v>62.68</v>
      </c>
      <c r="F1703" s="469">
        <v>12.1</v>
      </c>
      <c r="G1703" s="469">
        <v>6.3</v>
      </c>
      <c r="H1703" s="470">
        <v>166</v>
      </c>
      <c r="I1703" s="470">
        <v>769</v>
      </c>
      <c r="J1703" s="470">
        <v>3660</v>
      </c>
      <c r="K1703" s="469">
        <v>1.7</v>
      </c>
    </row>
    <row r="1704" spans="2:11" x14ac:dyDescent="0.35">
      <c r="B1704" s="62">
        <v>12.25</v>
      </c>
      <c r="C1704" s="471">
        <v>1720</v>
      </c>
      <c r="D1704" s="471">
        <v>1709.4</v>
      </c>
      <c r="E1704" s="469">
        <v>67.290000000000006</v>
      </c>
      <c r="F1704" s="469">
        <v>14.9</v>
      </c>
      <c r="G1704" s="469">
        <v>7.9</v>
      </c>
      <c r="H1704" s="470">
        <v>165</v>
      </c>
      <c r="I1704" s="470">
        <v>767</v>
      </c>
      <c r="J1704" s="470">
        <v>3724</v>
      </c>
      <c r="K1704" s="469">
        <v>1.7</v>
      </c>
    </row>
    <row r="1705" spans="2:11" x14ac:dyDescent="0.35">
      <c r="B1705" s="62">
        <v>12.25</v>
      </c>
      <c r="C1705" s="471">
        <v>1721</v>
      </c>
      <c r="D1705" s="471">
        <v>1710.4</v>
      </c>
      <c r="E1705" s="469">
        <v>65.41</v>
      </c>
      <c r="F1705" s="469">
        <v>13.6</v>
      </c>
      <c r="G1705" s="469">
        <v>7.2</v>
      </c>
      <c r="H1705" s="470">
        <v>165</v>
      </c>
      <c r="I1705" s="470">
        <v>767</v>
      </c>
      <c r="J1705" s="470">
        <v>3682</v>
      </c>
      <c r="K1705" s="469">
        <v>1.7</v>
      </c>
    </row>
    <row r="1706" spans="2:11" x14ac:dyDescent="0.35">
      <c r="B1706" s="62">
        <v>12.25</v>
      </c>
      <c r="C1706" s="471">
        <v>1722</v>
      </c>
      <c r="D1706" s="471">
        <v>1711.4</v>
      </c>
      <c r="E1706" s="469">
        <v>65.41</v>
      </c>
      <c r="F1706" s="469">
        <v>14.4</v>
      </c>
      <c r="G1706" s="469">
        <v>6.5</v>
      </c>
      <c r="H1706" s="470">
        <v>165</v>
      </c>
      <c r="I1706" s="470">
        <v>766</v>
      </c>
      <c r="J1706" s="470">
        <v>3709</v>
      </c>
      <c r="K1706" s="469">
        <v>1.7</v>
      </c>
    </row>
    <row r="1707" spans="2:11" x14ac:dyDescent="0.35">
      <c r="B1707" s="62">
        <v>12.25</v>
      </c>
      <c r="C1707" s="471">
        <v>1723</v>
      </c>
      <c r="D1707" s="471">
        <v>1712.4</v>
      </c>
      <c r="E1707" s="469">
        <v>58.2</v>
      </c>
      <c r="F1707" s="469">
        <v>14.7</v>
      </c>
      <c r="G1707" s="469">
        <v>7.5</v>
      </c>
      <c r="H1707" s="470">
        <v>165</v>
      </c>
      <c r="I1707" s="470">
        <v>766</v>
      </c>
      <c r="J1707" s="470">
        <v>3693</v>
      </c>
      <c r="K1707" s="469">
        <v>1.7</v>
      </c>
    </row>
    <row r="1708" spans="2:11" x14ac:dyDescent="0.35">
      <c r="B1708" s="62">
        <v>12.25</v>
      </c>
      <c r="C1708" s="471">
        <v>1724</v>
      </c>
      <c r="D1708" s="471">
        <v>1713.3</v>
      </c>
      <c r="E1708" s="469">
        <v>57.54</v>
      </c>
      <c r="F1708" s="469">
        <v>12.8</v>
      </c>
      <c r="G1708" s="469">
        <v>7</v>
      </c>
      <c r="H1708" s="470">
        <v>165</v>
      </c>
      <c r="I1708" s="470">
        <v>769</v>
      </c>
      <c r="J1708" s="470">
        <v>3670</v>
      </c>
      <c r="K1708" s="469">
        <v>1.7</v>
      </c>
    </row>
    <row r="1709" spans="2:11" x14ac:dyDescent="0.35">
      <c r="B1709" s="62">
        <v>12.25</v>
      </c>
      <c r="C1709" s="471">
        <v>1725</v>
      </c>
      <c r="D1709" s="471">
        <v>1714.3</v>
      </c>
      <c r="E1709" s="469">
        <v>63.81</v>
      </c>
      <c r="F1709" s="469">
        <v>10.4</v>
      </c>
      <c r="G1709" s="469">
        <v>5.6</v>
      </c>
      <c r="H1709" s="470">
        <v>166</v>
      </c>
      <c r="I1709" s="470">
        <v>771</v>
      </c>
      <c r="J1709" s="470">
        <v>3622</v>
      </c>
      <c r="K1709" s="469">
        <v>1.7</v>
      </c>
    </row>
    <row r="1710" spans="2:11" x14ac:dyDescent="0.35">
      <c r="B1710" s="62">
        <v>12.25</v>
      </c>
      <c r="C1710" s="471">
        <v>1726</v>
      </c>
      <c r="D1710" s="471">
        <v>1715.3</v>
      </c>
      <c r="E1710" s="469">
        <v>54.1</v>
      </c>
      <c r="F1710" s="469">
        <v>12.3</v>
      </c>
      <c r="G1710" s="469">
        <v>6.2</v>
      </c>
      <c r="H1710" s="470">
        <v>165</v>
      </c>
      <c r="I1710" s="470">
        <v>766</v>
      </c>
      <c r="J1710" s="470">
        <v>3665</v>
      </c>
      <c r="K1710" s="469">
        <v>1.7</v>
      </c>
    </row>
    <row r="1711" spans="2:11" x14ac:dyDescent="0.35">
      <c r="B1711" s="62">
        <v>12.25</v>
      </c>
      <c r="C1711" s="471">
        <v>1727</v>
      </c>
      <c r="D1711" s="471">
        <v>1716.3</v>
      </c>
      <c r="E1711" s="469">
        <v>10.85</v>
      </c>
      <c r="F1711" s="469">
        <v>14</v>
      </c>
      <c r="G1711" s="469">
        <v>5.9</v>
      </c>
      <c r="H1711" s="470">
        <v>166</v>
      </c>
      <c r="I1711" s="470">
        <v>769</v>
      </c>
      <c r="J1711" s="470">
        <v>3645</v>
      </c>
      <c r="K1711" s="469">
        <v>1.7</v>
      </c>
    </row>
    <row r="1712" spans="2:11" x14ac:dyDescent="0.35">
      <c r="B1712" s="62">
        <v>12.25</v>
      </c>
      <c r="C1712" s="471">
        <v>1728</v>
      </c>
      <c r="D1712" s="471">
        <v>1717.3</v>
      </c>
      <c r="E1712" s="469">
        <v>33.74</v>
      </c>
      <c r="F1712" s="469">
        <v>10.199999999999999</v>
      </c>
      <c r="G1712" s="469">
        <v>6.9</v>
      </c>
      <c r="H1712" s="470">
        <v>161</v>
      </c>
      <c r="I1712" s="470">
        <v>769</v>
      </c>
      <c r="J1712" s="470">
        <v>3545</v>
      </c>
      <c r="K1712" s="469">
        <v>1.71</v>
      </c>
    </row>
    <row r="1713" spans="2:11" x14ac:dyDescent="0.35">
      <c r="B1713" s="62">
        <v>12.25</v>
      </c>
      <c r="C1713" s="471">
        <v>1729</v>
      </c>
      <c r="D1713" s="471">
        <v>1718.3</v>
      </c>
      <c r="E1713" s="469">
        <v>35.369999999999997</v>
      </c>
      <c r="F1713" s="469">
        <v>10.8</v>
      </c>
      <c r="G1713" s="469">
        <v>5.7</v>
      </c>
      <c r="H1713" s="470">
        <v>165</v>
      </c>
      <c r="I1713" s="470">
        <v>769</v>
      </c>
      <c r="J1713" s="470">
        <v>3578</v>
      </c>
      <c r="K1713" s="469">
        <v>1.71</v>
      </c>
    </row>
    <row r="1714" spans="2:11" x14ac:dyDescent="0.35">
      <c r="B1714" s="62">
        <v>12.25</v>
      </c>
      <c r="C1714" s="471">
        <v>1730</v>
      </c>
      <c r="D1714" s="471">
        <v>1719.3</v>
      </c>
      <c r="E1714" s="469">
        <v>28.85</v>
      </c>
      <c r="F1714" s="469">
        <v>10.8</v>
      </c>
      <c r="G1714" s="469">
        <v>5.6</v>
      </c>
      <c r="H1714" s="470">
        <v>165</v>
      </c>
      <c r="I1714" s="470">
        <v>769</v>
      </c>
      <c r="J1714" s="470">
        <v>3527</v>
      </c>
      <c r="K1714" s="469">
        <v>1.71</v>
      </c>
    </row>
    <row r="1715" spans="2:11" x14ac:dyDescent="0.35">
      <c r="B1715" s="62">
        <v>12.25</v>
      </c>
      <c r="C1715" s="471">
        <v>1731</v>
      </c>
      <c r="D1715" s="471">
        <v>1720.3</v>
      </c>
      <c r="E1715" s="469">
        <v>59.42</v>
      </c>
      <c r="F1715" s="469">
        <v>13.2</v>
      </c>
      <c r="G1715" s="469">
        <v>7.3</v>
      </c>
      <c r="H1715" s="470">
        <v>165</v>
      </c>
      <c r="I1715" s="470">
        <v>767</v>
      </c>
      <c r="J1715" s="470">
        <v>3617</v>
      </c>
      <c r="K1715" s="469">
        <v>1.71</v>
      </c>
    </row>
    <row r="1716" spans="2:11" x14ac:dyDescent="0.35">
      <c r="B1716" s="62">
        <v>12.25</v>
      </c>
      <c r="C1716" s="471">
        <v>1732</v>
      </c>
      <c r="D1716" s="471">
        <v>1721.3</v>
      </c>
      <c r="E1716" s="469">
        <v>63.81</v>
      </c>
      <c r="F1716" s="469">
        <v>13.2</v>
      </c>
      <c r="G1716" s="469">
        <v>7.5</v>
      </c>
      <c r="H1716" s="470">
        <v>165</v>
      </c>
      <c r="I1716" s="470">
        <v>767</v>
      </c>
      <c r="J1716" s="470">
        <v>3643</v>
      </c>
      <c r="K1716" s="469">
        <v>1.71</v>
      </c>
    </row>
    <row r="1717" spans="2:11" x14ac:dyDescent="0.35">
      <c r="B1717" s="62">
        <v>12.25</v>
      </c>
      <c r="C1717" s="471">
        <v>1733</v>
      </c>
      <c r="D1717" s="471">
        <v>1722.3</v>
      </c>
      <c r="E1717" s="469">
        <v>85.61</v>
      </c>
      <c r="F1717" s="469">
        <v>12.7</v>
      </c>
      <c r="G1717" s="469">
        <v>6.7</v>
      </c>
      <c r="H1717" s="470">
        <v>165</v>
      </c>
      <c r="I1717" s="470">
        <v>764</v>
      </c>
      <c r="J1717" s="470">
        <v>3641</v>
      </c>
      <c r="K1717" s="469">
        <v>1.71</v>
      </c>
    </row>
    <row r="1718" spans="2:11" x14ac:dyDescent="0.35">
      <c r="B1718" s="62">
        <v>12.25</v>
      </c>
      <c r="C1718" s="471">
        <v>1734</v>
      </c>
      <c r="D1718" s="471">
        <v>1723.2</v>
      </c>
      <c r="E1718" s="469">
        <v>89.93</v>
      </c>
      <c r="F1718" s="469">
        <v>12.3</v>
      </c>
      <c r="G1718" s="469">
        <v>5.6</v>
      </c>
      <c r="H1718" s="470">
        <v>165</v>
      </c>
      <c r="I1718" s="470">
        <v>766</v>
      </c>
      <c r="J1718" s="470">
        <v>3626</v>
      </c>
      <c r="K1718" s="469">
        <v>1.71</v>
      </c>
    </row>
    <row r="1719" spans="2:11" x14ac:dyDescent="0.35">
      <c r="B1719" s="62">
        <v>12.25</v>
      </c>
      <c r="C1719" s="471">
        <v>1735</v>
      </c>
      <c r="D1719" s="471">
        <v>1724.3</v>
      </c>
      <c r="E1719" s="469">
        <v>79.7</v>
      </c>
      <c r="F1719" s="469">
        <v>13.4</v>
      </c>
      <c r="G1719" s="469">
        <v>6.7</v>
      </c>
      <c r="H1719" s="470">
        <v>165</v>
      </c>
      <c r="I1719" s="470">
        <v>766</v>
      </c>
      <c r="J1719" s="470">
        <v>3659</v>
      </c>
      <c r="K1719" s="469">
        <v>1.71</v>
      </c>
    </row>
    <row r="1720" spans="2:11" x14ac:dyDescent="0.35">
      <c r="B1720" s="62">
        <v>12.25</v>
      </c>
      <c r="C1720" s="471">
        <v>1736</v>
      </c>
      <c r="D1720" s="471">
        <v>1725.2</v>
      </c>
      <c r="E1720" s="469">
        <v>57.81</v>
      </c>
      <c r="F1720" s="469">
        <v>13.5</v>
      </c>
      <c r="G1720" s="469">
        <v>5.6</v>
      </c>
      <c r="H1720" s="470">
        <v>165</v>
      </c>
      <c r="I1720" s="470">
        <v>768</v>
      </c>
      <c r="J1720" s="470">
        <v>3662</v>
      </c>
      <c r="K1720" s="469">
        <v>1.71</v>
      </c>
    </row>
    <row r="1721" spans="2:11" x14ac:dyDescent="0.35">
      <c r="B1721" s="62">
        <v>12.25</v>
      </c>
      <c r="C1721" s="471">
        <v>1737</v>
      </c>
      <c r="D1721" s="471">
        <v>1726.2</v>
      </c>
      <c r="E1721" s="469">
        <v>57.83</v>
      </c>
      <c r="F1721" s="469">
        <v>13.5</v>
      </c>
      <c r="G1721" s="469">
        <v>6.2</v>
      </c>
      <c r="H1721" s="470">
        <v>163</v>
      </c>
      <c r="I1721" s="470">
        <v>766</v>
      </c>
      <c r="J1721" s="470">
        <v>3646</v>
      </c>
      <c r="K1721" s="469">
        <v>1.71</v>
      </c>
    </row>
    <row r="1722" spans="2:11" x14ac:dyDescent="0.35">
      <c r="B1722" s="62">
        <v>12.25</v>
      </c>
      <c r="C1722" s="471">
        <v>1738</v>
      </c>
      <c r="D1722" s="471">
        <v>1727.2</v>
      </c>
      <c r="E1722" s="469">
        <v>66.23</v>
      </c>
      <c r="F1722" s="469">
        <v>13.4</v>
      </c>
      <c r="G1722" s="469">
        <v>6.5</v>
      </c>
      <c r="H1722" s="470">
        <v>165</v>
      </c>
      <c r="I1722" s="470">
        <v>766</v>
      </c>
      <c r="J1722" s="470">
        <v>3646</v>
      </c>
      <c r="K1722" s="469">
        <v>1.71</v>
      </c>
    </row>
    <row r="1723" spans="2:11" x14ac:dyDescent="0.35">
      <c r="B1723" s="62">
        <v>12.25</v>
      </c>
      <c r="C1723" s="471">
        <v>1739</v>
      </c>
      <c r="D1723" s="471">
        <v>1728.2</v>
      </c>
      <c r="E1723" s="469">
        <v>69.150000000000006</v>
      </c>
      <c r="F1723" s="469">
        <v>12.8</v>
      </c>
      <c r="G1723" s="469">
        <v>6.8</v>
      </c>
      <c r="H1723" s="470">
        <v>165</v>
      </c>
      <c r="I1723" s="470">
        <v>766</v>
      </c>
      <c r="J1723" s="470">
        <v>3634</v>
      </c>
      <c r="K1723" s="469">
        <v>1.71</v>
      </c>
    </row>
    <row r="1724" spans="2:11" x14ac:dyDescent="0.35">
      <c r="B1724" s="62">
        <v>12.25</v>
      </c>
      <c r="C1724" s="471">
        <v>1740</v>
      </c>
      <c r="D1724" s="471">
        <v>1729.2</v>
      </c>
      <c r="E1724" s="469">
        <v>74.680000000000007</v>
      </c>
      <c r="F1724" s="469">
        <v>12.8</v>
      </c>
      <c r="G1724" s="469">
        <v>7.5</v>
      </c>
      <c r="H1724" s="470">
        <v>165</v>
      </c>
      <c r="I1724" s="470">
        <v>766</v>
      </c>
      <c r="J1724" s="470">
        <v>3665</v>
      </c>
      <c r="K1724" s="469">
        <v>1.71</v>
      </c>
    </row>
    <row r="1725" spans="2:11" x14ac:dyDescent="0.35">
      <c r="B1725" s="62">
        <v>12.25</v>
      </c>
      <c r="C1725" s="471">
        <v>1741</v>
      </c>
      <c r="D1725" s="471">
        <v>1730.2</v>
      </c>
      <c r="E1725" s="469">
        <v>79.86</v>
      </c>
      <c r="F1725" s="469">
        <v>12.9</v>
      </c>
      <c r="G1725" s="469">
        <v>7.5</v>
      </c>
      <c r="H1725" s="470">
        <v>165</v>
      </c>
      <c r="I1725" s="470">
        <v>765</v>
      </c>
      <c r="J1725" s="470">
        <v>3656</v>
      </c>
      <c r="K1725" s="469">
        <v>1.71</v>
      </c>
    </row>
    <row r="1726" spans="2:11" x14ac:dyDescent="0.35">
      <c r="B1726" s="62">
        <v>12.25</v>
      </c>
      <c r="C1726" s="471">
        <v>1742</v>
      </c>
      <c r="D1726" s="471">
        <v>1731.2</v>
      </c>
      <c r="E1726" s="469">
        <v>80.45</v>
      </c>
      <c r="F1726" s="469">
        <v>12.7</v>
      </c>
      <c r="G1726" s="469">
        <v>6.5</v>
      </c>
      <c r="H1726" s="470">
        <v>165</v>
      </c>
      <c r="I1726" s="470">
        <v>768</v>
      </c>
      <c r="J1726" s="470">
        <v>3644</v>
      </c>
      <c r="K1726" s="469">
        <v>1.71</v>
      </c>
    </row>
    <row r="1727" spans="2:11" x14ac:dyDescent="0.35">
      <c r="B1727" s="62">
        <v>12.25</v>
      </c>
      <c r="C1727" s="471">
        <v>1743</v>
      </c>
      <c r="D1727" s="471">
        <v>1732.2</v>
      </c>
      <c r="E1727" s="469">
        <v>93.92</v>
      </c>
      <c r="F1727" s="469">
        <v>12.1</v>
      </c>
      <c r="G1727" s="469">
        <v>6</v>
      </c>
      <c r="H1727" s="470">
        <v>165</v>
      </c>
      <c r="I1727" s="470">
        <v>767</v>
      </c>
      <c r="J1727" s="470">
        <v>3600</v>
      </c>
      <c r="K1727" s="469">
        <v>1.71</v>
      </c>
    </row>
    <row r="1728" spans="2:11" x14ac:dyDescent="0.35">
      <c r="B1728" s="62">
        <v>12.25</v>
      </c>
      <c r="C1728" s="471">
        <v>1744</v>
      </c>
      <c r="D1728" s="471">
        <v>1733.1</v>
      </c>
      <c r="E1728" s="469">
        <v>107.31</v>
      </c>
      <c r="F1728" s="469">
        <v>13.1</v>
      </c>
      <c r="G1728" s="469">
        <v>6.4</v>
      </c>
      <c r="H1728" s="470">
        <v>165</v>
      </c>
      <c r="I1728" s="470">
        <v>767</v>
      </c>
      <c r="J1728" s="470">
        <v>3591</v>
      </c>
      <c r="K1728" s="469">
        <v>1.71</v>
      </c>
    </row>
    <row r="1729" spans="2:11" x14ac:dyDescent="0.35">
      <c r="B1729" s="62">
        <v>12.25</v>
      </c>
      <c r="C1729" s="471">
        <v>1745</v>
      </c>
      <c r="D1729" s="471">
        <v>1734.2</v>
      </c>
      <c r="E1729" s="469">
        <v>98.4</v>
      </c>
      <c r="F1729" s="469">
        <v>15.1</v>
      </c>
      <c r="G1729" s="469">
        <v>7.2</v>
      </c>
      <c r="H1729" s="470">
        <v>165</v>
      </c>
      <c r="I1729" s="470">
        <v>766</v>
      </c>
      <c r="J1729" s="470">
        <v>3640</v>
      </c>
      <c r="K1729" s="469">
        <v>1.71</v>
      </c>
    </row>
    <row r="1730" spans="2:11" x14ac:dyDescent="0.35">
      <c r="B1730" s="62">
        <v>12.25</v>
      </c>
      <c r="C1730" s="471">
        <v>1746</v>
      </c>
      <c r="D1730" s="471">
        <v>1735.2</v>
      </c>
      <c r="E1730" s="469">
        <v>91.37</v>
      </c>
      <c r="F1730" s="469">
        <v>12.5</v>
      </c>
      <c r="G1730" s="469">
        <v>7.2</v>
      </c>
      <c r="H1730" s="470">
        <v>165</v>
      </c>
      <c r="I1730" s="470">
        <v>768</v>
      </c>
      <c r="J1730" s="470">
        <v>3619</v>
      </c>
      <c r="K1730" s="469">
        <v>1.71</v>
      </c>
    </row>
    <row r="1731" spans="2:11" x14ac:dyDescent="0.35">
      <c r="B1731" s="62">
        <v>12.25</v>
      </c>
      <c r="C1731" s="471">
        <v>1747</v>
      </c>
      <c r="D1731" s="471">
        <v>1736.1</v>
      </c>
      <c r="E1731" s="469">
        <v>39.299999999999997</v>
      </c>
      <c r="F1731" s="469">
        <v>16.600000000000001</v>
      </c>
      <c r="G1731" s="469">
        <v>8.6999999999999993</v>
      </c>
      <c r="H1731" s="470">
        <v>140</v>
      </c>
      <c r="I1731" s="470">
        <v>767</v>
      </c>
      <c r="J1731" s="470">
        <v>3731</v>
      </c>
      <c r="K1731" s="469">
        <v>1.71</v>
      </c>
    </row>
    <row r="1732" spans="2:11" x14ac:dyDescent="0.35">
      <c r="B1732" s="62">
        <v>12.25</v>
      </c>
      <c r="C1732" s="471">
        <v>1748</v>
      </c>
      <c r="D1732" s="471">
        <v>1737.1</v>
      </c>
      <c r="E1732" s="469">
        <v>77.97</v>
      </c>
      <c r="F1732" s="469">
        <v>7.9</v>
      </c>
      <c r="G1732" s="469">
        <v>5.7</v>
      </c>
      <c r="H1732" s="470">
        <v>165</v>
      </c>
      <c r="I1732" s="470">
        <v>778</v>
      </c>
      <c r="J1732" s="470">
        <v>3585</v>
      </c>
      <c r="K1732" s="469">
        <v>1.71</v>
      </c>
    </row>
    <row r="1733" spans="2:11" x14ac:dyDescent="0.35">
      <c r="B1733" s="62">
        <v>12.25</v>
      </c>
      <c r="C1733" s="471">
        <v>1749</v>
      </c>
      <c r="D1733" s="471">
        <v>1738.2</v>
      </c>
      <c r="E1733" s="469">
        <v>106.37</v>
      </c>
      <c r="F1733" s="469">
        <v>12.8</v>
      </c>
      <c r="G1733" s="469">
        <v>6</v>
      </c>
      <c r="H1733" s="470">
        <v>164</v>
      </c>
      <c r="I1733" s="470">
        <v>775</v>
      </c>
      <c r="J1733" s="470">
        <v>3642</v>
      </c>
      <c r="K1733" s="469">
        <v>1.71</v>
      </c>
    </row>
    <row r="1734" spans="2:11" x14ac:dyDescent="0.35">
      <c r="B1734" s="62">
        <v>12.25</v>
      </c>
      <c r="C1734" s="471">
        <v>1750</v>
      </c>
      <c r="D1734" s="471">
        <v>1739.1</v>
      </c>
      <c r="E1734" s="469">
        <v>96.85</v>
      </c>
      <c r="F1734" s="469">
        <v>11.7</v>
      </c>
      <c r="G1734" s="469">
        <v>6.8</v>
      </c>
      <c r="H1734" s="470">
        <v>165</v>
      </c>
      <c r="I1734" s="470">
        <v>776</v>
      </c>
      <c r="J1734" s="470">
        <v>3664</v>
      </c>
      <c r="K1734" s="469">
        <v>1.71</v>
      </c>
    </row>
    <row r="1735" spans="2:11" x14ac:dyDescent="0.35">
      <c r="B1735" s="62">
        <v>12.25</v>
      </c>
      <c r="C1735" s="471">
        <v>1751</v>
      </c>
      <c r="D1735" s="471">
        <v>1740.1</v>
      </c>
      <c r="E1735" s="469">
        <v>123.36</v>
      </c>
      <c r="F1735" s="469">
        <v>12.4</v>
      </c>
      <c r="G1735" s="469">
        <v>6.5</v>
      </c>
      <c r="H1735" s="470">
        <v>164</v>
      </c>
      <c r="I1735" s="470">
        <v>775</v>
      </c>
      <c r="J1735" s="470">
        <v>3658</v>
      </c>
      <c r="K1735" s="469">
        <v>1.71</v>
      </c>
    </row>
    <row r="1736" spans="2:11" x14ac:dyDescent="0.35">
      <c r="B1736" s="62">
        <v>12.25</v>
      </c>
      <c r="C1736" s="471">
        <v>1752</v>
      </c>
      <c r="D1736" s="471">
        <v>1741.1</v>
      </c>
      <c r="E1736" s="469">
        <v>133.54</v>
      </c>
      <c r="F1736" s="469">
        <v>12.8</v>
      </c>
      <c r="G1736" s="469">
        <v>6.5</v>
      </c>
      <c r="H1736" s="470">
        <v>164</v>
      </c>
      <c r="I1736" s="470">
        <v>775</v>
      </c>
      <c r="J1736" s="470">
        <v>3663</v>
      </c>
      <c r="K1736" s="469">
        <v>1.71</v>
      </c>
    </row>
    <row r="1737" spans="2:11" x14ac:dyDescent="0.35">
      <c r="B1737" s="62">
        <v>12.25</v>
      </c>
      <c r="C1737" s="471">
        <v>1753</v>
      </c>
      <c r="D1737" s="471">
        <v>1742.1</v>
      </c>
      <c r="E1737" s="469">
        <v>112.15</v>
      </c>
      <c r="F1737" s="469">
        <v>15.1</v>
      </c>
      <c r="G1737" s="469">
        <v>6.8</v>
      </c>
      <c r="H1737" s="470">
        <v>164</v>
      </c>
      <c r="I1737" s="470">
        <v>776</v>
      </c>
      <c r="J1737" s="470">
        <v>3669</v>
      </c>
      <c r="K1737" s="469">
        <v>1.71</v>
      </c>
    </row>
    <row r="1738" spans="2:11" x14ac:dyDescent="0.35">
      <c r="B1738" s="62">
        <v>12.25</v>
      </c>
      <c r="C1738" s="471">
        <v>1754</v>
      </c>
      <c r="D1738" s="471">
        <v>1743.1</v>
      </c>
      <c r="E1738" s="469">
        <v>121.04</v>
      </c>
      <c r="F1738" s="469">
        <v>10</v>
      </c>
      <c r="G1738" s="469">
        <v>6.6</v>
      </c>
      <c r="H1738" s="470">
        <v>164</v>
      </c>
      <c r="I1738" s="470">
        <v>775</v>
      </c>
      <c r="J1738" s="470">
        <v>3632</v>
      </c>
      <c r="K1738" s="469">
        <v>1.71</v>
      </c>
    </row>
    <row r="1739" spans="2:11" x14ac:dyDescent="0.35">
      <c r="B1739" s="62">
        <v>12.25</v>
      </c>
      <c r="C1739" s="471">
        <v>1755</v>
      </c>
      <c r="D1739" s="471">
        <v>1744</v>
      </c>
      <c r="E1739" s="469">
        <v>72.760000000000005</v>
      </c>
      <c r="F1739" s="469">
        <v>10.199999999999999</v>
      </c>
      <c r="G1739" s="469">
        <v>7</v>
      </c>
      <c r="H1739" s="470">
        <v>158</v>
      </c>
      <c r="I1739" s="470">
        <v>774</v>
      </c>
      <c r="J1739" s="470">
        <v>3679</v>
      </c>
      <c r="K1739" s="469">
        <v>1.71</v>
      </c>
    </row>
    <row r="1740" spans="2:11" x14ac:dyDescent="0.35">
      <c r="B1740" s="62">
        <v>12.25</v>
      </c>
      <c r="C1740" s="471">
        <v>1756</v>
      </c>
      <c r="D1740" s="471">
        <v>1745</v>
      </c>
      <c r="E1740" s="469">
        <v>22.59</v>
      </c>
      <c r="F1740" s="469">
        <v>11.3</v>
      </c>
      <c r="G1740" s="469">
        <v>8.1</v>
      </c>
      <c r="H1740" s="470">
        <v>164</v>
      </c>
      <c r="I1740" s="470">
        <v>771</v>
      </c>
      <c r="J1740" s="470">
        <v>3702</v>
      </c>
      <c r="K1740" s="469">
        <v>1.71</v>
      </c>
    </row>
    <row r="1741" spans="2:11" x14ac:dyDescent="0.35">
      <c r="B1741" s="62">
        <v>12.25</v>
      </c>
      <c r="C1741" s="471">
        <v>1757</v>
      </c>
      <c r="D1741" s="471">
        <v>1746.1</v>
      </c>
      <c r="E1741" s="469">
        <v>92.37</v>
      </c>
      <c r="F1741" s="469">
        <v>7.8</v>
      </c>
      <c r="G1741" s="469">
        <v>7.4</v>
      </c>
      <c r="H1741" s="470">
        <v>165</v>
      </c>
      <c r="I1741" s="470">
        <v>773</v>
      </c>
      <c r="J1741" s="470">
        <v>3676</v>
      </c>
      <c r="K1741" s="469">
        <v>1.71</v>
      </c>
    </row>
    <row r="1742" spans="2:11" x14ac:dyDescent="0.35">
      <c r="B1742" s="62">
        <v>12.25</v>
      </c>
      <c r="C1742" s="471">
        <v>1758</v>
      </c>
      <c r="D1742" s="471">
        <v>1747</v>
      </c>
      <c r="E1742" s="469">
        <v>19.27</v>
      </c>
      <c r="F1742" s="469">
        <v>14.1</v>
      </c>
      <c r="G1742" s="469">
        <v>8.1</v>
      </c>
      <c r="H1742" s="470">
        <v>163</v>
      </c>
      <c r="I1742" s="470">
        <v>768</v>
      </c>
      <c r="J1742" s="470">
        <v>3809</v>
      </c>
      <c r="K1742" s="469">
        <v>1.71</v>
      </c>
    </row>
    <row r="1743" spans="2:11" x14ac:dyDescent="0.35">
      <c r="B1743" s="62">
        <v>12.25</v>
      </c>
      <c r="C1743" s="471">
        <v>1759</v>
      </c>
      <c r="D1743" s="471">
        <v>1748</v>
      </c>
      <c r="E1743" s="469">
        <v>47.82</v>
      </c>
      <c r="F1743" s="469">
        <v>9.9</v>
      </c>
      <c r="G1743" s="469">
        <v>6.2</v>
      </c>
      <c r="H1743" s="470">
        <v>165</v>
      </c>
      <c r="I1743" s="470">
        <v>773</v>
      </c>
      <c r="J1743" s="470">
        <v>3657</v>
      </c>
      <c r="K1743" s="469">
        <v>1.71</v>
      </c>
    </row>
    <row r="1744" spans="2:11" x14ac:dyDescent="0.35">
      <c r="B1744" s="62">
        <v>12.25</v>
      </c>
      <c r="C1744" s="471">
        <v>1760</v>
      </c>
      <c r="D1744" s="471">
        <v>1749</v>
      </c>
      <c r="E1744" s="469">
        <v>43.88</v>
      </c>
      <c r="F1744" s="469">
        <v>12.7</v>
      </c>
      <c r="G1744" s="469">
        <v>7.4</v>
      </c>
      <c r="H1744" s="470">
        <v>165</v>
      </c>
      <c r="I1744" s="470">
        <v>773</v>
      </c>
      <c r="J1744" s="470">
        <v>3742</v>
      </c>
      <c r="K1744" s="469">
        <v>1.71</v>
      </c>
    </row>
    <row r="1745" spans="2:11" x14ac:dyDescent="0.35">
      <c r="B1745" s="62">
        <v>12.25</v>
      </c>
      <c r="C1745" s="471">
        <v>1761</v>
      </c>
      <c r="D1745" s="471">
        <v>1750</v>
      </c>
      <c r="E1745" s="469">
        <v>27.21</v>
      </c>
      <c r="F1745" s="469">
        <v>14</v>
      </c>
      <c r="G1745" s="469">
        <v>6.6</v>
      </c>
      <c r="H1745" s="470">
        <v>165</v>
      </c>
      <c r="I1745" s="470">
        <v>774</v>
      </c>
      <c r="J1745" s="470">
        <v>3691</v>
      </c>
      <c r="K1745" s="469">
        <v>1.71</v>
      </c>
    </row>
    <row r="1746" spans="2:11" x14ac:dyDescent="0.35">
      <c r="B1746" s="62">
        <v>12.25</v>
      </c>
      <c r="C1746" s="471">
        <v>1762</v>
      </c>
      <c r="D1746" s="471">
        <v>1751</v>
      </c>
      <c r="E1746" s="469">
        <v>26.84</v>
      </c>
      <c r="F1746" s="469">
        <v>12.2</v>
      </c>
      <c r="G1746" s="469">
        <v>6.2</v>
      </c>
      <c r="H1746" s="470">
        <v>160</v>
      </c>
      <c r="I1746" s="470">
        <v>773</v>
      </c>
      <c r="J1746" s="470">
        <v>3671</v>
      </c>
      <c r="K1746" s="469">
        <v>1.71</v>
      </c>
    </row>
    <row r="1747" spans="2:11" x14ac:dyDescent="0.35">
      <c r="B1747" s="62">
        <v>12.25</v>
      </c>
      <c r="C1747" s="471">
        <v>1763</v>
      </c>
      <c r="D1747" s="471">
        <v>1752</v>
      </c>
      <c r="E1747" s="469">
        <v>32.31</v>
      </c>
      <c r="F1747" s="469">
        <v>10.9</v>
      </c>
      <c r="G1747" s="469">
        <v>6.9</v>
      </c>
      <c r="H1747" s="470">
        <v>166</v>
      </c>
      <c r="I1747" s="470">
        <v>772</v>
      </c>
      <c r="J1747" s="470">
        <v>3602</v>
      </c>
      <c r="K1747" s="469">
        <v>1.72</v>
      </c>
    </row>
    <row r="1748" spans="2:11" x14ac:dyDescent="0.35">
      <c r="B1748" s="62">
        <v>12.25</v>
      </c>
      <c r="C1748" s="471">
        <v>1764</v>
      </c>
      <c r="D1748" s="471">
        <v>1753</v>
      </c>
      <c r="E1748" s="469">
        <v>62.77</v>
      </c>
      <c r="F1748" s="469">
        <v>13.1</v>
      </c>
      <c r="G1748" s="469">
        <v>7.2</v>
      </c>
      <c r="H1748" s="470">
        <v>165</v>
      </c>
      <c r="I1748" s="470">
        <v>763</v>
      </c>
      <c r="J1748" s="470">
        <v>3708</v>
      </c>
      <c r="K1748" s="469">
        <v>1.72</v>
      </c>
    </row>
    <row r="1749" spans="2:11" x14ac:dyDescent="0.35">
      <c r="B1749" s="62">
        <v>12.25</v>
      </c>
      <c r="C1749" s="471">
        <v>1765</v>
      </c>
      <c r="D1749" s="471">
        <v>1754</v>
      </c>
      <c r="E1749" s="469">
        <v>81.28</v>
      </c>
      <c r="F1749" s="469">
        <v>11.8</v>
      </c>
      <c r="G1749" s="469">
        <v>8.6999999999999993</v>
      </c>
      <c r="H1749" s="470">
        <v>164</v>
      </c>
      <c r="I1749" s="470">
        <v>761</v>
      </c>
      <c r="J1749" s="470">
        <v>3747</v>
      </c>
      <c r="K1749" s="469">
        <v>1.72</v>
      </c>
    </row>
    <row r="1750" spans="2:11" x14ac:dyDescent="0.35">
      <c r="B1750" s="62">
        <v>12.25</v>
      </c>
      <c r="C1750" s="471">
        <v>1766</v>
      </c>
      <c r="D1750" s="471">
        <v>1755</v>
      </c>
      <c r="E1750" s="469">
        <v>71.17</v>
      </c>
      <c r="F1750" s="469">
        <v>12.2</v>
      </c>
      <c r="G1750" s="469">
        <v>8.3000000000000007</v>
      </c>
      <c r="H1750" s="470">
        <v>165</v>
      </c>
      <c r="I1750" s="470">
        <v>763</v>
      </c>
      <c r="J1750" s="470">
        <v>3741</v>
      </c>
      <c r="K1750" s="469">
        <v>1.72</v>
      </c>
    </row>
    <row r="1751" spans="2:11" x14ac:dyDescent="0.35">
      <c r="B1751" s="62">
        <v>12.25</v>
      </c>
      <c r="C1751" s="471">
        <v>1767</v>
      </c>
      <c r="D1751" s="471">
        <v>1755.9</v>
      </c>
      <c r="E1751" s="469">
        <v>72.760000000000005</v>
      </c>
      <c r="F1751" s="469">
        <v>12.8</v>
      </c>
      <c r="G1751" s="469">
        <v>7.8</v>
      </c>
      <c r="H1751" s="470">
        <v>164</v>
      </c>
      <c r="I1751" s="470">
        <v>760</v>
      </c>
      <c r="J1751" s="470">
        <v>3742</v>
      </c>
      <c r="K1751" s="469">
        <v>1.72</v>
      </c>
    </row>
    <row r="1752" spans="2:11" x14ac:dyDescent="0.35">
      <c r="B1752" s="62">
        <v>12.25</v>
      </c>
      <c r="C1752" s="471">
        <v>1768</v>
      </c>
      <c r="D1752" s="471">
        <v>1757</v>
      </c>
      <c r="E1752" s="469">
        <v>60.24</v>
      </c>
      <c r="F1752" s="469">
        <v>10.4</v>
      </c>
      <c r="G1752" s="469">
        <v>6</v>
      </c>
      <c r="H1752" s="470">
        <v>166</v>
      </c>
      <c r="I1752" s="470">
        <v>771</v>
      </c>
      <c r="J1752" s="470">
        <v>3671</v>
      </c>
      <c r="K1752" s="469">
        <v>1.72</v>
      </c>
    </row>
    <row r="1753" spans="2:11" x14ac:dyDescent="0.35">
      <c r="B1753" s="62">
        <v>12.25</v>
      </c>
      <c r="C1753" s="471">
        <v>1769</v>
      </c>
      <c r="D1753" s="471">
        <v>1757.9</v>
      </c>
      <c r="E1753" s="469">
        <v>48.56</v>
      </c>
      <c r="F1753" s="469">
        <v>8.4</v>
      </c>
      <c r="G1753" s="469">
        <v>6.7</v>
      </c>
      <c r="H1753" s="470">
        <v>166</v>
      </c>
      <c r="I1753" s="470">
        <v>773</v>
      </c>
      <c r="J1753" s="470">
        <v>3652</v>
      </c>
      <c r="K1753" s="469">
        <v>1.72</v>
      </c>
    </row>
    <row r="1754" spans="2:11" x14ac:dyDescent="0.35">
      <c r="B1754" s="62">
        <v>12.25</v>
      </c>
      <c r="C1754" s="471">
        <v>1770</v>
      </c>
      <c r="D1754" s="471">
        <v>1759</v>
      </c>
      <c r="E1754" s="469">
        <v>78.91</v>
      </c>
      <c r="F1754" s="469">
        <v>10.199999999999999</v>
      </c>
      <c r="G1754" s="469">
        <v>6.7</v>
      </c>
      <c r="H1754" s="470">
        <v>165</v>
      </c>
      <c r="I1754" s="470">
        <v>765</v>
      </c>
      <c r="J1754" s="470">
        <v>3677</v>
      </c>
      <c r="K1754" s="469">
        <v>1.72</v>
      </c>
    </row>
    <row r="1755" spans="2:11" x14ac:dyDescent="0.35">
      <c r="B1755" s="62">
        <v>12.25</v>
      </c>
      <c r="C1755" s="471">
        <v>1771</v>
      </c>
      <c r="D1755" s="471">
        <v>1759.9</v>
      </c>
      <c r="E1755" s="469">
        <v>30.52</v>
      </c>
      <c r="F1755" s="469">
        <v>10</v>
      </c>
      <c r="G1755" s="469">
        <v>3.6</v>
      </c>
      <c r="H1755" s="470">
        <v>165</v>
      </c>
      <c r="I1755" s="470">
        <v>769</v>
      </c>
      <c r="J1755" s="470">
        <v>3647</v>
      </c>
      <c r="K1755" s="469">
        <v>1.72</v>
      </c>
    </row>
    <row r="1756" spans="2:11" x14ac:dyDescent="0.35">
      <c r="B1756" s="62">
        <v>12.25</v>
      </c>
      <c r="C1756" s="471">
        <v>1772</v>
      </c>
      <c r="D1756" s="471">
        <v>1760.9</v>
      </c>
      <c r="E1756" s="469">
        <v>44.59</v>
      </c>
      <c r="F1756" s="469">
        <v>5.2</v>
      </c>
      <c r="G1756" s="469">
        <v>4.4000000000000004</v>
      </c>
      <c r="H1756" s="470">
        <v>166</v>
      </c>
      <c r="I1756" s="470">
        <v>777</v>
      </c>
      <c r="J1756" s="470">
        <v>3574</v>
      </c>
      <c r="K1756" s="469">
        <v>1.72</v>
      </c>
    </row>
    <row r="1757" spans="2:11" x14ac:dyDescent="0.35">
      <c r="B1757" s="62">
        <v>12.25</v>
      </c>
      <c r="C1757" s="471">
        <v>1773</v>
      </c>
      <c r="D1757" s="471">
        <v>1761.9</v>
      </c>
      <c r="E1757" s="469">
        <v>50.14</v>
      </c>
      <c r="F1757" s="469">
        <v>7.4</v>
      </c>
      <c r="G1757" s="469">
        <v>5.9</v>
      </c>
      <c r="H1757" s="470">
        <v>165</v>
      </c>
      <c r="I1757" s="470">
        <v>771</v>
      </c>
      <c r="J1757" s="470">
        <v>3641</v>
      </c>
      <c r="K1757" s="469">
        <v>1.72</v>
      </c>
    </row>
    <row r="1758" spans="2:11" x14ac:dyDescent="0.35">
      <c r="B1758" s="62">
        <v>12.25</v>
      </c>
      <c r="C1758" s="471">
        <v>1774</v>
      </c>
      <c r="D1758" s="471">
        <v>1762.9</v>
      </c>
      <c r="E1758" s="469">
        <v>51.78</v>
      </c>
      <c r="F1758" s="469">
        <v>8.1999999999999993</v>
      </c>
      <c r="G1758" s="469">
        <v>5.4</v>
      </c>
      <c r="H1758" s="470">
        <v>165</v>
      </c>
      <c r="I1758" s="470">
        <v>771</v>
      </c>
      <c r="J1758" s="470">
        <v>3674</v>
      </c>
      <c r="K1758" s="469">
        <v>1.72</v>
      </c>
    </row>
    <row r="1759" spans="2:11" x14ac:dyDescent="0.35">
      <c r="B1759" s="62">
        <v>12.25</v>
      </c>
      <c r="C1759" s="471">
        <v>1775</v>
      </c>
      <c r="D1759" s="471">
        <v>1763.9</v>
      </c>
      <c r="E1759" s="469">
        <v>52.54</v>
      </c>
      <c r="F1759" s="469">
        <v>8.5</v>
      </c>
      <c r="G1759" s="469">
        <v>5.6</v>
      </c>
      <c r="H1759" s="470">
        <v>165</v>
      </c>
      <c r="I1759" s="470">
        <v>771</v>
      </c>
      <c r="J1759" s="470">
        <v>3707</v>
      </c>
      <c r="K1759" s="469">
        <v>1.72</v>
      </c>
    </row>
    <row r="1760" spans="2:11" x14ac:dyDescent="0.35">
      <c r="B1760" s="62">
        <v>12.25</v>
      </c>
      <c r="C1760" s="471">
        <v>1776</v>
      </c>
      <c r="D1760" s="471">
        <v>1764.9</v>
      </c>
      <c r="E1760" s="469">
        <v>59.03</v>
      </c>
      <c r="F1760" s="469">
        <v>10.5</v>
      </c>
      <c r="G1760" s="469">
        <v>6.2</v>
      </c>
      <c r="H1760" s="470">
        <v>165</v>
      </c>
      <c r="I1760" s="470">
        <v>769</v>
      </c>
      <c r="J1760" s="470">
        <v>3756</v>
      </c>
      <c r="K1760" s="469">
        <v>1.72</v>
      </c>
    </row>
    <row r="1761" spans="2:11" x14ac:dyDescent="0.35">
      <c r="B1761" s="62">
        <v>12.25</v>
      </c>
      <c r="C1761" s="471">
        <v>1777</v>
      </c>
      <c r="D1761" s="471">
        <v>1765.9</v>
      </c>
      <c r="E1761" s="469">
        <v>49.6</v>
      </c>
      <c r="F1761" s="469">
        <v>11</v>
      </c>
      <c r="G1761" s="469">
        <v>6.9</v>
      </c>
      <c r="H1761" s="470">
        <v>165</v>
      </c>
      <c r="I1761" s="470">
        <v>771</v>
      </c>
      <c r="J1761" s="470">
        <v>3751</v>
      </c>
      <c r="K1761" s="469">
        <v>1.72</v>
      </c>
    </row>
    <row r="1762" spans="2:11" x14ac:dyDescent="0.35">
      <c r="B1762" s="62">
        <v>12.25</v>
      </c>
      <c r="C1762" s="471">
        <v>1778</v>
      </c>
      <c r="D1762" s="471">
        <v>1766.8</v>
      </c>
      <c r="E1762" s="469">
        <v>50.14</v>
      </c>
      <c r="F1762" s="469">
        <v>11</v>
      </c>
      <c r="G1762" s="469">
        <v>5</v>
      </c>
      <c r="H1762" s="470">
        <v>165</v>
      </c>
      <c r="I1762" s="470">
        <v>770</v>
      </c>
      <c r="J1762" s="470">
        <v>3727</v>
      </c>
      <c r="K1762" s="469">
        <v>1.72</v>
      </c>
    </row>
    <row r="1763" spans="2:11" x14ac:dyDescent="0.35">
      <c r="B1763" s="62">
        <v>12.25</v>
      </c>
      <c r="C1763" s="471">
        <v>1779</v>
      </c>
      <c r="D1763" s="471">
        <v>1767.8</v>
      </c>
      <c r="E1763" s="469">
        <v>48.06</v>
      </c>
      <c r="F1763" s="469">
        <v>11.5</v>
      </c>
      <c r="G1763" s="469">
        <v>5.8</v>
      </c>
      <c r="H1763" s="470">
        <v>165</v>
      </c>
      <c r="I1763" s="470">
        <v>769</v>
      </c>
      <c r="J1763" s="470">
        <v>3737</v>
      </c>
      <c r="K1763" s="469">
        <v>1.72</v>
      </c>
    </row>
    <row r="1764" spans="2:11" x14ac:dyDescent="0.35">
      <c r="B1764" s="62">
        <v>12.25</v>
      </c>
      <c r="C1764" s="471">
        <v>1780</v>
      </c>
      <c r="D1764" s="471">
        <v>1769.3</v>
      </c>
      <c r="E1764" s="469">
        <v>67.12</v>
      </c>
      <c r="F1764" s="469">
        <v>10</v>
      </c>
      <c r="G1764" s="469">
        <v>6.8</v>
      </c>
      <c r="H1764" s="470">
        <v>165</v>
      </c>
      <c r="I1764" s="470">
        <v>771</v>
      </c>
      <c r="J1764" s="470">
        <v>3727</v>
      </c>
      <c r="K1764" s="469">
        <v>1.72</v>
      </c>
    </row>
    <row r="1765" spans="2:11" x14ac:dyDescent="0.35">
      <c r="B1765" s="62">
        <v>12.25</v>
      </c>
      <c r="C1765" s="471">
        <v>1781</v>
      </c>
      <c r="D1765" s="471">
        <v>1770.3</v>
      </c>
      <c r="E1765" s="469">
        <v>57.23</v>
      </c>
      <c r="F1765" s="469">
        <v>11.7</v>
      </c>
      <c r="G1765" s="469">
        <v>6.3</v>
      </c>
      <c r="H1765" s="470">
        <v>165</v>
      </c>
      <c r="I1765" s="470">
        <v>766</v>
      </c>
      <c r="J1765" s="470">
        <v>3765</v>
      </c>
      <c r="K1765" s="469">
        <v>1.72</v>
      </c>
    </row>
    <row r="1766" spans="2:11" x14ac:dyDescent="0.35">
      <c r="B1766" s="62">
        <v>12.25</v>
      </c>
      <c r="C1766" s="471">
        <v>1782</v>
      </c>
      <c r="D1766" s="471">
        <v>1771.2</v>
      </c>
      <c r="E1766" s="469">
        <v>63.59</v>
      </c>
      <c r="F1766" s="469">
        <v>11</v>
      </c>
      <c r="G1766" s="469">
        <v>6.5</v>
      </c>
      <c r="H1766" s="470">
        <v>165</v>
      </c>
      <c r="I1766" s="470">
        <v>770</v>
      </c>
      <c r="J1766" s="470">
        <v>3745</v>
      </c>
      <c r="K1766" s="469">
        <v>1.72</v>
      </c>
    </row>
    <row r="1767" spans="2:11" x14ac:dyDescent="0.35">
      <c r="B1767" s="62">
        <v>12.25</v>
      </c>
      <c r="C1767" s="471">
        <v>1783</v>
      </c>
      <c r="D1767" s="471">
        <v>1772.3</v>
      </c>
      <c r="E1767" s="469">
        <v>53.54</v>
      </c>
      <c r="F1767" s="469">
        <v>10.6</v>
      </c>
      <c r="G1767" s="469">
        <v>7.2</v>
      </c>
      <c r="H1767" s="470">
        <v>165</v>
      </c>
      <c r="I1767" s="470">
        <v>770</v>
      </c>
      <c r="J1767" s="470">
        <v>3726</v>
      </c>
      <c r="K1767" s="469">
        <v>1.72</v>
      </c>
    </row>
    <row r="1768" spans="2:11" x14ac:dyDescent="0.35">
      <c r="B1768" s="62">
        <v>12.25</v>
      </c>
      <c r="C1768" s="471">
        <v>1784</v>
      </c>
      <c r="D1768" s="471">
        <v>1773.3</v>
      </c>
      <c r="E1768" s="469">
        <v>49.44</v>
      </c>
      <c r="F1768" s="469">
        <v>9.4</v>
      </c>
      <c r="G1768" s="469">
        <v>5.8</v>
      </c>
      <c r="H1768" s="470">
        <v>165</v>
      </c>
      <c r="I1768" s="470">
        <v>769</v>
      </c>
      <c r="J1768" s="470">
        <v>3712</v>
      </c>
      <c r="K1768" s="469">
        <v>1.72</v>
      </c>
    </row>
    <row r="1769" spans="2:11" x14ac:dyDescent="0.35">
      <c r="B1769" s="62">
        <v>12.25</v>
      </c>
      <c r="C1769" s="471">
        <v>1785</v>
      </c>
      <c r="D1769" s="471">
        <v>1774.3</v>
      </c>
      <c r="E1769" s="469">
        <v>12.95</v>
      </c>
      <c r="F1769" s="469">
        <v>5.9</v>
      </c>
      <c r="G1769" s="469">
        <v>4</v>
      </c>
      <c r="H1769" s="470">
        <v>166</v>
      </c>
      <c r="I1769" s="470">
        <v>775</v>
      </c>
      <c r="J1769" s="470">
        <v>3603</v>
      </c>
      <c r="K1769" s="469">
        <v>1.72</v>
      </c>
    </row>
    <row r="1770" spans="2:11" x14ac:dyDescent="0.35">
      <c r="B1770" s="62">
        <v>12.25</v>
      </c>
      <c r="C1770" s="471">
        <v>1786</v>
      </c>
      <c r="D1770" s="471">
        <v>1775.2</v>
      </c>
      <c r="E1770" s="469">
        <v>3.61</v>
      </c>
      <c r="F1770" s="469">
        <v>3.8</v>
      </c>
      <c r="G1770" s="469">
        <v>2.6</v>
      </c>
      <c r="H1770" s="470">
        <v>162</v>
      </c>
      <c r="I1770" s="470">
        <v>730</v>
      </c>
      <c r="J1770" s="470">
        <v>3216</v>
      </c>
      <c r="K1770" s="469">
        <v>1.73</v>
      </c>
    </row>
    <row r="1771" spans="2:11" x14ac:dyDescent="0.35">
      <c r="B1771" s="62">
        <v>12.25</v>
      </c>
      <c r="C1771" s="471">
        <v>1787</v>
      </c>
      <c r="D1771" s="471">
        <v>1776.2</v>
      </c>
      <c r="E1771" s="469">
        <v>20</v>
      </c>
      <c r="F1771" s="469">
        <v>7.2</v>
      </c>
      <c r="G1771" s="469">
        <v>5.6</v>
      </c>
      <c r="H1771" s="470">
        <v>166</v>
      </c>
      <c r="I1771" s="470">
        <v>769</v>
      </c>
      <c r="J1771" s="470">
        <v>3515</v>
      </c>
      <c r="K1771" s="469">
        <v>1.73</v>
      </c>
    </row>
    <row r="1772" spans="2:11" x14ac:dyDescent="0.35">
      <c r="B1772" s="62">
        <v>12.25</v>
      </c>
      <c r="C1772" s="471">
        <v>1788</v>
      </c>
      <c r="D1772" s="471">
        <v>1777.2</v>
      </c>
      <c r="E1772" s="469">
        <v>28.02</v>
      </c>
      <c r="F1772" s="469">
        <v>7.7</v>
      </c>
      <c r="G1772" s="469">
        <v>4.5</v>
      </c>
      <c r="H1772" s="470">
        <v>166</v>
      </c>
      <c r="I1772" s="470">
        <v>768</v>
      </c>
      <c r="J1772" s="470">
        <v>3569</v>
      </c>
      <c r="K1772" s="469">
        <v>1.73</v>
      </c>
    </row>
    <row r="1773" spans="2:11" x14ac:dyDescent="0.35">
      <c r="B1773" s="62">
        <v>12.25</v>
      </c>
      <c r="C1773" s="471">
        <v>1789</v>
      </c>
      <c r="D1773" s="471">
        <v>1778.2</v>
      </c>
      <c r="E1773" s="469">
        <v>28.1</v>
      </c>
      <c r="F1773" s="469">
        <v>7.8</v>
      </c>
      <c r="G1773" s="469">
        <v>4.9000000000000004</v>
      </c>
      <c r="H1773" s="470">
        <v>166</v>
      </c>
      <c r="I1773" s="470">
        <v>766</v>
      </c>
      <c r="J1773" s="470">
        <v>3551</v>
      </c>
      <c r="K1773" s="469">
        <v>1.73</v>
      </c>
    </row>
    <row r="1774" spans="2:11" x14ac:dyDescent="0.35">
      <c r="B1774" s="62">
        <v>12.25</v>
      </c>
      <c r="C1774" s="471">
        <v>1790</v>
      </c>
      <c r="D1774" s="471">
        <v>1779.2</v>
      </c>
      <c r="E1774" s="469">
        <v>48.46</v>
      </c>
      <c r="F1774" s="469">
        <v>9.4</v>
      </c>
      <c r="G1774" s="469">
        <v>4.5999999999999996</v>
      </c>
      <c r="H1774" s="470">
        <v>166</v>
      </c>
      <c r="I1774" s="470">
        <v>768</v>
      </c>
      <c r="J1774" s="470">
        <v>3595</v>
      </c>
      <c r="K1774" s="469">
        <v>1.73</v>
      </c>
    </row>
    <row r="1775" spans="2:11" x14ac:dyDescent="0.35">
      <c r="B1775" s="62">
        <v>12.25</v>
      </c>
      <c r="C1775" s="471">
        <v>1791</v>
      </c>
      <c r="D1775" s="471">
        <v>1780.2</v>
      </c>
      <c r="E1775" s="469">
        <v>35.1</v>
      </c>
      <c r="F1775" s="469">
        <v>10.1</v>
      </c>
      <c r="G1775" s="469">
        <v>4.5999999999999996</v>
      </c>
      <c r="H1775" s="470">
        <v>166</v>
      </c>
      <c r="I1775" s="470">
        <v>769</v>
      </c>
      <c r="J1775" s="470">
        <v>3613</v>
      </c>
      <c r="K1775" s="469">
        <v>1.73</v>
      </c>
    </row>
    <row r="1776" spans="2:11" x14ac:dyDescent="0.35">
      <c r="B1776" s="62">
        <v>12.25</v>
      </c>
      <c r="C1776" s="471">
        <v>1792</v>
      </c>
      <c r="D1776" s="471">
        <v>1781.2</v>
      </c>
      <c r="E1776" s="469">
        <v>21</v>
      </c>
      <c r="F1776" s="469">
        <v>10.199999999999999</v>
      </c>
      <c r="G1776" s="469">
        <v>4.7</v>
      </c>
      <c r="H1776" s="470">
        <v>166</v>
      </c>
      <c r="I1776" s="470">
        <v>770</v>
      </c>
      <c r="J1776" s="470">
        <v>3610</v>
      </c>
      <c r="K1776" s="469">
        <v>1.73</v>
      </c>
    </row>
    <row r="1777" spans="2:11" x14ac:dyDescent="0.35">
      <c r="B1777" s="62">
        <v>12.25</v>
      </c>
      <c r="C1777" s="471">
        <v>1793</v>
      </c>
      <c r="D1777" s="471">
        <v>1782.2</v>
      </c>
      <c r="E1777" s="469">
        <v>43.47</v>
      </c>
      <c r="F1777" s="469">
        <v>10.4</v>
      </c>
      <c r="G1777" s="469">
        <v>5.5</v>
      </c>
      <c r="H1777" s="470">
        <v>166</v>
      </c>
      <c r="I1777" s="470">
        <v>768</v>
      </c>
      <c r="J1777" s="470">
        <v>3613</v>
      </c>
      <c r="K1777" s="469">
        <v>1.73</v>
      </c>
    </row>
    <row r="1778" spans="2:11" x14ac:dyDescent="0.35">
      <c r="B1778" s="62">
        <v>12.25</v>
      </c>
      <c r="C1778" s="471">
        <v>1794</v>
      </c>
      <c r="D1778" s="471">
        <v>1783.2</v>
      </c>
      <c r="E1778" s="469">
        <v>54.85</v>
      </c>
      <c r="F1778" s="469">
        <v>11.3</v>
      </c>
      <c r="G1778" s="469">
        <v>6.1</v>
      </c>
      <c r="H1778" s="470">
        <v>165</v>
      </c>
      <c r="I1778" s="470">
        <v>763</v>
      </c>
      <c r="J1778" s="470">
        <v>3659</v>
      </c>
      <c r="K1778" s="469">
        <v>1.73</v>
      </c>
    </row>
    <row r="1779" spans="2:11" x14ac:dyDescent="0.35">
      <c r="B1779" s="62">
        <v>12.25</v>
      </c>
      <c r="C1779" s="471">
        <v>1795</v>
      </c>
      <c r="D1779" s="471">
        <v>1784.2</v>
      </c>
      <c r="E1779" s="469">
        <v>61.32</v>
      </c>
      <c r="F1779" s="469">
        <v>11</v>
      </c>
      <c r="G1779" s="469">
        <v>7.8</v>
      </c>
      <c r="H1779" s="470">
        <v>165</v>
      </c>
      <c r="I1779" s="470">
        <v>761</v>
      </c>
      <c r="J1779" s="470">
        <v>3669</v>
      </c>
      <c r="K1779" s="469">
        <v>1.73</v>
      </c>
    </row>
    <row r="1780" spans="2:11" x14ac:dyDescent="0.35">
      <c r="B1780" s="62">
        <v>12.25</v>
      </c>
      <c r="C1780" s="471">
        <v>1796</v>
      </c>
      <c r="D1780" s="471">
        <v>1785.2</v>
      </c>
      <c r="E1780" s="469">
        <v>46.96</v>
      </c>
      <c r="F1780" s="469">
        <v>12.9</v>
      </c>
      <c r="G1780" s="469">
        <v>8</v>
      </c>
      <c r="H1780" s="470">
        <v>165</v>
      </c>
      <c r="I1780" s="470">
        <v>759</v>
      </c>
      <c r="J1780" s="470">
        <v>3680</v>
      </c>
      <c r="K1780" s="469">
        <v>1.73</v>
      </c>
    </row>
    <row r="1781" spans="2:11" x14ac:dyDescent="0.35">
      <c r="B1781" s="62">
        <v>12.25</v>
      </c>
      <c r="C1781" s="471">
        <v>1797</v>
      </c>
      <c r="D1781" s="471">
        <v>1786.2</v>
      </c>
      <c r="E1781" s="469">
        <v>55.56</v>
      </c>
      <c r="F1781" s="469">
        <v>13.5</v>
      </c>
      <c r="G1781" s="469">
        <v>10</v>
      </c>
      <c r="H1781" s="470">
        <v>165</v>
      </c>
      <c r="I1781" s="470">
        <v>761</v>
      </c>
      <c r="J1781" s="470">
        <v>3695</v>
      </c>
      <c r="K1781" s="469">
        <v>1.74</v>
      </c>
    </row>
    <row r="1782" spans="2:11" x14ac:dyDescent="0.35">
      <c r="B1782" s="62">
        <v>12.25</v>
      </c>
      <c r="C1782" s="471">
        <v>1798</v>
      </c>
      <c r="D1782" s="471">
        <v>1787.2</v>
      </c>
      <c r="E1782" s="469">
        <v>47.56</v>
      </c>
      <c r="F1782" s="469">
        <v>13.7</v>
      </c>
      <c r="G1782" s="469">
        <v>9.4</v>
      </c>
      <c r="H1782" s="470">
        <v>165</v>
      </c>
      <c r="I1782" s="470">
        <v>760</v>
      </c>
      <c r="J1782" s="470">
        <v>3703</v>
      </c>
      <c r="K1782" s="469">
        <v>1.75</v>
      </c>
    </row>
    <row r="1783" spans="2:11" x14ac:dyDescent="0.35">
      <c r="B1783" s="62">
        <v>12.25</v>
      </c>
      <c r="C1783" s="471">
        <v>1799</v>
      </c>
      <c r="D1783" s="471">
        <v>1788.2</v>
      </c>
      <c r="E1783" s="469">
        <v>59.27</v>
      </c>
      <c r="F1783" s="469">
        <v>13.4</v>
      </c>
      <c r="G1783" s="469">
        <v>9.1999999999999993</v>
      </c>
      <c r="H1783" s="470">
        <v>165</v>
      </c>
      <c r="I1783" s="470">
        <v>758</v>
      </c>
      <c r="J1783" s="470">
        <v>3692</v>
      </c>
      <c r="K1783" s="469">
        <v>1.75</v>
      </c>
    </row>
    <row r="1784" spans="2:11" x14ac:dyDescent="0.35">
      <c r="B1784" s="62">
        <v>12.25</v>
      </c>
      <c r="C1784" s="471">
        <v>1800</v>
      </c>
      <c r="D1784" s="471">
        <v>1789.2</v>
      </c>
      <c r="E1784" s="469">
        <v>45.28</v>
      </c>
      <c r="F1784" s="469">
        <v>14</v>
      </c>
      <c r="G1784" s="469">
        <v>9.3000000000000007</v>
      </c>
      <c r="H1784" s="470">
        <v>165</v>
      </c>
      <c r="I1784" s="470">
        <v>759</v>
      </c>
      <c r="J1784" s="470">
        <v>3704</v>
      </c>
      <c r="K1784" s="469">
        <v>1.75</v>
      </c>
    </row>
    <row r="1785" spans="2:11" x14ac:dyDescent="0.35">
      <c r="B1785" s="62">
        <v>12.25</v>
      </c>
      <c r="C1785" s="471">
        <v>1801</v>
      </c>
      <c r="D1785" s="471">
        <v>1790.2</v>
      </c>
      <c r="E1785" s="469">
        <v>61.43</v>
      </c>
      <c r="F1785" s="469">
        <v>13.5</v>
      </c>
      <c r="G1785" s="469">
        <v>9.5</v>
      </c>
      <c r="H1785" s="470">
        <v>165</v>
      </c>
      <c r="I1785" s="470">
        <v>761</v>
      </c>
      <c r="J1785" s="470">
        <v>3698</v>
      </c>
      <c r="K1785" s="469">
        <v>1.75</v>
      </c>
    </row>
    <row r="1786" spans="2:11" x14ac:dyDescent="0.35">
      <c r="B1786" s="62">
        <v>12.25</v>
      </c>
      <c r="C1786" s="471">
        <v>1802</v>
      </c>
      <c r="D1786" s="471">
        <v>1791.1</v>
      </c>
      <c r="E1786" s="469">
        <v>61.91</v>
      </c>
      <c r="F1786" s="469">
        <v>13.2</v>
      </c>
      <c r="G1786" s="469">
        <v>9.1</v>
      </c>
      <c r="H1786" s="470">
        <v>165</v>
      </c>
      <c r="I1786" s="470">
        <v>760</v>
      </c>
      <c r="J1786" s="470">
        <v>3699</v>
      </c>
      <c r="K1786" s="469">
        <v>1.75</v>
      </c>
    </row>
    <row r="1787" spans="2:11" x14ac:dyDescent="0.35">
      <c r="B1787" s="62">
        <v>12.25</v>
      </c>
      <c r="C1787" s="471">
        <v>1803</v>
      </c>
      <c r="D1787" s="471">
        <v>1792.1</v>
      </c>
      <c r="E1787" s="469">
        <v>41.41</v>
      </c>
      <c r="F1787" s="469">
        <v>13.6</v>
      </c>
      <c r="G1787" s="469">
        <v>8.3000000000000007</v>
      </c>
      <c r="H1787" s="470">
        <v>165</v>
      </c>
      <c r="I1787" s="470">
        <v>760</v>
      </c>
      <c r="J1787" s="470">
        <v>3688</v>
      </c>
      <c r="K1787" s="469">
        <v>1.75</v>
      </c>
    </row>
    <row r="1788" spans="2:11" x14ac:dyDescent="0.35">
      <c r="B1788" s="62">
        <v>12.25</v>
      </c>
      <c r="C1788" s="471">
        <v>1804</v>
      </c>
      <c r="D1788" s="471">
        <v>1793.1</v>
      </c>
      <c r="E1788" s="469">
        <v>73.31</v>
      </c>
      <c r="F1788" s="469">
        <v>14</v>
      </c>
      <c r="G1788" s="469">
        <v>9.5</v>
      </c>
      <c r="H1788" s="470">
        <v>165</v>
      </c>
      <c r="I1788" s="470">
        <v>761</v>
      </c>
      <c r="J1788" s="470">
        <v>3727</v>
      </c>
      <c r="K1788" s="469">
        <v>1.75</v>
      </c>
    </row>
    <row r="1789" spans="2:11" x14ac:dyDescent="0.35">
      <c r="B1789" s="62">
        <v>12.25</v>
      </c>
      <c r="C1789" s="471">
        <v>1805</v>
      </c>
      <c r="D1789" s="471">
        <v>1794.1</v>
      </c>
      <c r="E1789" s="469">
        <v>72.489999999999995</v>
      </c>
      <c r="F1789" s="469">
        <v>12.4</v>
      </c>
      <c r="G1789" s="469">
        <v>9.1</v>
      </c>
      <c r="H1789" s="470">
        <v>165</v>
      </c>
      <c r="I1789" s="470">
        <v>760</v>
      </c>
      <c r="J1789" s="470">
        <v>3701</v>
      </c>
      <c r="K1789" s="469">
        <v>1.75</v>
      </c>
    </row>
    <row r="1790" spans="2:11" x14ac:dyDescent="0.35">
      <c r="B1790" s="62">
        <v>12.25</v>
      </c>
      <c r="C1790" s="471">
        <v>1806</v>
      </c>
      <c r="D1790" s="471">
        <v>1795.1</v>
      </c>
      <c r="E1790" s="469">
        <v>85.61</v>
      </c>
      <c r="F1790" s="469">
        <v>14.1</v>
      </c>
      <c r="G1790" s="469">
        <v>10.5</v>
      </c>
      <c r="H1790" s="470">
        <v>165</v>
      </c>
      <c r="I1790" s="470">
        <v>760</v>
      </c>
      <c r="J1790" s="470">
        <v>3745</v>
      </c>
      <c r="K1790" s="469">
        <v>1.75</v>
      </c>
    </row>
    <row r="1791" spans="2:11" x14ac:dyDescent="0.35">
      <c r="B1791" s="62">
        <v>12.25</v>
      </c>
      <c r="C1791" s="471">
        <v>1807</v>
      </c>
      <c r="D1791" s="471">
        <v>1796.1</v>
      </c>
      <c r="E1791" s="469">
        <v>56.57</v>
      </c>
      <c r="F1791" s="469">
        <v>14.6</v>
      </c>
      <c r="G1791" s="469">
        <v>10.3</v>
      </c>
      <c r="H1791" s="470">
        <v>165</v>
      </c>
      <c r="I1791" s="470">
        <v>760</v>
      </c>
      <c r="J1791" s="470">
        <v>3752</v>
      </c>
      <c r="K1791" s="469">
        <v>1.75</v>
      </c>
    </row>
    <row r="1792" spans="2:11" x14ac:dyDescent="0.35">
      <c r="B1792" s="62">
        <v>12.25</v>
      </c>
      <c r="C1792" s="471">
        <v>1808</v>
      </c>
      <c r="D1792" s="471">
        <v>1797.1</v>
      </c>
      <c r="E1792" s="469">
        <v>60.64</v>
      </c>
      <c r="F1792" s="469">
        <v>12.2</v>
      </c>
      <c r="G1792" s="469">
        <v>10</v>
      </c>
      <c r="H1792" s="470">
        <v>165</v>
      </c>
      <c r="I1792" s="470">
        <v>760</v>
      </c>
      <c r="J1792" s="470">
        <v>3691</v>
      </c>
      <c r="K1792" s="469">
        <v>1.75</v>
      </c>
    </row>
    <row r="1793" spans="2:11" x14ac:dyDescent="0.35">
      <c r="B1793" s="62">
        <v>12.25</v>
      </c>
      <c r="C1793" s="471">
        <v>1809</v>
      </c>
      <c r="D1793" s="471">
        <v>1798.1</v>
      </c>
      <c r="E1793" s="469">
        <v>97.96</v>
      </c>
      <c r="F1793" s="469">
        <v>13.1</v>
      </c>
      <c r="G1793" s="469">
        <v>9.9</v>
      </c>
      <c r="H1793" s="470">
        <v>165</v>
      </c>
      <c r="I1793" s="470">
        <v>758</v>
      </c>
      <c r="J1793" s="470">
        <v>3722</v>
      </c>
      <c r="K1793" s="469">
        <v>1.75</v>
      </c>
    </row>
    <row r="1794" spans="2:11" x14ac:dyDescent="0.35">
      <c r="B1794" s="62">
        <v>12.25</v>
      </c>
      <c r="C1794" s="471">
        <v>1810</v>
      </c>
      <c r="D1794" s="471">
        <v>1799.1</v>
      </c>
      <c r="E1794" s="469">
        <v>70.62</v>
      </c>
      <c r="F1794" s="469">
        <v>13.2</v>
      </c>
      <c r="G1794" s="469">
        <v>9.4</v>
      </c>
      <c r="H1794" s="470">
        <v>165</v>
      </c>
      <c r="I1794" s="470">
        <v>759</v>
      </c>
      <c r="J1794" s="470">
        <v>3702</v>
      </c>
      <c r="K1794" s="469">
        <v>1.75</v>
      </c>
    </row>
    <row r="1795" spans="2:11" x14ac:dyDescent="0.35">
      <c r="B1795" s="62">
        <v>12.25</v>
      </c>
      <c r="C1795" s="471">
        <v>1811</v>
      </c>
      <c r="D1795" s="471">
        <v>1800.1</v>
      </c>
      <c r="E1795" s="469">
        <v>62.18</v>
      </c>
      <c r="F1795" s="469">
        <v>13.1</v>
      </c>
      <c r="G1795" s="469">
        <v>9.1999999999999993</v>
      </c>
      <c r="H1795" s="470">
        <v>165</v>
      </c>
      <c r="I1795" s="470">
        <v>760</v>
      </c>
      <c r="J1795" s="470">
        <v>3707</v>
      </c>
      <c r="K1795" s="469">
        <v>1.75</v>
      </c>
    </row>
    <row r="1796" spans="2:11" x14ac:dyDescent="0.35">
      <c r="B1796" s="62">
        <v>12.25</v>
      </c>
      <c r="C1796" s="471">
        <v>1812</v>
      </c>
      <c r="D1796" s="471">
        <v>1801.1</v>
      </c>
      <c r="E1796" s="469">
        <v>57.23</v>
      </c>
      <c r="F1796" s="469">
        <v>11</v>
      </c>
      <c r="G1796" s="469">
        <v>8.1</v>
      </c>
      <c r="H1796" s="470">
        <v>165</v>
      </c>
      <c r="I1796" s="470">
        <v>762</v>
      </c>
      <c r="J1796" s="470">
        <v>3660</v>
      </c>
      <c r="K1796" s="469">
        <v>1.75</v>
      </c>
    </row>
    <row r="1797" spans="2:11" x14ac:dyDescent="0.35">
      <c r="B1797" s="62">
        <v>12.25</v>
      </c>
      <c r="C1797" s="471">
        <v>1813</v>
      </c>
      <c r="D1797" s="471">
        <v>1802.1</v>
      </c>
      <c r="E1797" s="469">
        <v>60.52</v>
      </c>
      <c r="F1797" s="469">
        <v>11.9</v>
      </c>
      <c r="G1797" s="469">
        <v>9.1</v>
      </c>
      <c r="H1797" s="470">
        <v>165</v>
      </c>
      <c r="I1797" s="470">
        <v>762</v>
      </c>
      <c r="J1797" s="470">
        <v>3697</v>
      </c>
      <c r="K1797" s="469">
        <v>1.75</v>
      </c>
    </row>
    <row r="1798" spans="2:11" x14ac:dyDescent="0.35">
      <c r="B1798" s="62">
        <v>12.25</v>
      </c>
      <c r="C1798" s="471">
        <v>1814</v>
      </c>
      <c r="D1798" s="471">
        <v>1803.1</v>
      </c>
      <c r="E1798" s="469">
        <v>8.36</v>
      </c>
      <c r="F1798" s="469">
        <v>9.1999999999999993</v>
      </c>
      <c r="G1798" s="469">
        <v>6.5</v>
      </c>
      <c r="H1798" s="470">
        <v>165</v>
      </c>
      <c r="I1798" s="470">
        <v>758</v>
      </c>
      <c r="J1798" s="470">
        <v>3610</v>
      </c>
      <c r="K1798" s="469">
        <v>1.75</v>
      </c>
    </row>
    <row r="1799" spans="2:11" x14ac:dyDescent="0.35">
      <c r="B1799" s="62">
        <v>12.25</v>
      </c>
      <c r="C1799" s="471">
        <v>1815</v>
      </c>
      <c r="D1799" s="471">
        <v>1804.1</v>
      </c>
      <c r="E1799" s="469">
        <v>41.97</v>
      </c>
      <c r="F1799" s="469">
        <v>5.9</v>
      </c>
      <c r="G1799" s="469">
        <v>7.2</v>
      </c>
      <c r="H1799" s="470">
        <v>164</v>
      </c>
      <c r="I1799" s="470">
        <v>755</v>
      </c>
      <c r="J1799" s="470">
        <v>3534</v>
      </c>
      <c r="K1799" s="469">
        <v>1.75</v>
      </c>
    </row>
    <row r="1800" spans="2:11" x14ac:dyDescent="0.35">
      <c r="B1800" s="62">
        <v>12.25</v>
      </c>
      <c r="C1800" s="471">
        <v>1816</v>
      </c>
      <c r="D1800" s="471">
        <v>1805</v>
      </c>
      <c r="E1800" s="469">
        <v>53.3</v>
      </c>
      <c r="F1800" s="469">
        <v>8.5</v>
      </c>
      <c r="G1800" s="469">
        <v>8.1</v>
      </c>
      <c r="H1800" s="470">
        <v>164</v>
      </c>
      <c r="I1800" s="470">
        <v>754</v>
      </c>
      <c r="J1800" s="470">
        <v>3594</v>
      </c>
      <c r="K1800" s="469">
        <v>1.75</v>
      </c>
    </row>
    <row r="1801" spans="2:11" x14ac:dyDescent="0.35">
      <c r="B1801" s="62">
        <v>12.25</v>
      </c>
      <c r="C1801" s="471">
        <v>1817</v>
      </c>
      <c r="D1801" s="471">
        <v>1806.1</v>
      </c>
      <c r="E1801" s="469">
        <v>53.3</v>
      </c>
      <c r="F1801" s="469">
        <v>10.5</v>
      </c>
      <c r="G1801" s="469">
        <v>9.9</v>
      </c>
      <c r="H1801" s="470">
        <v>163</v>
      </c>
      <c r="I1801" s="470">
        <v>752</v>
      </c>
      <c r="J1801" s="470">
        <v>3641</v>
      </c>
      <c r="K1801" s="469">
        <v>1.75</v>
      </c>
    </row>
    <row r="1802" spans="2:11" x14ac:dyDescent="0.35">
      <c r="B1802" s="62">
        <v>12.25</v>
      </c>
      <c r="C1802" s="471">
        <v>1818</v>
      </c>
      <c r="D1802" s="471">
        <v>1807.1</v>
      </c>
      <c r="E1802" s="469">
        <v>54</v>
      </c>
      <c r="F1802" s="469">
        <v>10.5</v>
      </c>
      <c r="G1802" s="469">
        <v>9</v>
      </c>
      <c r="H1802" s="470">
        <v>164</v>
      </c>
      <c r="I1802" s="470">
        <v>753</v>
      </c>
      <c r="J1802" s="470">
        <v>3635</v>
      </c>
      <c r="K1802" s="469">
        <v>1.75</v>
      </c>
    </row>
    <row r="1803" spans="2:11" x14ac:dyDescent="0.35">
      <c r="B1803" s="62">
        <v>12.25</v>
      </c>
      <c r="C1803" s="471">
        <v>1819</v>
      </c>
      <c r="D1803" s="471">
        <v>1808.1</v>
      </c>
      <c r="E1803" s="469">
        <v>35.4</v>
      </c>
      <c r="F1803" s="469">
        <v>11.2</v>
      </c>
      <c r="G1803" s="469">
        <v>9.6999999999999993</v>
      </c>
      <c r="H1803" s="470">
        <v>164</v>
      </c>
      <c r="I1803" s="470">
        <v>752</v>
      </c>
      <c r="J1803" s="470">
        <v>3649</v>
      </c>
      <c r="K1803" s="469">
        <v>1.75</v>
      </c>
    </row>
    <row r="1804" spans="2:11" x14ac:dyDescent="0.35">
      <c r="B1804" s="62">
        <v>12.25</v>
      </c>
      <c r="C1804" s="471">
        <v>1820</v>
      </c>
      <c r="D1804" s="471">
        <v>1809</v>
      </c>
      <c r="E1804" s="469">
        <v>48.06</v>
      </c>
      <c r="F1804" s="469">
        <v>11.8</v>
      </c>
      <c r="G1804" s="469">
        <v>9.4</v>
      </c>
      <c r="H1804" s="470">
        <v>164</v>
      </c>
      <c r="I1804" s="470">
        <v>752</v>
      </c>
      <c r="J1804" s="470">
        <v>3676</v>
      </c>
      <c r="K1804" s="469">
        <v>1.75</v>
      </c>
    </row>
    <row r="1805" spans="2:11" x14ac:dyDescent="0.35">
      <c r="B1805" s="62">
        <v>12.25</v>
      </c>
      <c r="C1805" s="471">
        <v>1821</v>
      </c>
      <c r="D1805" s="471">
        <v>1810.1</v>
      </c>
      <c r="E1805" s="469">
        <v>46.1</v>
      </c>
      <c r="F1805" s="469">
        <v>11.8</v>
      </c>
      <c r="G1805" s="469">
        <v>9</v>
      </c>
      <c r="H1805" s="470">
        <v>164</v>
      </c>
      <c r="I1805" s="470">
        <v>754</v>
      </c>
      <c r="J1805" s="470">
        <v>3673</v>
      </c>
      <c r="K1805" s="469">
        <v>1.75</v>
      </c>
    </row>
    <row r="1806" spans="2:11" x14ac:dyDescent="0.35">
      <c r="B1806" s="62">
        <v>12.25</v>
      </c>
      <c r="C1806" s="471">
        <v>1822</v>
      </c>
      <c r="D1806" s="471">
        <v>1811.1</v>
      </c>
      <c r="E1806" s="469">
        <v>56.38</v>
      </c>
      <c r="F1806" s="469">
        <v>12.3</v>
      </c>
      <c r="G1806" s="469">
        <v>10.4</v>
      </c>
      <c r="H1806" s="470">
        <v>163</v>
      </c>
      <c r="I1806" s="470">
        <v>752</v>
      </c>
      <c r="J1806" s="470">
        <v>3686</v>
      </c>
      <c r="K1806" s="469">
        <v>1.75</v>
      </c>
    </row>
    <row r="1807" spans="2:11" x14ac:dyDescent="0.35">
      <c r="B1807" s="62">
        <v>12.25</v>
      </c>
      <c r="C1807" s="471">
        <v>1823</v>
      </c>
      <c r="D1807" s="471">
        <v>1812</v>
      </c>
      <c r="E1807" s="469">
        <v>35.25</v>
      </c>
      <c r="F1807" s="469">
        <v>10.9</v>
      </c>
      <c r="G1807" s="469">
        <v>7.8</v>
      </c>
      <c r="H1807" s="470">
        <v>164</v>
      </c>
      <c r="I1807" s="470">
        <v>758</v>
      </c>
      <c r="J1807" s="470">
        <v>3660</v>
      </c>
      <c r="K1807" s="469">
        <v>1.75</v>
      </c>
    </row>
    <row r="1808" spans="2:11" x14ac:dyDescent="0.35">
      <c r="B1808" s="62">
        <v>12.25</v>
      </c>
      <c r="C1808" s="471">
        <v>1824</v>
      </c>
      <c r="D1808" s="471">
        <v>1813</v>
      </c>
      <c r="E1808" s="469">
        <v>51.62</v>
      </c>
      <c r="F1808" s="469">
        <v>11.6</v>
      </c>
      <c r="G1808" s="469">
        <v>10.199999999999999</v>
      </c>
      <c r="H1808" s="470">
        <v>164</v>
      </c>
      <c r="I1808" s="470">
        <v>759</v>
      </c>
      <c r="J1808" s="470">
        <v>3784</v>
      </c>
      <c r="K1808" s="469">
        <v>1.75</v>
      </c>
    </row>
    <row r="1809" spans="2:11" x14ac:dyDescent="0.35">
      <c r="B1809" s="62">
        <v>12.25</v>
      </c>
      <c r="C1809" s="471">
        <v>1825</v>
      </c>
      <c r="D1809" s="471">
        <v>1814</v>
      </c>
      <c r="E1809" s="469">
        <v>39.4</v>
      </c>
      <c r="F1809" s="469">
        <v>8.6</v>
      </c>
      <c r="G1809" s="469">
        <v>8.1999999999999993</v>
      </c>
      <c r="H1809" s="470">
        <v>165</v>
      </c>
      <c r="I1809" s="470">
        <v>762</v>
      </c>
      <c r="J1809" s="470">
        <v>3659</v>
      </c>
      <c r="K1809" s="469">
        <v>1.75</v>
      </c>
    </row>
    <row r="1810" spans="2:11" x14ac:dyDescent="0.35">
      <c r="B1810" s="62">
        <v>12.25</v>
      </c>
      <c r="C1810" s="471">
        <v>1826</v>
      </c>
      <c r="D1810" s="471">
        <v>1815</v>
      </c>
      <c r="E1810" s="469">
        <v>46.57</v>
      </c>
      <c r="F1810" s="469">
        <v>10.199999999999999</v>
      </c>
      <c r="G1810" s="469">
        <v>7.9</v>
      </c>
      <c r="H1810" s="470">
        <v>165</v>
      </c>
      <c r="I1810" s="470">
        <v>761</v>
      </c>
      <c r="J1810" s="470">
        <v>3720</v>
      </c>
      <c r="K1810" s="469">
        <v>1.75</v>
      </c>
    </row>
    <row r="1811" spans="2:11" x14ac:dyDescent="0.35">
      <c r="B1811" s="62">
        <v>12.25</v>
      </c>
      <c r="C1811" s="471">
        <v>1827</v>
      </c>
      <c r="D1811" s="471">
        <v>1816</v>
      </c>
      <c r="E1811" s="469">
        <v>41.3</v>
      </c>
      <c r="F1811" s="469">
        <v>11.6</v>
      </c>
      <c r="G1811" s="469">
        <v>7.5</v>
      </c>
      <c r="H1811" s="470">
        <v>165</v>
      </c>
      <c r="I1811" s="470">
        <v>758</v>
      </c>
      <c r="J1811" s="470">
        <v>3768</v>
      </c>
      <c r="K1811" s="469">
        <v>1.75</v>
      </c>
    </row>
    <row r="1812" spans="2:11" x14ac:dyDescent="0.35">
      <c r="B1812" s="62">
        <v>12.25</v>
      </c>
      <c r="C1812" s="471">
        <v>1828</v>
      </c>
      <c r="D1812" s="471">
        <v>1817</v>
      </c>
      <c r="E1812" s="469">
        <v>35.53</v>
      </c>
      <c r="F1812" s="469">
        <v>13.1</v>
      </c>
      <c r="G1812" s="469">
        <v>7</v>
      </c>
      <c r="H1812" s="470">
        <v>165</v>
      </c>
      <c r="I1812" s="470">
        <v>759</v>
      </c>
      <c r="J1812" s="470">
        <v>3775</v>
      </c>
      <c r="K1812" s="469">
        <v>1.76</v>
      </c>
    </row>
    <row r="1813" spans="2:11" x14ac:dyDescent="0.35">
      <c r="B1813" s="62">
        <v>12.25</v>
      </c>
      <c r="C1813" s="471">
        <v>1829</v>
      </c>
      <c r="D1813" s="471">
        <v>1818</v>
      </c>
      <c r="E1813" s="469">
        <v>40.06</v>
      </c>
      <c r="F1813" s="469">
        <v>13.8</v>
      </c>
      <c r="G1813" s="469">
        <v>9.9</v>
      </c>
      <c r="H1813" s="470">
        <v>165</v>
      </c>
      <c r="I1813" s="470">
        <v>756</v>
      </c>
      <c r="J1813" s="470">
        <v>3793</v>
      </c>
      <c r="K1813" s="469">
        <v>1.76</v>
      </c>
    </row>
    <row r="1814" spans="2:11" x14ac:dyDescent="0.35">
      <c r="B1814" s="62">
        <v>12.25</v>
      </c>
      <c r="C1814" s="471">
        <v>1830</v>
      </c>
      <c r="D1814" s="471">
        <v>1819</v>
      </c>
      <c r="E1814" s="469">
        <v>48.11</v>
      </c>
      <c r="F1814" s="469">
        <v>13.7</v>
      </c>
      <c r="G1814" s="469">
        <v>10.199999999999999</v>
      </c>
      <c r="H1814" s="470">
        <v>165</v>
      </c>
      <c r="I1814" s="470">
        <v>758</v>
      </c>
      <c r="J1814" s="470">
        <v>3806</v>
      </c>
      <c r="K1814" s="469">
        <v>1.76</v>
      </c>
    </row>
    <row r="1815" spans="2:11" x14ac:dyDescent="0.35">
      <c r="B1815" s="62">
        <v>12.25</v>
      </c>
      <c r="C1815" s="471">
        <v>1831</v>
      </c>
      <c r="D1815" s="471">
        <v>1820</v>
      </c>
      <c r="E1815" s="469">
        <v>62.32</v>
      </c>
      <c r="F1815" s="469">
        <v>12.3</v>
      </c>
      <c r="G1815" s="469">
        <v>9.6999999999999993</v>
      </c>
      <c r="H1815" s="470">
        <v>165</v>
      </c>
      <c r="I1815" s="470">
        <v>758</v>
      </c>
      <c r="J1815" s="470">
        <v>3792</v>
      </c>
      <c r="K1815" s="469">
        <v>1.76</v>
      </c>
    </row>
    <row r="1816" spans="2:11" x14ac:dyDescent="0.35">
      <c r="B1816" s="62">
        <v>12.25</v>
      </c>
      <c r="C1816" s="471">
        <v>1832</v>
      </c>
      <c r="D1816" s="471">
        <v>1821</v>
      </c>
      <c r="E1816" s="469">
        <v>49.6</v>
      </c>
      <c r="F1816" s="469">
        <v>12.5</v>
      </c>
      <c r="G1816" s="469">
        <v>9</v>
      </c>
      <c r="H1816" s="470">
        <v>165</v>
      </c>
      <c r="I1816" s="470">
        <v>757</v>
      </c>
      <c r="J1816" s="470">
        <v>3799</v>
      </c>
      <c r="K1816" s="469">
        <v>1.76</v>
      </c>
    </row>
    <row r="1817" spans="2:11" x14ac:dyDescent="0.35">
      <c r="B1817" s="62">
        <v>12.25</v>
      </c>
      <c r="C1817" s="471">
        <v>1833</v>
      </c>
      <c r="D1817" s="471">
        <v>1822</v>
      </c>
      <c r="E1817" s="469">
        <v>51.05</v>
      </c>
      <c r="F1817" s="469">
        <v>12.4</v>
      </c>
      <c r="G1817" s="469">
        <v>8.8000000000000007</v>
      </c>
      <c r="H1817" s="470">
        <v>165</v>
      </c>
      <c r="I1817" s="470">
        <v>758</v>
      </c>
      <c r="J1817" s="470">
        <v>3795</v>
      </c>
      <c r="K1817" s="469">
        <v>1.76</v>
      </c>
    </row>
    <row r="1818" spans="2:11" x14ac:dyDescent="0.35">
      <c r="B1818" s="62">
        <v>12.25</v>
      </c>
      <c r="C1818" s="471">
        <v>1834</v>
      </c>
      <c r="D1818" s="471">
        <v>1823</v>
      </c>
      <c r="E1818" s="469">
        <v>47.45</v>
      </c>
      <c r="F1818" s="469">
        <v>14.6</v>
      </c>
      <c r="G1818" s="469">
        <v>9.6999999999999993</v>
      </c>
      <c r="H1818" s="470">
        <v>164</v>
      </c>
      <c r="I1818" s="470">
        <v>754</v>
      </c>
      <c r="J1818" s="470">
        <v>3805</v>
      </c>
      <c r="K1818" s="469">
        <v>1.76</v>
      </c>
    </row>
    <row r="1819" spans="2:11" x14ac:dyDescent="0.35">
      <c r="B1819" s="62">
        <v>12.25</v>
      </c>
      <c r="C1819" s="471">
        <v>1835</v>
      </c>
      <c r="D1819" s="471">
        <v>1824</v>
      </c>
      <c r="E1819" s="469">
        <v>43.92</v>
      </c>
      <c r="F1819" s="469">
        <v>14.9</v>
      </c>
      <c r="G1819" s="469">
        <v>9.1999999999999993</v>
      </c>
      <c r="H1819" s="470">
        <v>164</v>
      </c>
      <c r="I1819" s="470">
        <v>753</v>
      </c>
      <c r="J1819" s="470">
        <v>3810</v>
      </c>
      <c r="K1819" s="469">
        <v>1.76</v>
      </c>
    </row>
    <row r="1820" spans="2:11" x14ac:dyDescent="0.35">
      <c r="B1820" s="62">
        <v>12.25</v>
      </c>
      <c r="C1820" s="471">
        <v>1836</v>
      </c>
      <c r="D1820" s="471">
        <v>1825</v>
      </c>
      <c r="E1820" s="469">
        <v>48.06</v>
      </c>
      <c r="F1820" s="469">
        <v>14.2</v>
      </c>
      <c r="G1820" s="469">
        <v>8.6999999999999993</v>
      </c>
      <c r="H1820" s="470">
        <v>165</v>
      </c>
      <c r="I1820" s="470">
        <v>755</v>
      </c>
      <c r="J1820" s="470">
        <v>3810</v>
      </c>
      <c r="K1820" s="469">
        <v>1.76</v>
      </c>
    </row>
    <row r="1821" spans="2:11" x14ac:dyDescent="0.35">
      <c r="B1821" s="62">
        <v>12.25</v>
      </c>
      <c r="C1821" s="471">
        <v>1837</v>
      </c>
      <c r="D1821" s="471">
        <v>1826</v>
      </c>
      <c r="E1821" s="469">
        <v>41.58</v>
      </c>
      <c r="F1821" s="469">
        <v>13.8</v>
      </c>
      <c r="G1821" s="469">
        <v>8.6</v>
      </c>
      <c r="H1821" s="470">
        <v>165</v>
      </c>
      <c r="I1821" s="470">
        <v>756</v>
      </c>
      <c r="J1821" s="470">
        <v>3800</v>
      </c>
      <c r="K1821" s="469">
        <v>1.76</v>
      </c>
    </row>
    <row r="1822" spans="2:11" x14ac:dyDescent="0.35">
      <c r="B1822" s="62">
        <v>12.25</v>
      </c>
      <c r="C1822" s="471">
        <v>1838</v>
      </c>
      <c r="D1822" s="471">
        <v>1826.9</v>
      </c>
      <c r="E1822" s="469">
        <v>63.82</v>
      </c>
      <c r="F1822" s="469">
        <v>12.9</v>
      </c>
      <c r="G1822" s="469">
        <v>9.5</v>
      </c>
      <c r="H1822" s="470">
        <v>165</v>
      </c>
      <c r="I1822" s="470">
        <v>756</v>
      </c>
      <c r="J1822" s="470">
        <v>3792</v>
      </c>
      <c r="K1822" s="469">
        <v>1.76</v>
      </c>
    </row>
    <row r="1823" spans="2:11" x14ac:dyDescent="0.35">
      <c r="B1823" s="62">
        <v>12.25</v>
      </c>
      <c r="C1823" s="471">
        <v>1839</v>
      </c>
      <c r="D1823" s="471">
        <v>1827.9</v>
      </c>
      <c r="E1823" s="469">
        <v>49.65</v>
      </c>
      <c r="F1823" s="469">
        <v>13.7</v>
      </c>
      <c r="G1823" s="469">
        <v>9.6999999999999993</v>
      </c>
      <c r="H1823" s="470">
        <v>165</v>
      </c>
      <c r="I1823" s="470">
        <v>757</v>
      </c>
      <c r="J1823" s="470">
        <v>3816</v>
      </c>
      <c r="K1823" s="469">
        <v>1.76</v>
      </c>
    </row>
    <row r="1824" spans="2:11" x14ac:dyDescent="0.35">
      <c r="B1824" s="62">
        <v>12.25</v>
      </c>
      <c r="C1824" s="471">
        <v>1840</v>
      </c>
      <c r="D1824" s="471">
        <v>1829</v>
      </c>
      <c r="E1824" s="469">
        <v>48.75</v>
      </c>
      <c r="F1824" s="469">
        <v>14.2</v>
      </c>
      <c r="G1824" s="469">
        <v>7.4</v>
      </c>
      <c r="H1824" s="470">
        <v>165</v>
      </c>
      <c r="I1824" s="470">
        <v>757</v>
      </c>
      <c r="J1824" s="470">
        <v>3790</v>
      </c>
      <c r="K1824" s="469">
        <v>1.76</v>
      </c>
    </row>
    <row r="1825" spans="2:11" x14ac:dyDescent="0.35">
      <c r="B1825" s="62">
        <v>12.25</v>
      </c>
      <c r="C1825" s="471">
        <v>1841</v>
      </c>
      <c r="D1825" s="471">
        <v>1829.9</v>
      </c>
      <c r="E1825" s="469">
        <v>45.34</v>
      </c>
      <c r="F1825" s="469">
        <v>13.2</v>
      </c>
      <c r="G1825" s="469">
        <v>5.4</v>
      </c>
      <c r="H1825" s="470">
        <v>165</v>
      </c>
      <c r="I1825" s="470">
        <v>756</v>
      </c>
      <c r="J1825" s="470">
        <v>3791</v>
      </c>
      <c r="K1825" s="469">
        <v>1.76</v>
      </c>
    </row>
    <row r="1826" spans="2:11" x14ac:dyDescent="0.35">
      <c r="B1826" s="62">
        <v>12.25</v>
      </c>
      <c r="C1826" s="471">
        <v>1842</v>
      </c>
      <c r="D1826" s="471">
        <v>1830.9</v>
      </c>
      <c r="E1826" s="469">
        <v>55.76</v>
      </c>
      <c r="F1826" s="469">
        <v>12.4</v>
      </c>
      <c r="G1826" s="469">
        <v>8.5</v>
      </c>
      <c r="H1826" s="470">
        <v>165</v>
      </c>
      <c r="I1826" s="470">
        <v>757</v>
      </c>
      <c r="J1826" s="470">
        <v>3798</v>
      </c>
      <c r="K1826" s="469">
        <v>1.76</v>
      </c>
    </row>
    <row r="1827" spans="2:11" x14ac:dyDescent="0.35">
      <c r="B1827" s="62">
        <v>12.25</v>
      </c>
      <c r="C1827" s="471">
        <v>1843</v>
      </c>
      <c r="D1827" s="471">
        <v>1831.9</v>
      </c>
      <c r="E1827" s="469">
        <v>4.2300000000000004</v>
      </c>
      <c r="F1827" s="469">
        <v>7.8</v>
      </c>
      <c r="G1827" s="469">
        <v>5.5</v>
      </c>
      <c r="H1827" s="470">
        <v>164</v>
      </c>
      <c r="I1827" s="470">
        <v>752</v>
      </c>
      <c r="J1827" s="470">
        <v>3605</v>
      </c>
      <c r="K1827" s="469">
        <v>1.77</v>
      </c>
    </row>
    <row r="1828" spans="2:11" x14ac:dyDescent="0.35">
      <c r="B1828" s="62">
        <v>12.25</v>
      </c>
      <c r="C1828" s="471">
        <v>1844</v>
      </c>
      <c r="D1828" s="471">
        <v>1832.9</v>
      </c>
      <c r="E1828" s="469">
        <v>14.77</v>
      </c>
      <c r="F1828" s="469">
        <v>6.6</v>
      </c>
      <c r="G1828" s="469">
        <v>5.4</v>
      </c>
      <c r="H1828" s="470">
        <v>164</v>
      </c>
      <c r="I1828" s="470">
        <v>763</v>
      </c>
      <c r="J1828" s="470">
        <v>3680</v>
      </c>
      <c r="K1828" s="469">
        <v>1.77</v>
      </c>
    </row>
    <row r="1829" spans="2:11" x14ac:dyDescent="0.35">
      <c r="B1829" s="62">
        <v>12.25</v>
      </c>
      <c r="C1829" s="471">
        <v>1845</v>
      </c>
      <c r="D1829" s="471">
        <v>1833.9</v>
      </c>
      <c r="E1829" s="469">
        <v>27.83</v>
      </c>
      <c r="F1829" s="469">
        <v>8</v>
      </c>
      <c r="G1829" s="469">
        <v>7.4</v>
      </c>
      <c r="H1829" s="470">
        <v>164</v>
      </c>
      <c r="I1829" s="470">
        <v>757</v>
      </c>
      <c r="J1829" s="470">
        <v>3679</v>
      </c>
      <c r="K1829" s="469">
        <v>1.77</v>
      </c>
    </row>
    <row r="1830" spans="2:11" x14ac:dyDescent="0.35">
      <c r="B1830" s="62">
        <v>12.25</v>
      </c>
      <c r="C1830" s="471">
        <v>1846</v>
      </c>
      <c r="D1830" s="471">
        <v>1834.9</v>
      </c>
      <c r="E1830" s="469">
        <v>42.15</v>
      </c>
      <c r="F1830" s="469">
        <v>9.1999999999999993</v>
      </c>
      <c r="G1830" s="469">
        <v>8.1</v>
      </c>
      <c r="H1830" s="470">
        <v>164</v>
      </c>
      <c r="I1830" s="470">
        <v>754</v>
      </c>
      <c r="J1830" s="470">
        <v>3714</v>
      </c>
      <c r="K1830" s="469">
        <v>1.77</v>
      </c>
    </row>
    <row r="1831" spans="2:11" x14ac:dyDescent="0.35">
      <c r="B1831" s="62">
        <v>12.25</v>
      </c>
      <c r="C1831" s="471">
        <v>1847</v>
      </c>
      <c r="D1831" s="471">
        <v>1835.9</v>
      </c>
      <c r="E1831" s="469">
        <v>43.82</v>
      </c>
      <c r="F1831" s="469">
        <v>9.6</v>
      </c>
      <c r="G1831" s="469">
        <v>7</v>
      </c>
      <c r="H1831" s="470">
        <v>163</v>
      </c>
      <c r="I1831" s="470">
        <v>751</v>
      </c>
      <c r="J1831" s="470">
        <v>3750</v>
      </c>
      <c r="K1831" s="469">
        <v>1.77</v>
      </c>
    </row>
    <row r="1832" spans="2:11" x14ac:dyDescent="0.35">
      <c r="B1832" s="62">
        <v>12.25</v>
      </c>
      <c r="C1832" s="471">
        <v>1848</v>
      </c>
      <c r="D1832" s="471">
        <v>1836.9</v>
      </c>
      <c r="E1832" s="469">
        <v>47.16</v>
      </c>
      <c r="F1832" s="469">
        <v>11.2</v>
      </c>
      <c r="G1832" s="469">
        <v>8.3000000000000007</v>
      </c>
      <c r="H1832" s="470">
        <v>163</v>
      </c>
      <c r="I1832" s="470">
        <v>752</v>
      </c>
      <c r="J1832" s="470">
        <v>3774</v>
      </c>
      <c r="K1832" s="469">
        <v>1.77</v>
      </c>
    </row>
    <row r="1833" spans="2:11" x14ac:dyDescent="0.35">
      <c r="B1833" s="62">
        <v>12.25</v>
      </c>
      <c r="C1833" s="471">
        <v>1849</v>
      </c>
      <c r="D1833" s="471">
        <v>1837.9</v>
      </c>
      <c r="E1833" s="469">
        <v>69.7</v>
      </c>
      <c r="F1833" s="469">
        <v>11.8</v>
      </c>
      <c r="G1833" s="469">
        <v>9.6999999999999993</v>
      </c>
      <c r="H1833" s="470">
        <v>163</v>
      </c>
      <c r="I1833" s="470">
        <v>750</v>
      </c>
      <c r="J1833" s="470">
        <v>3793</v>
      </c>
      <c r="K1833" s="469">
        <v>1.77</v>
      </c>
    </row>
    <row r="1834" spans="2:11" x14ac:dyDescent="0.35">
      <c r="B1834" s="62">
        <v>12.25</v>
      </c>
      <c r="C1834" s="471">
        <v>1850</v>
      </c>
      <c r="D1834" s="471">
        <v>1838.9</v>
      </c>
      <c r="E1834" s="469">
        <v>40.54</v>
      </c>
      <c r="F1834" s="469">
        <v>12</v>
      </c>
      <c r="G1834" s="469">
        <v>7.8</v>
      </c>
      <c r="H1834" s="470">
        <v>163</v>
      </c>
      <c r="I1834" s="470">
        <v>752</v>
      </c>
      <c r="J1834" s="470">
        <v>3772</v>
      </c>
      <c r="K1834" s="469">
        <v>1.77</v>
      </c>
    </row>
    <row r="1835" spans="2:11" x14ac:dyDescent="0.35">
      <c r="B1835" s="62">
        <v>12.25</v>
      </c>
      <c r="C1835" s="471">
        <v>1851</v>
      </c>
      <c r="D1835" s="471">
        <v>1839.9</v>
      </c>
      <c r="E1835" s="469">
        <v>54.85</v>
      </c>
      <c r="F1835" s="469">
        <v>13</v>
      </c>
      <c r="G1835" s="469">
        <v>10.4</v>
      </c>
      <c r="H1835" s="470">
        <v>163</v>
      </c>
      <c r="I1835" s="470">
        <v>751</v>
      </c>
      <c r="J1835" s="470">
        <v>3814</v>
      </c>
      <c r="K1835" s="469">
        <v>1.77</v>
      </c>
    </row>
    <row r="1836" spans="2:11" x14ac:dyDescent="0.35">
      <c r="B1836" s="62">
        <v>12.25</v>
      </c>
      <c r="C1836" s="471">
        <v>1852</v>
      </c>
      <c r="D1836" s="471">
        <v>1840.9</v>
      </c>
      <c r="E1836" s="469">
        <v>44.83</v>
      </c>
      <c r="F1836" s="469">
        <v>10.199999999999999</v>
      </c>
      <c r="G1836" s="469">
        <v>8.9</v>
      </c>
      <c r="H1836" s="470">
        <v>163</v>
      </c>
      <c r="I1836" s="470">
        <v>754</v>
      </c>
      <c r="J1836" s="470">
        <v>3755</v>
      </c>
      <c r="K1836" s="469">
        <v>1.77</v>
      </c>
    </row>
    <row r="1837" spans="2:11" x14ac:dyDescent="0.35">
      <c r="B1837" s="62">
        <v>12.25</v>
      </c>
      <c r="C1837" s="471">
        <v>1853</v>
      </c>
      <c r="D1837" s="471">
        <v>1841.8</v>
      </c>
      <c r="E1837" s="469">
        <v>59.35</v>
      </c>
      <c r="F1837" s="469">
        <v>11.9</v>
      </c>
      <c r="G1837" s="469">
        <v>9.4</v>
      </c>
      <c r="H1837" s="470">
        <v>163</v>
      </c>
      <c r="I1837" s="470">
        <v>752</v>
      </c>
      <c r="J1837" s="470">
        <v>3808</v>
      </c>
      <c r="K1837" s="469">
        <v>1.77</v>
      </c>
    </row>
    <row r="1838" spans="2:11" x14ac:dyDescent="0.35">
      <c r="B1838" s="62">
        <v>12.25</v>
      </c>
      <c r="C1838" s="471">
        <v>1854</v>
      </c>
      <c r="D1838" s="471">
        <v>1842.9</v>
      </c>
      <c r="E1838" s="469">
        <v>48.75</v>
      </c>
      <c r="F1838" s="469">
        <v>12</v>
      </c>
      <c r="G1838" s="469">
        <v>7.6</v>
      </c>
      <c r="H1838" s="470">
        <v>164</v>
      </c>
      <c r="I1838" s="470">
        <v>753</v>
      </c>
      <c r="J1838" s="470">
        <v>3795</v>
      </c>
      <c r="K1838" s="469">
        <v>1.77</v>
      </c>
    </row>
    <row r="1839" spans="2:11" x14ac:dyDescent="0.35">
      <c r="B1839" s="62">
        <v>12.25</v>
      </c>
      <c r="C1839" s="471">
        <v>1855</v>
      </c>
      <c r="D1839" s="471">
        <v>1843.9</v>
      </c>
      <c r="E1839" s="469">
        <v>49.44</v>
      </c>
      <c r="F1839" s="469">
        <v>11.8</v>
      </c>
      <c r="G1839" s="469">
        <v>8.1999999999999993</v>
      </c>
      <c r="H1839" s="470">
        <v>163</v>
      </c>
      <c r="I1839" s="470">
        <v>751</v>
      </c>
      <c r="J1839" s="470">
        <v>3775</v>
      </c>
      <c r="K1839" s="469">
        <v>1.77</v>
      </c>
    </row>
    <row r="1840" spans="2:11" x14ac:dyDescent="0.35">
      <c r="B1840" s="62">
        <v>12.25</v>
      </c>
      <c r="C1840" s="471">
        <v>1856</v>
      </c>
      <c r="D1840" s="471">
        <v>1844.8</v>
      </c>
      <c r="E1840" s="469">
        <v>52.87</v>
      </c>
      <c r="F1840" s="469">
        <v>11.2</v>
      </c>
      <c r="G1840" s="469">
        <v>7.7</v>
      </c>
      <c r="H1840" s="470">
        <v>164</v>
      </c>
      <c r="I1840" s="470">
        <v>752</v>
      </c>
      <c r="J1840" s="470">
        <v>3776</v>
      </c>
      <c r="K1840" s="469">
        <v>1.77</v>
      </c>
    </row>
    <row r="1841" spans="2:11" x14ac:dyDescent="0.35">
      <c r="B1841" s="62">
        <v>12.25</v>
      </c>
      <c r="C1841" s="471">
        <v>1857</v>
      </c>
      <c r="D1841" s="471">
        <v>1845.9</v>
      </c>
      <c r="E1841" s="469">
        <v>58.17</v>
      </c>
      <c r="F1841" s="469">
        <v>11.2</v>
      </c>
      <c r="G1841" s="469">
        <v>8.4</v>
      </c>
      <c r="H1841" s="470">
        <v>163</v>
      </c>
      <c r="I1841" s="470">
        <v>752</v>
      </c>
      <c r="J1841" s="470">
        <v>3773</v>
      </c>
      <c r="K1841" s="469">
        <v>1.77</v>
      </c>
    </row>
    <row r="1842" spans="2:11" x14ac:dyDescent="0.35">
      <c r="B1842" s="62">
        <v>12.25</v>
      </c>
      <c r="C1842" s="471">
        <v>1858</v>
      </c>
      <c r="D1842" s="471">
        <v>1846.9</v>
      </c>
      <c r="E1842" s="469">
        <v>49.55</v>
      </c>
      <c r="F1842" s="469">
        <v>12.5</v>
      </c>
      <c r="G1842" s="469">
        <v>8.9</v>
      </c>
      <c r="H1842" s="470">
        <v>163</v>
      </c>
      <c r="I1842" s="470">
        <v>751</v>
      </c>
      <c r="J1842" s="470">
        <v>3771</v>
      </c>
      <c r="K1842" s="469">
        <v>1.77</v>
      </c>
    </row>
    <row r="1843" spans="2:11" x14ac:dyDescent="0.35">
      <c r="B1843" s="62">
        <v>12.25</v>
      </c>
      <c r="C1843" s="471">
        <v>1859</v>
      </c>
      <c r="D1843" s="471">
        <v>1847.8</v>
      </c>
      <c r="E1843" s="469">
        <v>43.36</v>
      </c>
      <c r="F1843" s="469">
        <v>12.4</v>
      </c>
      <c r="G1843" s="469">
        <v>8.1999999999999993</v>
      </c>
      <c r="H1843" s="470">
        <v>163</v>
      </c>
      <c r="I1843" s="470">
        <v>751</v>
      </c>
      <c r="J1843" s="470">
        <v>3761</v>
      </c>
      <c r="K1843" s="469">
        <v>1.77</v>
      </c>
    </row>
    <row r="1844" spans="2:11" x14ac:dyDescent="0.35">
      <c r="B1844" s="62">
        <v>12.25</v>
      </c>
      <c r="C1844" s="471">
        <v>1860</v>
      </c>
      <c r="D1844" s="471">
        <v>1848.8</v>
      </c>
      <c r="E1844" s="469">
        <v>60.79</v>
      </c>
      <c r="F1844" s="469">
        <v>12</v>
      </c>
      <c r="G1844" s="469">
        <v>8.5</v>
      </c>
      <c r="H1844" s="470">
        <v>163</v>
      </c>
      <c r="I1844" s="470">
        <v>751</v>
      </c>
      <c r="J1844" s="470">
        <v>3795</v>
      </c>
      <c r="K1844" s="469">
        <v>1.77</v>
      </c>
    </row>
    <row r="1845" spans="2:11" x14ac:dyDescent="0.35">
      <c r="B1845" s="62">
        <v>12.25</v>
      </c>
      <c r="C1845" s="471">
        <v>1861</v>
      </c>
      <c r="D1845" s="471">
        <v>1849.8</v>
      </c>
      <c r="E1845" s="469">
        <v>69.7</v>
      </c>
      <c r="F1845" s="469">
        <v>12.4</v>
      </c>
      <c r="G1845" s="469">
        <v>9.3000000000000007</v>
      </c>
      <c r="H1845" s="470">
        <v>163</v>
      </c>
      <c r="I1845" s="470">
        <v>751</v>
      </c>
      <c r="J1845" s="470">
        <v>3825</v>
      </c>
      <c r="K1845" s="469">
        <v>1.77</v>
      </c>
    </row>
    <row r="1846" spans="2:11" x14ac:dyDescent="0.35">
      <c r="B1846" s="62">
        <v>12.25</v>
      </c>
      <c r="C1846" s="471">
        <v>1862</v>
      </c>
      <c r="D1846" s="471">
        <v>1850.8</v>
      </c>
      <c r="E1846" s="469">
        <v>35.909999999999997</v>
      </c>
      <c r="F1846" s="469">
        <v>13.9</v>
      </c>
      <c r="G1846" s="469">
        <v>8.8000000000000007</v>
      </c>
      <c r="H1846" s="470">
        <v>163</v>
      </c>
      <c r="I1846" s="470">
        <v>752</v>
      </c>
      <c r="J1846" s="470">
        <v>3796</v>
      </c>
      <c r="K1846" s="469">
        <v>1.77</v>
      </c>
    </row>
    <row r="1847" spans="2:11" x14ac:dyDescent="0.35">
      <c r="B1847" s="62">
        <v>12.25</v>
      </c>
      <c r="C1847" s="471">
        <v>1863</v>
      </c>
      <c r="D1847" s="471">
        <v>1851.8</v>
      </c>
      <c r="E1847" s="469">
        <v>57.91</v>
      </c>
      <c r="F1847" s="469">
        <v>13.4</v>
      </c>
      <c r="G1847" s="469">
        <v>9.1</v>
      </c>
      <c r="H1847" s="470">
        <v>163</v>
      </c>
      <c r="I1847" s="470">
        <v>752</v>
      </c>
      <c r="J1847" s="470">
        <v>3818</v>
      </c>
      <c r="K1847" s="469">
        <v>1.77</v>
      </c>
    </row>
    <row r="1848" spans="2:11" x14ac:dyDescent="0.35">
      <c r="B1848" s="62">
        <v>12.25</v>
      </c>
      <c r="C1848" s="471">
        <v>1864</v>
      </c>
      <c r="D1848" s="471">
        <v>1852.8</v>
      </c>
      <c r="E1848" s="469">
        <v>57.87</v>
      </c>
      <c r="F1848" s="469">
        <v>11.8</v>
      </c>
      <c r="G1848" s="469">
        <v>7.3</v>
      </c>
      <c r="H1848" s="470">
        <v>163</v>
      </c>
      <c r="I1848" s="470">
        <v>750</v>
      </c>
      <c r="J1848" s="470">
        <v>3785</v>
      </c>
      <c r="K1848" s="469">
        <v>1.77</v>
      </c>
    </row>
    <row r="1849" spans="2:11" x14ac:dyDescent="0.35">
      <c r="B1849" s="62">
        <v>12.25</v>
      </c>
      <c r="C1849" s="471">
        <v>1865</v>
      </c>
      <c r="D1849" s="471">
        <v>1853.8</v>
      </c>
      <c r="E1849" s="469">
        <v>53.18</v>
      </c>
      <c r="F1849" s="469">
        <v>12.8</v>
      </c>
      <c r="G1849" s="469">
        <v>8.1999999999999993</v>
      </c>
      <c r="H1849" s="470">
        <v>163</v>
      </c>
      <c r="I1849" s="470">
        <v>752</v>
      </c>
      <c r="J1849" s="470">
        <v>3810</v>
      </c>
      <c r="K1849" s="469">
        <v>1.77</v>
      </c>
    </row>
    <row r="1850" spans="2:11" x14ac:dyDescent="0.35">
      <c r="B1850" s="62">
        <v>12.25</v>
      </c>
      <c r="C1850" s="471">
        <v>1866</v>
      </c>
      <c r="D1850" s="471">
        <v>1854.8</v>
      </c>
      <c r="E1850" s="469">
        <v>38.15</v>
      </c>
      <c r="F1850" s="469">
        <v>13.8</v>
      </c>
      <c r="G1850" s="469">
        <v>8.6999999999999993</v>
      </c>
      <c r="H1850" s="470">
        <v>163</v>
      </c>
      <c r="I1850" s="470">
        <v>753</v>
      </c>
      <c r="J1850" s="470">
        <v>3792</v>
      </c>
      <c r="K1850" s="469">
        <v>1.77</v>
      </c>
    </row>
    <row r="1851" spans="2:11" x14ac:dyDescent="0.35">
      <c r="B1851" s="62">
        <v>12.25</v>
      </c>
      <c r="C1851" s="471">
        <v>1867</v>
      </c>
      <c r="D1851" s="471">
        <v>1855.8</v>
      </c>
      <c r="E1851" s="469">
        <v>3.19</v>
      </c>
      <c r="F1851" s="469">
        <v>5.7</v>
      </c>
      <c r="G1851" s="469">
        <v>3.9</v>
      </c>
      <c r="H1851" s="470">
        <v>160</v>
      </c>
      <c r="I1851" s="470">
        <v>721</v>
      </c>
      <c r="J1851" s="470">
        <v>3298</v>
      </c>
      <c r="K1851" s="469">
        <v>1.77</v>
      </c>
    </row>
    <row r="1852" spans="2:11" x14ac:dyDescent="0.35">
      <c r="B1852" s="62">
        <v>12.25</v>
      </c>
      <c r="C1852" s="471">
        <v>1868</v>
      </c>
      <c r="D1852" s="471">
        <v>1856.8</v>
      </c>
      <c r="E1852" s="469">
        <v>37.75</v>
      </c>
      <c r="F1852" s="469">
        <v>10.199999999999999</v>
      </c>
      <c r="G1852" s="469">
        <v>7.2</v>
      </c>
      <c r="H1852" s="470">
        <v>163</v>
      </c>
      <c r="I1852" s="470">
        <v>748</v>
      </c>
      <c r="J1852" s="470">
        <v>3623</v>
      </c>
      <c r="K1852" s="469">
        <v>1.77</v>
      </c>
    </row>
    <row r="1853" spans="2:11" x14ac:dyDescent="0.35">
      <c r="B1853" s="62">
        <v>12.25</v>
      </c>
      <c r="C1853" s="471">
        <v>1869</v>
      </c>
      <c r="D1853" s="471">
        <v>1857.8</v>
      </c>
      <c r="E1853" s="469">
        <v>29.6</v>
      </c>
      <c r="F1853" s="469">
        <v>11.2</v>
      </c>
      <c r="G1853" s="469">
        <v>6.3</v>
      </c>
      <c r="H1853" s="470">
        <v>163</v>
      </c>
      <c r="I1853" s="470">
        <v>751</v>
      </c>
      <c r="J1853" s="470">
        <v>3637</v>
      </c>
      <c r="K1853" s="469">
        <v>1.77</v>
      </c>
    </row>
    <row r="1854" spans="2:11" x14ac:dyDescent="0.35">
      <c r="B1854" s="62">
        <v>12.25</v>
      </c>
      <c r="C1854" s="471">
        <v>1870</v>
      </c>
      <c r="D1854" s="471">
        <v>1858.8</v>
      </c>
      <c r="E1854" s="469">
        <v>55.38</v>
      </c>
      <c r="F1854" s="469">
        <v>12.1</v>
      </c>
      <c r="G1854" s="469">
        <v>10.199999999999999</v>
      </c>
      <c r="H1854" s="470">
        <v>163</v>
      </c>
      <c r="I1854" s="470">
        <v>750</v>
      </c>
      <c r="J1854" s="470">
        <v>3737</v>
      </c>
      <c r="K1854" s="469">
        <v>1.77</v>
      </c>
    </row>
    <row r="1855" spans="2:11" x14ac:dyDescent="0.35">
      <c r="B1855" s="62">
        <v>12.25</v>
      </c>
      <c r="C1855" s="471">
        <v>1871</v>
      </c>
      <c r="D1855" s="471">
        <v>1859.8</v>
      </c>
      <c r="E1855" s="469">
        <v>43.15</v>
      </c>
      <c r="F1855" s="469">
        <v>11.4</v>
      </c>
      <c r="G1855" s="469">
        <v>6.4</v>
      </c>
      <c r="H1855" s="470">
        <v>164</v>
      </c>
      <c r="I1855" s="470">
        <v>753</v>
      </c>
      <c r="J1855" s="470">
        <v>3708</v>
      </c>
      <c r="K1855" s="469">
        <v>1.77</v>
      </c>
    </row>
    <row r="1856" spans="2:11" x14ac:dyDescent="0.35">
      <c r="B1856" s="62">
        <v>12.25</v>
      </c>
      <c r="C1856" s="471">
        <v>1872</v>
      </c>
      <c r="D1856" s="471">
        <v>1860.7</v>
      </c>
      <c r="E1856" s="469">
        <v>11.91</v>
      </c>
      <c r="F1856" s="469">
        <v>7.8</v>
      </c>
      <c r="G1856" s="469">
        <v>5.4</v>
      </c>
      <c r="H1856" s="470">
        <v>147</v>
      </c>
      <c r="I1856" s="470">
        <v>751</v>
      </c>
      <c r="J1856" s="470">
        <v>3644</v>
      </c>
      <c r="K1856" s="469">
        <v>1.77</v>
      </c>
    </row>
    <row r="1857" spans="2:11" x14ac:dyDescent="0.35">
      <c r="B1857" s="62">
        <v>12.25</v>
      </c>
      <c r="C1857" s="471">
        <v>1873</v>
      </c>
      <c r="D1857" s="471">
        <v>1861.7</v>
      </c>
      <c r="E1857" s="469">
        <v>24.91</v>
      </c>
      <c r="F1857" s="469">
        <v>10.3</v>
      </c>
      <c r="G1857" s="469">
        <v>8.1999999999999993</v>
      </c>
      <c r="H1857" s="470">
        <v>163</v>
      </c>
      <c r="I1857" s="470">
        <v>750</v>
      </c>
      <c r="J1857" s="470">
        <v>3711</v>
      </c>
      <c r="K1857" s="469">
        <v>1.77</v>
      </c>
    </row>
    <row r="1858" spans="2:11" x14ac:dyDescent="0.35">
      <c r="B1858" s="62">
        <v>12.25</v>
      </c>
      <c r="C1858" s="471">
        <v>1874</v>
      </c>
      <c r="D1858" s="471">
        <v>1862.8</v>
      </c>
      <c r="E1858" s="469">
        <v>27.05</v>
      </c>
      <c r="F1858" s="469">
        <v>7.4</v>
      </c>
      <c r="G1858" s="469">
        <v>7.2</v>
      </c>
      <c r="H1858" s="470">
        <v>162</v>
      </c>
      <c r="I1858" s="470">
        <v>748</v>
      </c>
      <c r="J1858" s="470">
        <v>3602</v>
      </c>
      <c r="K1858" s="469">
        <v>1.78</v>
      </c>
    </row>
    <row r="1859" spans="2:11" x14ac:dyDescent="0.35">
      <c r="B1859" s="62">
        <v>12.25</v>
      </c>
      <c r="C1859" s="471">
        <v>1875</v>
      </c>
      <c r="D1859" s="471">
        <v>1863.7</v>
      </c>
      <c r="E1859" s="469">
        <v>43.3</v>
      </c>
      <c r="F1859" s="469">
        <v>8</v>
      </c>
      <c r="G1859" s="469">
        <v>7.3</v>
      </c>
      <c r="H1859" s="470">
        <v>163</v>
      </c>
      <c r="I1859" s="470">
        <v>752</v>
      </c>
      <c r="J1859" s="470">
        <v>3664</v>
      </c>
      <c r="K1859" s="469">
        <v>1.78</v>
      </c>
    </row>
    <row r="1860" spans="2:11" x14ac:dyDescent="0.35">
      <c r="B1860" s="62">
        <v>12.25</v>
      </c>
      <c r="C1860" s="471">
        <v>1876</v>
      </c>
      <c r="D1860" s="471">
        <v>1864.7</v>
      </c>
      <c r="E1860" s="469">
        <v>49.44</v>
      </c>
      <c r="F1860" s="469">
        <v>8.6999999999999993</v>
      </c>
      <c r="G1860" s="469">
        <v>8.1</v>
      </c>
      <c r="H1860" s="470">
        <v>163</v>
      </c>
      <c r="I1860" s="470">
        <v>751</v>
      </c>
      <c r="J1860" s="470">
        <v>3694</v>
      </c>
      <c r="K1860" s="469">
        <v>1.78</v>
      </c>
    </row>
    <row r="1861" spans="2:11" x14ac:dyDescent="0.35">
      <c r="B1861" s="62">
        <v>12.25</v>
      </c>
      <c r="C1861" s="471">
        <v>1877</v>
      </c>
      <c r="D1861" s="471">
        <v>1865.7</v>
      </c>
      <c r="E1861" s="469">
        <v>49.85</v>
      </c>
      <c r="F1861" s="469">
        <v>10</v>
      </c>
      <c r="G1861" s="469">
        <v>9</v>
      </c>
      <c r="H1861" s="470">
        <v>163</v>
      </c>
      <c r="I1861" s="470">
        <v>751</v>
      </c>
      <c r="J1861" s="470">
        <v>3712</v>
      </c>
      <c r="K1861" s="469">
        <v>1.78</v>
      </c>
    </row>
    <row r="1862" spans="2:11" x14ac:dyDescent="0.35">
      <c r="B1862" s="62">
        <v>12.25</v>
      </c>
      <c r="C1862" s="471">
        <v>1878</v>
      </c>
      <c r="D1862" s="471">
        <v>1866.7</v>
      </c>
      <c r="E1862" s="469">
        <v>28.23</v>
      </c>
      <c r="F1862" s="469">
        <v>9.1</v>
      </c>
      <c r="G1862" s="469">
        <v>6.9</v>
      </c>
      <c r="H1862" s="470">
        <v>163</v>
      </c>
      <c r="I1862" s="470">
        <v>758</v>
      </c>
      <c r="J1862" s="470">
        <v>3640</v>
      </c>
      <c r="K1862" s="469">
        <v>1.78</v>
      </c>
    </row>
    <row r="1863" spans="2:11" x14ac:dyDescent="0.35">
      <c r="B1863" s="62">
        <v>12.25</v>
      </c>
      <c r="C1863" s="471">
        <v>1879</v>
      </c>
      <c r="D1863" s="471">
        <v>1867.7</v>
      </c>
      <c r="E1863" s="469">
        <v>31.69</v>
      </c>
      <c r="F1863" s="469">
        <v>10.9</v>
      </c>
      <c r="G1863" s="469">
        <v>7.2</v>
      </c>
      <c r="H1863" s="470">
        <v>164</v>
      </c>
      <c r="I1863" s="470">
        <v>758</v>
      </c>
      <c r="J1863" s="470">
        <v>3637</v>
      </c>
      <c r="K1863" s="469">
        <v>1.78</v>
      </c>
    </row>
    <row r="1864" spans="2:11" x14ac:dyDescent="0.35">
      <c r="B1864" s="62">
        <v>12.25</v>
      </c>
      <c r="C1864" s="471">
        <v>1880</v>
      </c>
      <c r="D1864" s="471">
        <v>1868.8</v>
      </c>
      <c r="E1864" s="469">
        <v>35.159999999999997</v>
      </c>
      <c r="F1864" s="469">
        <v>12</v>
      </c>
      <c r="G1864" s="469">
        <v>8.9</v>
      </c>
      <c r="H1864" s="470">
        <v>163</v>
      </c>
      <c r="I1864" s="470">
        <v>755</v>
      </c>
      <c r="J1864" s="470">
        <v>3657</v>
      </c>
      <c r="K1864" s="469">
        <v>1.78</v>
      </c>
    </row>
    <row r="1865" spans="2:11" x14ac:dyDescent="0.35">
      <c r="B1865" s="62">
        <v>12.25</v>
      </c>
      <c r="C1865" s="471">
        <v>1881</v>
      </c>
      <c r="D1865" s="471">
        <v>1869.7</v>
      </c>
      <c r="E1865" s="469">
        <v>38.94</v>
      </c>
      <c r="F1865" s="469">
        <v>12.2</v>
      </c>
      <c r="G1865" s="469">
        <v>8.6</v>
      </c>
      <c r="H1865" s="470">
        <v>163</v>
      </c>
      <c r="I1865" s="470">
        <v>752</v>
      </c>
      <c r="J1865" s="470">
        <v>3696</v>
      </c>
      <c r="K1865" s="469">
        <v>1.78</v>
      </c>
    </row>
    <row r="1866" spans="2:11" x14ac:dyDescent="0.35">
      <c r="B1866" s="62">
        <v>12.25</v>
      </c>
      <c r="C1866" s="471">
        <v>1882</v>
      </c>
      <c r="D1866" s="471">
        <v>1870.7</v>
      </c>
      <c r="E1866" s="469">
        <v>67.12</v>
      </c>
      <c r="F1866" s="469">
        <v>10.1</v>
      </c>
      <c r="G1866" s="469">
        <v>9.4</v>
      </c>
      <c r="H1866" s="470">
        <v>163</v>
      </c>
      <c r="I1866" s="470">
        <v>750</v>
      </c>
      <c r="J1866" s="470">
        <v>3718</v>
      </c>
      <c r="K1866" s="469">
        <v>1.78</v>
      </c>
    </row>
    <row r="1867" spans="2:11" x14ac:dyDescent="0.35">
      <c r="B1867" s="62">
        <v>12.25</v>
      </c>
      <c r="C1867" s="471">
        <v>1883</v>
      </c>
      <c r="D1867" s="471">
        <v>1871.7</v>
      </c>
      <c r="E1867" s="469">
        <v>40.75</v>
      </c>
      <c r="F1867" s="469">
        <v>12.1</v>
      </c>
      <c r="G1867" s="469">
        <v>9.4</v>
      </c>
      <c r="H1867" s="470">
        <v>163</v>
      </c>
      <c r="I1867" s="470">
        <v>754</v>
      </c>
      <c r="J1867" s="470">
        <v>3719</v>
      </c>
      <c r="K1867" s="469">
        <v>1.78</v>
      </c>
    </row>
    <row r="1868" spans="2:11" x14ac:dyDescent="0.35">
      <c r="B1868" s="62">
        <v>12.25</v>
      </c>
      <c r="C1868" s="471">
        <v>1884</v>
      </c>
      <c r="D1868" s="471">
        <v>1872.7</v>
      </c>
      <c r="E1868" s="469">
        <v>48.56</v>
      </c>
      <c r="F1868" s="469">
        <v>12.4</v>
      </c>
      <c r="G1868" s="469">
        <v>7.5</v>
      </c>
      <c r="H1868" s="470">
        <v>163</v>
      </c>
      <c r="I1868" s="470">
        <v>752</v>
      </c>
      <c r="J1868" s="470">
        <v>3730</v>
      </c>
      <c r="K1868" s="469">
        <v>1.78</v>
      </c>
    </row>
    <row r="1869" spans="2:11" x14ac:dyDescent="0.35">
      <c r="B1869" s="62">
        <v>12.25</v>
      </c>
      <c r="C1869" s="471">
        <v>1885</v>
      </c>
      <c r="D1869" s="471">
        <v>1873.7</v>
      </c>
      <c r="E1869" s="469">
        <v>43.54</v>
      </c>
      <c r="F1869" s="469">
        <v>12.5</v>
      </c>
      <c r="G1869" s="469">
        <v>8.8000000000000007</v>
      </c>
      <c r="H1869" s="470">
        <v>162</v>
      </c>
      <c r="I1869" s="470">
        <v>752</v>
      </c>
      <c r="J1869" s="470">
        <v>3736</v>
      </c>
      <c r="K1869" s="469">
        <v>1.78</v>
      </c>
    </row>
    <row r="1870" spans="2:11" x14ac:dyDescent="0.35">
      <c r="B1870" s="62">
        <v>12.25</v>
      </c>
      <c r="C1870" s="471">
        <v>1886</v>
      </c>
      <c r="D1870" s="471">
        <v>1874.7</v>
      </c>
      <c r="E1870" s="469">
        <v>48.56</v>
      </c>
      <c r="F1870" s="469">
        <v>12</v>
      </c>
      <c r="G1870" s="469">
        <v>9.6</v>
      </c>
      <c r="H1870" s="470">
        <v>163</v>
      </c>
      <c r="I1870" s="470">
        <v>753</v>
      </c>
      <c r="J1870" s="470">
        <v>3712</v>
      </c>
      <c r="K1870" s="469">
        <v>1.78</v>
      </c>
    </row>
    <row r="1871" spans="2:11" x14ac:dyDescent="0.35">
      <c r="B1871" s="62">
        <v>12.25</v>
      </c>
      <c r="C1871" s="471">
        <v>1887</v>
      </c>
      <c r="D1871" s="471">
        <v>1875.7</v>
      </c>
      <c r="E1871" s="469">
        <v>50.01</v>
      </c>
      <c r="F1871" s="469">
        <v>10.3</v>
      </c>
      <c r="G1871" s="469">
        <v>8.6999999999999993</v>
      </c>
      <c r="H1871" s="470">
        <v>163</v>
      </c>
      <c r="I1871" s="470">
        <v>754</v>
      </c>
      <c r="J1871" s="470">
        <v>3685</v>
      </c>
      <c r="K1871" s="469">
        <v>1.78</v>
      </c>
    </row>
    <row r="1872" spans="2:11" x14ac:dyDescent="0.35">
      <c r="B1872" s="62">
        <v>12.25</v>
      </c>
      <c r="C1872" s="471">
        <v>1888</v>
      </c>
      <c r="D1872" s="471">
        <v>1876.7</v>
      </c>
      <c r="E1872" s="469">
        <v>68.97</v>
      </c>
      <c r="F1872" s="469">
        <v>9.5</v>
      </c>
      <c r="G1872" s="469">
        <v>8</v>
      </c>
      <c r="H1872" s="470">
        <v>163</v>
      </c>
      <c r="I1872" s="470">
        <v>754</v>
      </c>
      <c r="J1872" s="470">
        <v>3657</v>
      </c>
      <c r="K1872" s="469">
        <v>1.78</v>
      </c>
    </row>
    <row r="1873" spans="2:11" x14ac:dyDescent="0.35">
      <c r="B1873" s="62">
        <v>12.25</v>
      </c>
      <c r="C1873" s="471">
        <v>1889</v>
      </c>
      <c r="D1873" s="471">
        <v>1877.6</v>
      </c>
      <c r="E1873" s="469">
        <v>57.54</v>
      </c>
      <c r="F1873" s="469">
        <v>12.1</v>
      </c>
      <c r="G1873" s="469">
        <v>10.6</v>
      </c>
      <c r="H1873" s="470">
        <v>163</v>
      </c>
      <c r="I1873" s="470">
        <v>755</v>
      </c>
      <c r="J1873" s="470">
        <v>3730</v>
      </c>
      <c r="K1873" s="469">
        <v>1.79</v>
      </c>
    </row>
    <row r="1874" spans="2:11" x14ac:dyDescent="0.35">
      <c r="B1874" s="62">
        <v>12.25</v>
      </c>
      <c r="C1874" s="471">
        <v>1890</v>
      </c>
      <c r="D1874" s="471">
        <v>1878.7</v>
      </c>
      <c r="E1874" s="469">
        <v>61.68</v>
      </c>
      <c r="F1874" s="469">
        <v>12.4</v>
      </c>
      <c r="G1874" s="469">
        <v>10.7</v>
      </c>
      <c r="H1874" s="470">
        <v>163</v>
      </c>
      <c r="I1874" s="470">
        <v>757</v>
      </c>
      <c r="J1874" s="470">
        <v>3760</v>
      </c>
      <c r="K1874" s="469">
        <v>1.79</v>
      </c>
    </row>
    <row r="1875" spans="2:11" x14ac:dyDescent="0.35">
      <c r="B1875" s="62">
        <v>12.25</v>
      </c>
      <c r="C1875" s="471">
        <v>1891</v>
      </c>
      <c r="D1875" s="471">
        <v>1879.6</v>
      </c>
      <c r="E1875" s="469">
        <v>58.55</v>
      </c>
      <c r="F1875" s="469">
        <v>10.199999999999999</v>
      </c>
      <c r="G1875" s="469">
        <v>9</v>
      </c>
      <c r="H1875" s="470">
        <v>163</v>
      </c>
      <c r="I1875" s="470">
        <v>759</v>
      </c>
      <c r="J1875" s="470">
        <v>3727</v>
      </c>
      <c r="K1875" s="469">
        <v>1.79</v>
      </c>
    </row>
    <row r="1876" spans="2:11" x14ac:dyDescent="0.35">
      <c r="B1876" s="62">
        <v>12.25</v>
      </c>
      <c r="C1876" s="471">
        <v>1892</v>
      </c>
      <c r="D1876" s="471">
        <v>1880.6</v>
      </c>
      <c r="E1876" s="469">
        <v>49.89</v>
      </c>
      <c r="F1876" s="469">
        <v>11.6</v>
      </c>
      <c r="G1876" s="469">
        <v>9.3000000000000007</v>
      </c>
      <c r="H1876" s="470">
        <v>163</v>
      </c>
      <c r="I1876" s="470">
        <v>759</v>
      </c>
      <c r="J1876" s="470">
        <v>3709</v>
      </c>
      <c r="K1876" s="469">
        <v>1.79</v>
      </c>
    </row>
    <row r="1877" spans="2:11" x14ac:dyDescent="0.35">
      <c r="B1877" s="62">
        <v>12.25</v>
      </c>
      <c r="C1877" s="471">
        <v>1893</v>
      </c>
      <c r="D1877" s="471">
        <v>1881.7</v>
      </c>
      <c r="E1877" s="469">
        <v>65.12</v>
      </c>
      <c r="F1877" s="469">
        <v>9.6999999999999993</v>
      </c>
      <c r="G1877" s="469">
        <v>9.1</v>
      </c>
      <c r="H1877" s="470">
        <v>163</v>
      </c>
      <c r="I1877" s="470">
        <v>758</v>
      </c>
      <c r="J1877" s="470">
        <v>3677</v>
      </c>
      <c r="K1877" s="469">
        <v>1.79</v>
      </c>
    </row>
    <row r="1878" spans="2:11" x14ac:dyDescent="0.35">
      <c r="B1878" s="62">
        <v>12.25</v>
      </c>
      <c r="C1878" s="471">
        <v>1894</v>
      </c>
      <c r="D1878" s="471">
        <v>1882.6</v>
      </c>
      <c r="E1878" s="469">
        <v>46.16</v>
      </c>
      <c r="F1878" s="469">
        <v>6.7</v>
      </c>
      <c r="G1878" s="469">
        <v>7.1</v>
      </c>
      <c r="H1878" s="470">
        <v>161</v>
      </c>
      <c r="I1878" s="470">
        <v>745</v>
      </c>
      <c r="J1878" s="470">
        <v>3620</v>
      </c>
      <c r="K1878" s="469">
        <v>1.79</v>
      </c>
    </row>
    <row r="1879" spans="2:11" x14ac:dyDescent="0.35">
      <c r="B1879" s="62">
        <v>12.25</v>
      </c>
      <c r="C1879" s="471">
        <v>1895</v>
      </c>
      <c r="D1879" s="471">
        <v>1883.6</v>
      </c>
      <c r="E1879" s="469">
        <v>23.18</v>
      </c>
      <c r="F1879" s="469">
        <v>10</v>
      </c>
      <c r="G1879" s="469">
        <v>6</v>
      </c>
      <c r="H1879" s="470">
        <v>162</v>
      </c>
      <c r="I1879" s="470">
        <v>757</v>
      </c>
      <c r="J1879" s="470">
        <v>3669</v>
      </c>
      <c r="K1879" s="469">
        <v>1.79</v>
      </c>
    </row>
    <row r="1880" spans="2:11" x14ac:dyDescent="0.35">
      <c r="B1880" s="62">
        <v>12.25</v>
      </c>
      <c r="C1880" s="471">
        <v>1896</v>
      </c>
      <c r="D1880" s="471">
        <v>1884.6</v>
      </c>
      <c r="E1880" s="469">
        <v>58.17</v>
      </c>
      <c r="F1880" s="469">
        <v>9.9</v>
      </c>
      <c r="G1880" s="469">
        <v>6.9</v>
      </c>
      <c r="H1880" s="470">
        <v>162</v>
      </c>
      <c r="I1880" s="470">
        <v>757</v>
      </c>
      <c r="J1880" s="470">
        <v>3706</v>
      </c>
      <c r="K1880" s="469">
        <v>1.8</v>
      </c>
    </row>
    <row r="1881" spans="2:11" x14ac:dyDescent="0.35">
      <c r="B1881" s="62">
        <v>12.25</v>
      </c>
      <c r="C1881" s="471">
        <v>1897</v>
      </c>
      <c r="D1881" s="471">
        <v>1885.6</v>
      </c>
      <c r="E1881" s="469">
        <v>77.97</v>
      </c>
      <c r="F1881" s="469">
        <v>10.5</v>
      </c>
      <c r="G1881" s="469">
        <v>8.6</v>
      </c>
      <c r="H1881" s="470">
        <v>162</v>
      </c>
      <c r="I1881" s="470">
        <v>755</v>
      </c>
      <c r="J1881" s="470">
        <v>3778</v>
      </c>
      <c r="K1881" s="469">
        <v>1.8</v>
      </c>
    </row>
    <row r="1882" spans="2:11" x14ac:dyDescent="0.35">
      <c r="B1882" s="62">
        <v>12.25</v>
      </c>
      <c r="C1882" s="471">
        <v>1898</v>
      </c>
      <c r="D1882" s="471">
        <v>1886.6</v>
      </c>
      <c r="E1882" s="469">
        <v>51.07</v>
      </c>
      <c r="F1882" s="469">
        <v>10.9</v>
      </c>
      <c r="G1882" s="469">
        <v>8.4</v>
      </c>
      <c r="H1882" s="470">
        <v>162</v>
      </c>
      <c r="I1882" s="470">
        <v>756</v>
      </c>
      <c r="J1882" s="470">
        <v>3774</v>
      </c>
      <c r="K1882" s="469">
        <v>1.8</v>
      </c>
    </row>
    <row r="1883" spans="2:11" x14ac:dyDescent="0.35">
      <c r="B1883" s="62">
        <v>12.25</v>
      </c>
      <c r="C1883" s="471">
        <v>1899</v>
      </c>
      <c r="D1883" s="471">
        <v>1887.6</v>
      </c>
      <c r="E1883" s="469">
        <v>66.23</v>
      </c>
      <c r="F1883" s="469">
        <v>11</v>
      </c>
      <c r="G1883" s="469">
        <v>9.3000000000000007</v>
      </c>
      <c r="H1883" s="470">
        <v>161</v>
      </c>
      <c r="I1883" s="470">
        <v>754</v>
      </c>
      <c r="J1883" s="470">
        <v>3801</v>
      </c>
      <c r="K1883" s="469">
        <v>1.8</v>
      </c>
    </row>
    <row r="1884" spans="2:11" x14ac:dyDescent="0.35">
      <c r="B1884" s="62">
        <v>12.25</v>
      </c>
      <c r="C1884" s="471">
        <v>1900</v>
      </c>
      <c r="D1884" s="471">
        <v>1888.6</v>
      </c>
      <c r="E1884" s="469">
        <v>55.72</v>
      </c>
      <c r="F1884" s="469">
        <v>10.4</v>
      </c>
      <c r="G1884" s="469">
        <v>8.8000000000000007</v>
      </c>
      <c r="H1884" s="470">
        <v>162</v>
      </c>
      <c r="I1884" s="470">
        <v>757</v>
      </c>
      <c r="J1884" s="470">
        <v>3775</v>
      </c>
      <c r="K1884" s="469">
        <v>1.8</v>
      </c>
    </row>
    <row r="1885" spans="2:11" x14ac:dyDescent="0.35">
      <c r="B1885" s="62">
        <v>12.25</v>
      </c>
      <c r="C1885" s="471">
        <v>1901</v>
      </c>
      <c r="D1885" s="471">
        <v>1889.6</v>
      </c>
      <c r="E1885" s="469">
        <v>17.190000000000001</v>
      </c>
      <c r="F1885" s="469">
        <v>4.5</v>
      </c>
      <c r="G1885" s="469">
        <v>5.6</v>
      </c>
      <c r="H1885" s="470">
        <v>162</v>
      </c>
      <c r="I1885" s="470">
        <v>742</v>
      </c>
      <c r="J1885" s="470">
        <v>3592</v>
      </c>
      <c r="K1885" s="469">
        <v>1.8</v>
      </c>
    </row>
    <row r="1886" spans="2:11" x14ac:dyDescent="0.35">
      <c r="B1886" s="62">
        <v>12.25</v>
      </c>
      <c r="C1886" s="471">
        <v>1902</v>
      </c>
      <c r="D1886" s="471">
        <v>1890.6</v>
      </c>
      <c r="E1886" s="469">
        <v>21.94</v>
      </c>
      <c r="F1886" s="469">
        <v>6.5</v>
      </c>
      <c r="G1886" s="469">
        <v>7.6</v>
      </c>
      <c r="H1886" s="470">
        <v>161</v>
      </c>
      <c r="I1886" s="470">
        <v>737</v>
      </c>
      <c r="J1886" s="470">
        <v>3675</v>
      </c>
      <c r="K1886" s="469">
        <v>1.8</v>
      </c>
    </row>
    <row r="1887" spans="2:11" x14ac:dyDescent="0.35">
      <c r="B1887" s="62">
        <v>12.25</v>
      </c>
      <c r="C1887" s="471">
        <v>1903</v>
      </c>
      <c r="D1887" s="471">
        <v>1891.6</v>
      </c>
      <c r="E1887" s="469">
        <v>50.65</v>
      </c>
      <c r="F1887" s="469">
        <v>10.8</v>
      </c>
      <c r="G1887" s="469">
        <v>7.7</v>
      </c>
      <c r="H1887" s="470">
        <v>161</v>
      </c>
      <c r="I1887" s="470">
        <v>735</v>
      </c>
      <c r="J1887" s="470">
        <v>3692</v>
      </c>
      <c r="K1887" s="469">
        <v>1.8</v>
      </c>
    </row>
    <row r="1888" spans="2:11" x14ac:dyDescent="0.35">
      <c r="B1888" s="62">
        <v>12.25</v>
      </c>
      <c r="C1888" s="471">
        <v>1904</v>
      </c>
      <c r="D1888" s="471">
        <v>1892.6</v>
      </c>
      <c r="E1888" s="469">
        <v>57.18</v>
      </c>
      <c r="F1888" s="469">
        <v>12.1</v>
      </c>
      <c r="G1888" s="469">
        <v>7.9</v>
      </c>
      <c r="H1888" s="470">
        <v>162</v>
      </c>
      <c r="I1888" s="470">
        <v>738</v>
      </c>
      <c r="J1888" s="470">
        <v>3705</v>
      </c>
      <c r="K1888" s="469">
        <v>1.8</v>
      </c>
    </row>
    <row r="1889" spans="2:11" x14ac:dyDescent="0.35">
      <c r="B1889" s="62">
        <v>12.25</v>
      </c>
      <c r="C1889" s="471">
        <v>1905</v>
      </c>
      <c r="D1889" s="471">
        <v>1893.6</v>
      </c>
      <c r="E1889" s="469">
        <v>57.99</v>
      </c>
      <c r="F1889" s="469">
        <v>12.3</v>
      </c>
      <c r="G1889" s="469">
        <v>9.9</v>
      </c>
      <c r="H1889" s="470">
        <v>161</v>
      </c>
      <c r="I1889" s="470">
        <v>738</v>
      </c>
      <c r="J1889" s="470">
        <v>3728</v>
      </c>
      <c r="K1889" s="469">
        <v>1.8</v>
      </c>
    </row>
    <row r="1890" spans="2:11" x14ac:dyDescent="0.35">
      <c r="B1890" s="62">
        <v>12.25</v>
      </c>
      <c r="C1890" s="471">
        <v>1906</v>
      </c>
      <c r="D1890" s="471">
        <v>1894.6</v>
      </c>
      <c r="E1890" s="469">
        <v>52.3</v>
      </c>
      <c r="F1890" s="469">
        <v>13</v>
      </c>
      <c r="G1890" s="469">
        <v>8.1999999999999993</v>
      </c>
      <c r="H1890" s="470">
        <v>161</v>
      </c>
      <c r="I1890" s="470">
        <v>736</v>
      </c>
      <c r="J1890" s="470">
        <v>3723</v>
      </c>
      <c r="K1890" s="469">
        <v>1.8</v>
      </c>
    </row>
    <row r="1891" spans="2:11" x14ac:dyDescent="0.35">
      <c r="B1891" s="62">
        <v>12.25</v>
      </c>
      <c r="C1891" s="471">
        <v>1907</v>
      </c>
      <c r="D1891" s="471">
        <v>1895.6</v>
      </c>
      <c r="E1891" s="469">
        <v>42.92</v>
      </c>
      <c r="F1891" s="469">
        <v>13.8</v>
      </c>
      <c r="G1891" s="469">
        <v>8.6</v>
      </c>
      <c r="H1891" s="470">
        <v>161</v>
      </c>
      <c r="I1891" s="470">
        <v>736</v>
      </c>
      <c r="J1891" s="470">
        <v>3700</v>
      </c>
      <c r="K1891" s="469">
        <v>1.8</v>
      </c>
    </row>
    <row r="1892" spans="2:11" x14ac:dyDescent="0.35">
      <c r="B1892" s="62">
        <v>12.25</v>
      </c>
      <c r="C1892" s="471">
        <v>1908</v>
      </c>
      <c r="D1892" s="471">
        <v>1896.6</v>
      </c>
      <c r="E1892" s="469">
        <v>37.75</v>
      </c>
      <c r="F1892" s="469">
        <v>14.9</v>
      </c>
      <c r="G1892" s="469">
        <v>8.5</v>
      </c>
      <c r="H1892" s="470">
        <v>161</v>
      </c>
      <c r="I1892" s="470">
        <v>737</v>
      </c>
      <c r="J1892" s="470">
        <v>3706</v>
      </c>
      <c r="K1892" s="469">
        <v>1.8</v>
      </c>
    </row>
    <row r="1893" spans="2:11" x14ac:dyDescent="0.35">
      <c r="B1893" s="62">
        <v>12.25</v>
      </c>
      <c r="C1893" s="471">
        <v>1909</v>
      </c>
      <c r="D1893" s="471">
        <v>1897.5</v>
      </c>
      <c r="E1893" s="469">
        <v>27.48</v>
      </c>
      <c r="F1893" s="469">
        <v>14.5</v>
      </c>
      <c r="G1893" s="469">
        <v>8</v>
      </c>
      <c r="H1893" s="470">
        <v>161</v>
      </c>
      <c r="I1893" s="470">
        <v>738</v>
      </c>
      <c r="J1893" s="470">
        <v>3676</v>
      </c>
      <c r="K1893" s="469">
        <v>1.8</v>
      </c>
    </row>
    <row r="1894" spans="2:11" x14ac:dyDescent="0.35">
      <c r="B1894" s="62">
        <v>12.25</v>
      </c>
      <c r="C1894" s="471">
        <v>1910</v>
      </c>
      <c r="D1894" s="471">
        <v>1898.5</v>
      </c>
      <c r="E1894" s="469">
        <v>54</v>
      </c>
      <c r="F1894" s="469">
        <v>13.3</v>
      </c>
      <c r="G1894" s="469">
        <v>8.1</v>
      </c>
      <c r="H1894" s="470">
        <v>161</v>
      </c>
      <c r="I1894" s="470">
        <v>736</v>
      </c>
      <c r="J1894" s="470">
        <v>3679</v>
      </c>
      <c r="K1894" s="469">
        <v>1.8</v>
      </c>
    </row>
    <row r="1895" spans="2:11" x14ac:dyDescent="0.35">
      <c r="B1895" s="62">
        <v>12.25</v>
      </c>
      <c r="C1895" s="471">
        <v>1911</v>
      </c>
      <c r="D1895" s="471">
        <v>1899.6</v>
      </c>
      <c r="E1895" s="469">
        <v>49.71</v>
      </c>
      <c r="F1895" s="469">
        <v>13.9</v>
      </c>
      <c r="G1895" s="469">
        <v>9.9</v>
      </c>
      <c r="H1895" s="470">
        <v>161</v>
      </c>
      <c r="I1895" s="470">
        <v>737</v>
      </c>
      <c r="J1895" s="470">
        <v>3691</v>
      </c>
      <c r="K1895" s="469">
        <v>1.8</v>
      </c>
    </row>
    <row r="1896" spans="2:11" x14ac:dyDescent="0.35">
      <c r="B1896" s="62">
        <v>12.25</v>
      </c>
      <c r="C1896" s="471">
        <v>1912</v>
      </c>
      <c r="D1896" s="471">
        <v>1900.5</v>
      </c>
      <c r="E1896" s="469">
        <v>61.58</v>
      </c>
      <c r="F1896" s="469">
        <v>14.4</v>
      </c>
      <c r="G1896" s="469">
        <v>8.1</v>
      </c>
      <c r="H1896" s="470">
        <v>161</v>
      </c>
      <c r="I1896" s="470">
        <v>736</v>
      </c>
      <c r="J1896" s="470">
        <v>3696</v>
      </c>
      <c r="K1896" s="469">
        <v>1.8</v>
      </c>
    </row>
    <row r="1897" spans="2:11" x14ac:dyDescent="0.35">
      <c r="B1897" s="62">
        <v>12.25</v>
      </c>
      <c r="C1897" s="471">
        <v>1913</v>
      </c>
      <c r="D1897" s="471">
        <v>1901.6</v>
      </c>
      <c r="E1897" s="469">
        <v>51.98</v>
      </c>
      <c r="F1897" s="469">
        <v>14.5</v>
      </c>
      <c r="G1897" s="469">
        <v>8.1</v>
      </c>
      <c r="H1897" s="470">
        <v>161</v>
      </c>
      <c r="I1897" s="470">
        <v>737</v>
      </c>
      <c r="J1897" s="470">
        <v>3694</v>
      </c>
      <c r="K1897" s="469">
        <v>1.8</v>
      </c>
    </row>
    <row r="1898" spans="2:11" x14ac:dyDescent="0.35">
      <c r="B1898" s="62">
        <v>12.25</v>
      </c>
      <c r="C1898" s="471">
        <v>1914</v>
      </c>
      <c r="D1898" s="471">
        <v>1902.5</v>
      </c>
      <c r="E1898" s="469">
        <v>42.44</v>
      </c>
      <c r="F1898" s="469">
        <v>15.3</v>
      </c>
      <c r="G1898" s="469">
        <v>8.9</v>
      </c>
      <c r="H1898" s="470">
        <v>161</v>
      </c>
      <c r="I1898" s="470">
        <v>738</v>
      </c>
      <c r="J1898" s="470">
        <v>3694</v>
      </c>
      <c r="K1898" s="469">
        <v>1.8</v>
      </c>
    </row>
    <row r="1899" spans="2:11" x14ac:dyDescent="0.35">
      <c r="B1899" s="62">
        <v>12.25</v>
      </c>
      <c r="C1899" s="471">
        <v>1915</v>
      </c>
      <c r="D1899" s="471">
        <v>1903.5</v>
      </c>
      <c r="E1899" s="469">
        <v>22.84</v>
      </c>
      <c r="F1899" s="469">
        <v>16.5</v>
      </c>
      <c r="G1899" s="469">
        <v>8.1</v>
      </c>
      <c r="H1899" s="470">
        <v>161</v>
      </c>
      <c r="I1899" s="470">
        <v>737</v>
      </c>
      <c r="J1899" s="470">
        <v>3671</v>
      </c>
      <c r="K1899" s="469">
        <v>1.8</v>
      </c>
    </row>
    <row r="1900" spans="2:11" x14ac:dyDescent="0.35">
      <c r="B1900" s="62">
        <v>12.25</v>
      </c>
      <c r="C1900" s="471">
        <v>1916</v>
      </c>
      <c r="D1900" s="471">
        <v>1904.5</v>
      </c>
      <c r="E1900" s="469">
        <v>35.19</v>
      </c>
      <c r="F1900" s="469">
        <v>16.7</v>
      </c>
      <c r="G1900" s="469">
        <v>8.6999999999999993</v>
      </c>
      <c r="H1900" s="470">
        <v>161</v>
      </c>
      <c r="I1900" s="470">
        <v>736</v>
      </c>
      <c r="J1900" s="470">
        <v>3701</v>
      </c>
      <c r="K1900" s="469">
        <v>1.8</v>
      </c>
    </row>
    <row r="1901" spans="2:11" x14ac:dyDescent="0.35">
      <c r="B1901" s="62">
        <v>12.25</v>
      </c>
      <c r="C1901" s="471">
        <v>1917</v>
      </c>
      <c r="D1901" s="471">
        <v>1905.5</v>
      </c>
      <c r="E1901" s="469">
        <v>27.72</v>
      </c>
      <c r="F1901" s="469">
        <v>17.100000000000001</v>
      </c>
      <c r="G1901" s="469">
        <v>8</v>
      </c>
      <c r="H1901" s="470">
        <v>161</v>
      </c>
      <c r="I1901" s="470">
        <v>736</v>
      </c>
      <c r="J1901" s="470">
        <v>3674</v>
      </c>
      <c r="K1901" s="469">
        <v>1.8</v>
      </c>
    </row>
    <row r="1902" spans="2:11" x14ac:dyDescent="0.35">
      <c r="B1902" s="62">
        <v>12.25</v>
      </c>
      <c r="C1902" s="471">
        <v>1918</v>
      </c>
      <c r="D1902" s="471">
        <v>1906.5</v>
      </c>
      <c r="E1902" s="469">
        <v>53.3</v>
      </c>
      <c r="F1902" s="469">
        <v>16.7</v>
      </c>
      <c r="G1902" s="469">
        <v>8.8000000000000007</v>
      </c>
      <c r="H1902" s="470">
        <v>161</v>
      </c>
      <c r="I1902" s="470">
        <v>737</v>
      </c>
      <c r="J1902" s="470">
        <v>3698</v>
      </c>
      <c r="K1902" s="469">
        <v>1.8</v>
      </c>
    </row>
    <row r="1903" spans="2:11" x14ac:dyDescent="0.35">
      <c r="B1903" s="62">
        <v>12.25</v>
      </c>
      <c r="C1903" s="471">
        <v>1919</v>
      </c>
      <c r="D1903" s="471">
        <v>1907.5</v>
      </c>
      <c r="E1903" s="469">
        <v>53.54</v>
      </c>
      <c r="F1903" s="469">
        <v>15.7</v>
      </c>
      <c r="G1903" s="469">
        <v>8.6999999999999993</v>
      </c>
      <c r="H1903" s="470">
        <v>161</v>
      </c>
      <c r="I1903" s="470">
        <v>737</v>
      </c>
      <c r="J1903" s="470">
        <v>3693</v>
      </c>
      <c r="K1903" s="469">
        <v>1.8</v>
      </c>
    </row>
    <row r="1904" spans="2:11" x14ac:dyDescent="0.35">
      <c r="B1904" s="62">
        <v>12.25</v>
      </c>
      <c r="C1904" s="471">
        <v>1920</v>
      </c>
      <c r="D1904" s="471">
        <v>1908.5</v>
      </c>
      <c r="E1904" s="469">
        <v>35.46</v>
      </c>
      <c r="F1904" s="469">
        <v>16</v>
      </c>
      <c r="G1904" s="469">
        <v>7.7</v>
      </c>
      <c r="H1904" s="470">
        <v>161</v>
      </c>
      <c r="I1904" s="470">
        <v>736</v>
      </c>
      <c r="J1904" s="470">
        <v>3678</v>
      </c>
      <c r="K1904" s="469">
        <v>1.8</v>
      </c>
    </row>
    <row r="1905" spans="2:11" x14ac:dyDescent="0.35">
      <c r="B1905" s="62">
        <v>12.25</v>
      </c>
      <c r="C1905" s="471">
        <v>1921</v>
      </c>
      <c r="D1905" s="471">
        <v>1909.5</v>
      </c>
      <c r="E1905" s="469">
        <v>35.04</v>
      </c>
      <c r="F1905" s="469">
        <v>15.8</v>
      </c>
      <c r="G1905" s="469">
        <v>6.4</v>
      </c>
      <c r="H1905" s="470">
        <v>162</v>
      </c>
      <c r="I1905" s="470">
        <v>736</v>
      </c>
      <c r="J1905" s="470">
        <v>3674</v>
      </c>
      <c r="K1905" s="469">
        <v>1.8</v>
      </c>
    </row>
    <row r="1906" spans="2:11" x14ac:dyDescent="0.35">
      <c r="B1906" s="62">
        <v>12.25</v>
      </c>
      <c r="C1906" s="471">
        <v>1922</v>
      </c>
      <c r="D1906" s="471">
        <v>1910.5</v>
      </c>
      <c r="E1906" s="469">
        <v>34.22</v>
      </c>
      <c r="F1906" s="469">
        <v>15.8</v>
      </c>
      <c r="G1906" s="469">
        <v>6.7</v>
      </c>
      <c r="H1906" s="470">
        <v>161</v>
      </c>
      <c r="I1906" s="470">
        <v>737</v>
      </c>
      <c r="J1906" s="470">
        <v>3669</v>
      </c>
      <c r="K1906" s="469">
        <v>1.8</v>
      </c>
    </row>
    <row r="1907" spans="2:11" x14ac:dyDescent="0.35">
      <c r="B1907" s="62">
        <v>12.25</v>
      </c>
      <c r="C1907" s="471">
        <v>1923</v>
      </c>
      <c r="D1907" s="471">
        <v>1911.5</v>
      </c>
      <c r="E1907" s="469">
        <v>44.02</v>
      </c>
      <c r="F1907" s="469">
        <v>12.4</v>
      </c>
      <c r="G1907" s="469">
        <v>7</v>
      </c>
      <c r="H1907" s="470">
        <v>161</v>
      </c>
      <c r="I1907" s="470">
        <v>736</v>
      </c>
      <c r="J1907" s="470">
        <v>3683</v>
      </c>
      <c r="K1907" s="469">
        <v>1.8</v>
      </c>
    </row>
    <row r="1908" spans="2:11" x14ac:dyDescent="0.35">
      <c r="B1908" s="62">
        <v>12.25</v>
      </c>
      <c r="C1908" s="471">
        <v>1924</v>
      </c>
      <c r="D1908" s="471">
        <v>1912.5</v>
      </c>
      <c r="E1908" s="469">
        <v>41.66</v>
      </c>
      <c r="F1908" s="469">
        <v>13.5</v>
      </c>
      <c r="G1908" s="469">
        <v>8.9</v>
      </c>
      <c r="H1908" s="470">
        <v>161</v>
      </c>
      <c r="I1908" s="470">
        <v>738</v>
      </c>
      <c r="J1908" s="470">
        <v>3737</v>
      </c>
      <c r="K1908" s="469">
        <v>1.8</v>
      </c>
    </row>
    <row r="1909" spans="2:11" x14ac:dyDescent="0.35">
      <c r="B1909" s="62">
        <v>12.25</v>
      </c>
      <c r="C1909" s="471">
        <v>1925</v>
      </c>
      <c r="D1909" s="471">
        <v>1913.4</v>
      </c>
      <c r="E1909" s="469">
        <v>48.98</v>
      </c>
      <c r="F1909" s="469">
        <v>12.7</v>
      </c>
      <c r="G1909" s="469">
        <v>7.1</v>
      </c>
      <c r="H1909" s="470">
        <v>161</v>
      </c>
      <c r="I1909" s="470">
        <v>737</v>
      </c>
      <c r="J1909" s="470">
        <v>3734</v>
      </c>
      <c r="K1909" s="469">
        <v>1.8</v>
      </c>
    </row>
    <row r="1910" spans="2:11" x14ac:dyDescent="0.35">
      <c r="B1910" s="62">
        <v>12.25</v>
      </c>
      <c r="C1910" s="471">
        <v>1926</v>
      </c>
      <c r="D1910" s="471">
        <v>1914.4</v>
      </c>
      <c r="E1910" s="469">
        <v>41.3</v>
      </c>
      <c r="F1910" s="469">
        <v>13</v>
      </c>
      <c r="G1910" s="469">
        <v>8.5</v>
      </c>
      <c r="H1910" s="470">
        <v>161</v>
      </c>
      <c r="I1910" s="470">
        <v>738</v>
      </c>
      <c r="J1910" s="470">
        <v>3739</v>
      </c>
      <c r="K1910" s="469">
        <v>1.8</v>
      </c>
    </row>
    <row r="1911" spans="2:11" x14ac:dyDescent="0.35">
      <c r="B1911" s="62">
        <v>12.25</v>
      </c>
      <c r="C1911" s="471">
        <v>1927</v>
      </c>
      <c r="D1911" s="471">
        <v>1915.5</v>
      </c>
      <c r="E1911" s="469">
        <v>48.11</v>
      </c>
      <c r="F1911" s="469">
        <v>12.5</v>
      </c>
      <c r="G1911" s="469">
        <v>6.8</v>
      </c>
      <c r="H1911" s="470">
        <v>161</v>
      </c>
      <c r="I1911" s="470">
        <v>738</v>
      </c>
      <c r="J1911" s="470">
        <v>3705</v>
      </c>
      <c r="K1911" s="469">
        <v>1.8</v>
      </c>
    </row>
    <row r="1912" spans="2:11" x14ac:dyDescent="0.35">
      <c r="B1912" s="62">
        <v>12.25</v>
      </c>
      <c r="C1912" s="471">
        <v>1928</v>
      </c>
      <c r="D1912" s="471">
        <v>1916.5</v>
      </c>
      <c r="E1912" s="469">
        <v>47.16</v>
      </c>
      <c r="F1912" s="469">
        <v>12.8</v>
      </c>
      <c r="G1912" s="469">
        <v>8.1999999999999993</v>
      </c>
      <c r="H1912" s="470">
        <v>161</v>
      </c>
      <c r="I1912" s="470">
        <v>737</v>
      </c>
      <c r="J1912" s="470">
        <v>3737</v>
      </c>
      <c r="K1912" s="469">
        <v>1.8</v>
      </c>
    </row>
    <row r="1913" spans="2:11" x14ac:dyDescent="0.35">
      <c r="B1913" s="62">
        <v>12.25</v>
      </c>
      <c r="C1913" s="471">
        <v>1929</v>
      </c>
      <c r="D1913" s="471">
        <v>1917.4</v>
      </c>
      <c r="E1913" s="469">
        <v>51.74</v>
      </c>
      <c r="F1913" s="469">
        <v>13.1</v>
      </c>
      <c r="G1913" s="469">
        <v>9.6</v>
      </c>
      <c r="H1913" s="470">
        <v>161</v>
      </c>
      <c r="I1913" s="470">
        <v>734</v>
      </c>
      <c r="J1913" s="470">
        <v>3752</v>
      </c>
      <c r="K1913" s="469">
        <v>1.8</v>
      </c>
    </row>
    <row r="1914" spans="2:11" x14ac:dyDescent="0.35">
      <c r="B1914" s="62">
        <v>12.25</v>
      </c>
      <c r="C1914" s="471">
        <v>1930</v>
      </c>
      <c r="D1914" s="471">
        <v>1918.4</v>
      </c>
      <c r="E1914" s="469">
        <v>16.98</v>
      </c>
      <c r="F1914" s="469">
        <v>8.1999999999999993</v>
      </c>
      <c r="G1914" s="469">
        <v>6.4</v>
      </c>
      <c r="H1914" s="470">
        <v>154</v>
      </c>
      <c r="I1914" s="470">
        <v>736</v>
      </c>
      <c r="J1914" s="470">
        <v>3664</v>
      </c>
      <c r="K1914" s="469">
        <v>1.8</v>
      </c>
    </row>
    <row r="1915" spans="2:11" x14ac:dyDescent="0.35">
      <c r="B1915" s="62">
        <v>12.25</v>
      </c>
      <c r="C1915" s="471">
        <v>1931</v>
      </c>
      <c r="D1915" s="471">
        <v>1919.5</v>
      </c>
      <c r="E1915" s="469">
        <v>23.15</v>
      </c>
      <c r="F1915" s="469">
        <v>10</v>
      </c>
      <c r="G1915" s="469">
        <v>6.3</v>
      </c>
      <c r="H1915" s="470">
        <v>163</v>
      </c>
      <c r="I1915" s="470">
        <v>736</v>
      </c>
      <c r="J1915" s="470">
        <v>3703</v>
      </c>
      <c r="K1915" s="469">
        <v>1.8</v>
      </c>
    </row>
    <row r="1916" spans="2:11" x14ac:dyDescent="0.35">
      <c r="B1916" s="62">
        <v>12.25</v>
      </c>
      <c r="C1916" s="471">
        <v>1932</v>
      </c>
      <c r="D1916" s="471">
        <v>1920.4</v>
      </c>
      <c r="E1916" s="469">
        <v>33.799999999999997</v>
      </c>
      <c r="F1916" s="469">
        <v>10.9</v>
      </c>
      <c r="G1916" s="469">
        <v>8.6</v>
      </c>
      <c r="H1916" s="470">
        <v>163</v>
      </c>
      <c r="I1916" s="470">
        <v>735</v>
      </c>
      <c r="J1916" s="470">
        <v>3749</v>
      </c>
      <c r="K1916" s="469">
        <v>1.8</v>
      </c>
    </row>
    <row r="1917" spans="2:11" x14ac:dyDescent="0.35">
      <c r="B1917" s="62">
        <v>12.25</v>
      </c>
      <c r="C1917" s="471">
        <v>1933</v>
      </c>
      <c r="D1917" s="471">
        <v>1921.4</v>
      </c>
      <c r="E1917" s="469">
        <v>49.89</v>
      </c>
      <c r="F1917" s="469">
        <v>9.4</v>
      </c>
      <c r="G1917" s="469">
        <v>6.9</v>
      </c>
      <c r="H1917" s="470">
        <v>163</v>
      </c>
      <c r="I1917" s="470">
        <v>739</v>
      </c>
      <c r="J1917" s="470">
        <v>3729</v>
      </c>
      <c r="K1917" s="469">
        <v>1.8</v>
      </c>
    </row>
    <row r="1918" spans="2:11" x14ac:dyDescent="0.35">
      <c r="B1918" s="62">
        <v>12.25</v>
      </c>
      <c r="C1918" s="471">
        <v>1934</v>
      </c>
      <c r="D1918" s="471">
        <v>1922.4</v>
      </c>
      <c r="E1918" s="469">
        <v>35.04</v>
      </c>
      <c r="F1918" s="469">
        <v>11.7</v>
      </c>
      <c r="G1918" s="469">
        <v>8.9</v>
      </c>
      <c r="H1918" s="470">
        <v>163</v>
      </c>
      <c r="I1918" s="470">
        <v>738</v>
      </c>
      <c r="J1918" s="470">
        <v>3771</v>
      </c>
      <c r="K1918" s="469">
        <v>1.8</v>
      </c>
    </row>
    <row r="1919" spans="2:11" x14ac:dyDescent="0.35">
      <c r="B1919" s="62">
        <v>12.25</v>
      </c>
      <c r="C1919" s="471">
        <v>1935</v>
      </c>
      <c r="D1919" s="471">
        <v>1923.4</v>
      </c>
      <c r="E1919" s="469">
        <v>33.520000000000003</v>
      </c>
      <c r="F1919" s="469">
        <v>11.3</v>
      </c>
      <c r="G1919" s="469">
        <v>7.3</v>
      </c>
      <c r="H1919" s="470">
        <v>163</v>
      </c>
      <c r="I1919" s="470">
        <v>735</v>
      </c>
      <c r="J1919" s="470">
        <v>3765</v>
      </c>
      <c r="K1919" s="469">
        <v>1.8</v>
      </c>
    </row>
    <row r="1920" spans="2:11" x14ac:dyDescent="0.35">
      <c r="B1920" s="62">
        <v>12.25</v>
      </c>
      <c r="C1920" s="471">
        <v>1936</v>
      </c>
      <c r="D1920" s="471">
        <v>1924.4</v>
      </c>
      <c r="E1920" s="469">
        <v>24.83</v>
      </c>
      <c r="F1920" s="469">
        <v>11.6</v>
      </c>
      <c r="G1920" s="469">
        <v>6.5</v>
      </c>
      <c r="H1920" s="470">
        <v>163</v>
      </c>
      <c r="I1920" s="470">
        <v>739</v>
      </c>
      <c r="J1920" s="470">
        <v>3740</v>
      </c>
      <c r="K1920" s="469">
        <v>1.8</v>
      </c>
    </row>
    <row r="1921" spans="2:11" x14ac:dyDescent="0.35">
      <c r="B1921" s="62">
        <v>12.25</v>
      </c>
      <c r="C1921" s="471">
        <v>1937</v>
      </c>
      <c r="D1921" s="471">
        <v>1925.4</v>
      </c>
      <c r="E1921" s="469">
        <v>24.95</v>
      </c>
      <c r="F1921" s="469">
        <v>11.8</v>
      </c>
      <c r="G1921" s="469">
        <v>5.2</v>
      </c>
      <c r="H1921" s="470">
        <v>163</v>
      </c>
      <c r="I1921" s="470">
        <v>738</v>
      </c>
      <c r="J1921" s="470">
        <v>3739</v>
      </c>
      <c r="K1921" s="469">
        <v>1.8</v>
      </c>
    </row>
    <row r="1922" spans="2:11" x14ac:dyDescent="0.35">
      <c r="B1922" s="62">
        <v>12.25</v>
      </c>
      <c r="C1922" s="471">
        <v>1938</v>
      </c>
      <c r="D1922" s="471">
        <v>1926.4</v>
      </c>
      <c r="E1922" s="469">
        <v>36.99</v>
      </c>
      <c r="F1922" s="469">
        <v>11.6</v>
      </c>
      <c r="G1922" s="469">
        <v>7.5</v>
      </c>
      <c r="H1922" s="470">
        <v>163</v>
      </c>
      <c r="I1922" s="470">
        <v>735</v>
      </c>
      <c r="J1922" s="470">
        <v>3755</v>
      </c>
      <c r="K1922" s="469">
        <v>1.8</v>
      </c>
    </row>
    <row r="1923" spans="2:11" x14ac:dyDescent="0.35">
      <c r="B1923" s="62">
        <v>12.25</v>
      </c>
      <c r="C1923" s="471">
        <v>1939</v>
      </c>
      <c r="D1923" s="471">
        <v>1927.4</v>
      </c>
      <c r="E1923" s="469">
        <v>43.33</v>
      </c>
      <c r="F1923" s="469">
        <v>13.9</v>
      </c>
      <c r="G1923" s="469">
        <v>9.1</v>
      </c>
      <c r="H1923" s="470">
        <v>162</v>
      </c>
      <c r="I1923" s="470">
        <v>730</v>
      </c>
      <c r="J1923" s="470">
        <v>3815</v>
      </c>
      <c r="K1923" s="469">
        <v>1.8</v>
      </c>
    </row>
    <row r="1924" spans="2:11" x14ac:dyDescent="0.35">
      <c r="B1924" s="62">
        <v>12.25</v>
      </c>
      <c r="C1924" s="471">
        <v>1940</v>
      </c>
      <c r="D1924" s="471">
        <v>1928.4</v>
      </c>
      <c r="E1924" s="469">
        <v>37.04</v>
      </c>
      <c r="F1924" s="469">
        <v>13.7</v>
      </c>
      <c r="G1924" s="469">
        <v>9</v>
      </c>
      <c r="H1924" s="470">
        <v>162</v>
      </c>
      <c r="I1924" s="470">
        <v>731</v>
      </c>
      <c r="J1924" s="470">
        <v>3812</v>
      </c>
      <c r="K1924" s="469">
        <v>1.8</v>
      </c>
    </row>
    <row r="1925" spans="2:11" x14ac:dyDescent="0.35">
      <c r="B1925" s="62">
        <v>12.25</v>
      </c>
      <c r="C1925" s="471">
        <v>1941</v>
      </c>
      <c r="D1925" s="471">
        <v>1929.4</v>
      </c>
      <c r="E1925" s="469">
        <v>3.57</v>
      </c>
      <c r="F1925" s="469">
        <v>11.2</v>
      </c>
      <c r="G1925" s="469">
        <v>4.0999999999999996</v>
      </c>
      <c r="H1925" s="470">
        <v>163</v>
      </c>
      <c r="I1925" s="470">
        <v>735</v>
      </c>
      <c r="J1925" s="470">
        <v>3599</v>
      </c>
      <c r="K1925" s="469">
        <v>1.8</v>
      </c>
    </row>
    <row r="1926" spans="2:11" x14ac:dyDescent="0.35">
      <c r="B1926" s="62">
        <v>12.25</v>
      </c>
      <c r="C1926" s="471">
        <v>1942</v>
      </c>
      <c r="D1926" s="471">
        <v>1930.4</v>
      </c>
      <c r="E1926" s="469">
        <v>16.79</v>
      </c>
      <c r="F1926" s="469">
        <v>13.1</v>
      </c>
      <c r="G1926" s="469">
        <v>5.7</v>
      </c>
      <c r="H1926" s="470">
        <v>164</v>
      </c>
      <c r="I1926" s="470">
        <v>746</v>
      </c>
      <c r="J1926" s="470">
        <v>3729</v>
      </c>
      <c r="K1926" s="469">
        <v>1.8</v>
      </c>
    </row>
    <row r="1927" spans="2:11" x14ac:dyDescent="0.35">
      <c r="B1927" s="62">
        <v>12.25</v>
      </c>
      <c r="C1927" s="471">
        <v>1943</v>
      </c>
      <c r="D1927" s="471">
        <v>1931.4</v>
      </c>
      <c r="E1927" s="469">
        <v>23.52</v>
      </c>
      <c r="F1927" s="469">
        <v>12.8</v>
      </c>
      <c r="G1927" s="469">
        <v>6</v>
      </c>
      <c r="H1927" s="470">
        <v>165</v>
      </c>
      <c r="I1927" s="470">
        <v>749</v>
      </c>
      <c r="J1927" s="470">
        <v>3776</v>
      </c>
      <c r="K1927" s="469">
        <v>1.8</v>
      </c>
    </row>
    <row r="1928" spans="2:11" x14ac:dyDescent="0.35">
      <c r="B1928" s="62">
        <v>12.25</v>
      </c>
      <c r="C1928" s="471">
        <v>1944</v>
      </c>
      <c r="D1928" s="471">
        <v>1932.4</v>
      </c>
      <c r="E1928" s="469">
        <v>31.22</v>
      </c>
      <c r="F1928" s="469">
        <v>12.1</v>
      </c>
      <c r="G1928" s="469">
        <v>6.4</v>
      </c>
      <c r="H1928" s="470">
        <v>165</v>
      </c>
      <c r="I1928" s="470">
        <v>751</v>
      </c>
      <c r="J1928" s="470">
        <v>3801</v>
      </c>
      <c r="K1928" s="469">
        <v>1.8</v>
      </c>
    </row>
    <row r="1929" spans="2:11" x14ac:dyDescent="0.35">
      <c r="B1929" s="62">
        <v>12.25</v>
      </c>
      <c r="C1929" s="471">
        <v>1945</v>
      </c>
      <c r="D1929" s="471">
        <v>1933.3</v>
      </c>
      <c r="E1929" s="469">
        <v>18.77</v>
      </c>
      <c r="F1929" s="469">
        <v>12.8</v>
      </c>
      <c r="G1929" s="469">
        <v>5.2</v>
      </c>
      <c r="H1929" s="470">
        <v>165</v>
      </c>
      <c r="I1929" s="470">
        <v>752</v>
      </c>
      <c r="J1929" s="470">
        <v>3784</v>
      </c>
      <c r="K1929" s="469">
        <v>1.8</v>
      </c>
    </row>
    <row r="1930" spans="2:11" x14ac:dyDescent="0.35">
      <c r="B1930" s="62">
        <v>12.25</v>
      </c>
      <c r="C1930" s="471">
        <v>1946</v>
      </c>
      <c r="D1930" s="471">
        <v>1934.3</v>
      </c>
      <c r="E1930" s="469">
        <v>31.62</v>
      </c>
      <c r="F1930" s="469">
        <v>14.9</v>
      </c>
      <c r="G1930" s="469">
        <v>7.4</v>
      </c>
      <c r="H1930" s="470">
        <v>164</v>
      </c>
      <c r="I1930" s="470">
        <v>747</v>
      </c>
      <c r="J1930" s="470">
        <v>3824</v>
      </c>
      <c r="K1930" s="469">
        <v>1.8</v>
      </c>
    </row>
    <row r="1931" spans="2:11" x14ac:dyDescent="0.35">
      <c r="B1931" s="62">
        <v>12.25</v>
      </c>
      <c r="C1931" s="471">
        <v>1947</v>
      </c>
      <c r="D1931" s="471">
        <v>1935.3</v>
      </c>
      <c r="E1931" s="469">
        <v>32.369999999999997</v>
      </c>
      <c r="F1931" s="469">
        <v>13.8</v>
      </c>
      <c r="G1931" s="469">
        <v>7</v>
      </c>
      <c r="H1931" s="470">
        <v>164</v>
      </c>
      <c r="I1931" s="470">
        <v>746</v>
      </c>
      <c r="J1931" s="470">
        <v>3816</v>
      </c>
      <c r="K1931" s="469">
        <v>1.8</v>
      </c>
    </row>
    <row r="1932" spans="2:11" x14ac:dyDescent="0.35">
      <c r="B1932" s="62">
        <v>12.25</v>
      </c>
      <c r="C1932" s="471">
        <v>1948</v>
      </c>
      <c r="D1932" s="471">
        <v>1936.3</v>
      </c>
      <c r="E1932" s="469">
        <v>24.01</v>
      </c>
      <c r="F1932" s="469">
        <v>13.6</v>
      </c>
      <c r="G1932" s="469">
        <v>6.9</v>
      </c>
      <c r="H1932" s="470">
        <v>165</v>
      </c>
      <c r="I1932" s="470">
        <v>752</v>
      </c>
      <c r="J1932" s="470">
        <v>3789</v>
      </c>
      <c r="K1932" s="469">
        <v>1.8</v>
      </c>
    </row>
    <row r="1933" spans="2:11" x14ac:dyDescent="0.35">
      <c r="B1933" s="62">
        <v>12.25</v>
      </c>
      <c r="C1933" s="471">
        <v>1949</v>
      </c>
      <c r="D1933" s="471">
        <v>1937.3</v>
      </c>
      <c r="E1933" s="469">
        <v>23.95</v>
      </c>
      <c r="F1933" s="469">
        <v>12.6</v>
      </c>
      <c r="G1933" s="469">
        <v>5.8</v>
      </c>
      <c r="H1933" s="470">
        <v>165</v>
      </c>
      <c r="I1933" s="470">
        <v>753</v>
      </c>
      <c r="J1933" s="470">
        <v>3765</v>
      </c>
      <c r="K1933" s="469">
        <v>1.8</v>
      </c>
    </row>
    <row r="1934" spans="2:11" x14ac:dyDescent="0.35">
      <c r="B1934" s="62">
        <v>12.25</v>
      </c>
      <c r="C1934" s="471">
        <v>1950</v>
      </c>
      <c r="D1934" s="471">
        <v>1938.3</v>
      </c>
      <c r="E1934" s="469">
        <v>33.07</v>
      </c>
      <c r="F1934" s="469">
        <v>14.7</v>
      </c>
      <c r="G1934" s="469">
        <v>6</v>
      </c>
      <c r="H1934" s="470">
        <v>165</v>
      </c>
      <c r="I1934" s="470">
        <v>752</v>
      </c>
      <c r="J1934" s="470">
        <v>3818</v>
      </c>
      <c r="K1934" s="469">
        <v>1.8</v>
      </c>
    </row>
    <row r="1935" spans="2:11" x14ac:dyDescent="0.35">
      <c r="B1935" s="62">
        <v>12.25</v>
      </c>
      <c r="C1935" s="471">
        <v>1951</v>
      </c>
      <c r="D1935" s="471">
        <v>1939.3</v>
      </c>
      <c r="E1935" s="469">
        <v>29.86</v>
      </c>
      <c r="F1935" s="469">
        <v>14</v>
      </c>
      <c r="G1935" s="469">
        <v>7.6</v>
      </c>
      <c r="H1935" s="470">
        <v>165</v>
      </c>
      <c r="I1935" s="470">
        <v>751</v>
      </c>
      <c r="J1935" s="470">
        <v>3795</v>
      </c>
      <c r="K1935" s="469">
        <v>1.8</v>
      </c>
    </row>
    <row r="1936" spans="2:11" x14ac:dyDescent="0.35">
      <c r="B1936" s="62">
        <v>12.25</v>
      </c>
      <c r="C1936" s="471">
        <v>1952</v>
      </c>
      <c r="D1936" s="471">
        <v>1940.3</v>
      </c>
      <c r="E1936" s="469">
        <v>43.03</v>
      </c>
      <c r="F1936" s="469">
        <v>13.6</v>
      </c>
      <c r="G1936" s="469">
        <v>6.5</v>
      </c>
      <c r="H1936" s="470">
        <v>165</v>
      </c>
      <c r="I1936" s="470">
        <v>751</v>
      </c>
      <c r="J1936" s="470">
        <v>3805</v>
      </c>
      <c r="K1936" s="469">
        <v>1.8</v>
      </c>
    </row>
    <row r="1937" spans="2:11" x14ac:dyDescent="0.35">
      <c r="B1937" s="62">
        <v>12.25</v>
      </c>
      <c r="C1937" s="471">
        <v>1953</v>
      </c>
      <c r="D1937" s="471">
        <v>1941.3</v>
      </c>
      <c r="E1937" s="469">
        <v>26.62</v>
      </c>
      <c r="F1937" s="469">
        <v>14.4</v>
      </c>
      <c r="G1937" s="469">
        <v>5.0999999999999996</v>
      </c>
      <c r="H1937" s="470">
        <v>165</v>
      </c>
      <c r="I1937" s="470">
        <v>751</v>
      </c>
      <c r="J1937" s="470">
        <v>3806</v>
      </c>
      <c r="K1937" s="469">
        <v>1.8</v>
      </c>
    </row>
    <row r="1938" spans="2:11" x14ac:dyDescent="0.35">
      <c r="B1938" s="62">
        <v>12.25</v>
      </c>
      <c r="C1938" s="471">
        <v>1954</v>
      </c>
      <c r="D1938" s="471">
        <v>1942.2</v>
      </c>
      <c r="E1938" s="469">
        <v>14.18</v>
      </c>
      <c r="F1938" s="469">
        <v>15.7</v>
      </c>
      <c r="G1938" s="469">
        <v>4</v>
      </c>
      <c r="H1938" s="470">
        <v>165</v>
      </c>
      <c r="I1938" s="470">
        <v>749</v>
      </c>
      <c r="J1938" s="470">
        <v>3781</v>
      </c>
      <c r="K1938" s="469">
        <v>1.8</v>
      </c>
    </row>
    <row r="1939" spans="2:11" x14ac:dyDescent="0.35">
      <c r="B1939" s="62">
        <v>12.25</v>
      </c>
      <c r="C1939" s="471">
        <v>1955</v>
      </c>
      <c r="D1939" s="471">
        <v>1943.3</v>
      </c>
      <c r="E1939" s="469">
        <v>16.440000000000001</v>
      </c>
      <c r="F1939" s="469">
        <v>14.4</v>
      </c>
      <c r="G1939" s="469">
        <v>5.9</v>
      </c>
      <c r="H1939" s="470">
        <v>164</v>
      </c>
      <c r="I1939" s="470">
        <v>748</v>
      </c>
      <c r="J1939" s="470">
        <v>3748</v>
      </c>
      <c r="K1939" s="469">
        <v>1.8</v>
      </c>
    </row>
    <row r="1940" spans="2:11" x14ac:dyDescent="0.35">
      <c r="B1940" s="62">
        <v>12.25</v>
      </c>
      <c r="C1940" s="471">
        <v>1956</v>
      </c>
      <c r="D1940" s="471">
        <v>1944.2</v>
      </c>
      <c r="E1940" s="469">
        <v>27.64</v>
      </c>
      <c r="F1940" s="469">
        <v>14.9</v>
      </c>
      <c r="G1940" s="469">
        <v>6.2</v>
      </c>
      <c r="H1940" s="470">
        <v>165</v>
      </c>
      <c r="I1940" s="470">
        <v>750</v>
      </c>
      <c r="J1940" s="470">
        <v>3778</v>
      </c>
      <c r="K1940" s="469">
        <v>1.8</v>
      </c>
    </row>
    <row r="1941" spans="2:11" x14ac:dyDescent="0.35">
      <c r="B1941" s="62">
        <v>12.25</v>
      </c>
      <c r="C1941" s="471">
        <v>1957</v>
      </c>
      <c r="D1941" s="471">
        <v>1945.2</v>
      </c>
      <c r="E1941" s="469">
        <v>44.2</v>
      </c>
      <c r="F1941" s="469">
        <v>13.3</v>
      </c>
      <c r="G1941" s="469">
        <v>6.7</v>
      </c>
      <c r="H1941" s="470">
        <v>165</v>
      </c>
      <c r="I1941" s="470">
        <v>750</v>
      </c>
      <c r="J1941" s="470">
        <v>3773</v>
      </c>
      <c r="K1941" s="469">
        <v>1.8</v>
      </c>
    </row>
    <row r="1942" spans="2:11" x14ac:dyDescent="0.35">
      <c r="B1942" s="62">
        <v>12.25</v>
      </c>
      <c r="C1942" s="471">
        <v>1958</v>
      </c>
      <c r="D1942" s="471">
        <v>1946.2</v>
      </c>
      <c r="E1942" s="469">
        <v>46.01</v>
      </c>
      <c r="F1942" s="469">
        <v>13.9</v>
      </c>
      <c r="G1942" s="469">
        <v>8.1999999999999993</v>
      </c>
      <c r="H1942" s="470">
        <v>165</v>
      </c>
      <c r="I1942" s="470">
        <v>750</v>
      </c>
      <c r="J1942" s="470">
        <v>3791</v>
      </c>
      <c r="K1942" s="469">
        <v>1.8</v>
      </c>
    </row>
    <row r="1943" spans="2:11" x14ac:dyDescent="0.35">
      <c r="B1943" s="62">
        <v>12.25</v>
      </c>
      <c r="C1943" s="471">
        <v>1959</v>
      </c>
      <c r="D1943" s="471">
        <v>1947.2</v>
      </c>
      <c r="E1943" s="469">
        <v>5.19</v>
      </c>
      <c r="F1943" s="469">
        <v>5.9</v>
      </c>
      <c r="G1943" s="469">
        <v>5.8</v>
      </c>
      <c r="H1943" s="470">
        <v>158</v>
      </c>
      <c r="I1943" s="470">
        <v>715</v>
      </c>
      <c r="J1943" s="470">
        <v>3460</v>
      </c>
      <c r="K1943" s="469">
        <v>1.8</v>
      </c>
    </row>
    <row r="1944" spans="2:11" x14ac:dyDescent="0.35">
      <c r="B1944" s="62">
        <v>12.25</v>
      </c>
      <c r="C1944" s="471">
        <v>1960</v>
      </c>
      <c r="D1944" s="471">
        <v>1948.3</v>
      </c>
      <c r="E1944" s="469">
        <v>37.340000000000003</v>
      </c>
      <c r="F1944" s="469">
        <v>6.1</v>
      </c>
      <c r="G1944" s="469">
        <v>8.3000000000000007</v>
      </c>
      <c r="H1944" s="470">
        <v>157</v>
      </c>
      <c r="I1944" s="470">
        <v>707</v>
      </c>
      <c r="J1944" s="470">
        <v>3531</v>
      </c>
      <c r="K1944" s="469">
        <v>1.8</v>
      </c>
    </row>
    <row r="1945" spans="2:11" x14ac:dyDescent="0.35">
      <c r="B1945" s="62">
        <v>12.25</v>
      </c>
      <c r="C1945" s="471">
        <v>1961</v>
      </c>
      <c r="D1945" s="471">
        <v>1949.2</v>
      </c>
      <c r="E1945" s="469">
        <v>35.659999999999997</v>
      </c>
      <c r="F1945" s="469">
        <v>5.8</v>
      </c>
      <c r="G1945" s="469">
        <v>7.6</v>
      </c>
      <c r="H1945" s="470">
        <v>157</v>
      </c>
      <c r="I1945" s="470">
        <v>706</v>
      </c>
      <c r="J1945" s="470">
        <v>3541</v>
      </c>
      <c r="K1945" s="469">
        <v>1.8</v>
      </c>
    </row>
    <row r="1946" spans="2:11" x14ac:dyDescent="0.35">
      <c r="B1946" s="62">
        <v>12.25</v>
      </c>
      <c r="C1946" s="471">
        <v>1962</v>
      </c>
      <c r="D1946" s="471">
        <v>1950.2</v>
      </c>
      <c r="E1946" s="469">
        <v>55.26</v>
      </c>
      <c r="F1946" s="469">
        <v>5.5</v>
      </c>
      <c r="G1946" s="469">
        <v>9.3000000000000007</v>
      </c>
      <c r="H1946" s="470">
        <v>157</v>
      </c>
      <c r="I1946" s="470">
        <v>706</v>
      </c>
      <c r="J1946" s="470">
        <v>3564</v>
      </c>
      <c r="K1946" s="469">
        <v>1.8</v>
      </c>
    </row>
    <row r="1947" spans="2:11" x14ac:dyDescent="0.35">
      <c r="B1947" s="62">
        <v>12.25</v>
      </c>
      <c r="C1947" s="471">
        <v>1963</v>
      </c>
      <c r="D1947" s="471">
        <v>1951.2</v>
      </c>
      <c r="E1947" s="469">
        <v>36.15</v>
      </c>
      <c r="F1947" s="469">
        <v>8.8000000000000007</v>
      </c>
      <c r="G1947" s="469">
        <v>9.6999999999999993</v>
      </c>
      <c r="H1947" s="470">
        <v>157</v>
      </c>
      <c r="I1947" s="470">
        <v>707</v>
      </c>
      <c r="J1947" s="470">
        <v>3579</v>
      </c>
      <c r="K1947" s="469">
        <v>1.8</v>
      </c>
    </row>
    <row r="1948" spans="2:11" x14ac:dyDescent="0.35">
      <c r="B1948" s="62">
        <v>12.25</v>
      </c>
      <c r="C1948" s="471">
        <v>1964</v>
      </c>
      <c r="D1948" s="471">
        <v>1952.2</v>
      </c>
      <c r="E1948" s="469">
        <v>40.98</v>
      </c>
      <c r="F1948" s="469">
        <v>8.1999999999999993</v>
      </c>
      <c r="G1948" s="469">
        <v>8.5</v>
      </c>
      <c r="H1948" s="470">
        <v>157</v>
      </c>
      <c r="I1948" s="470">
        <v>705</v>
      </c>
      <c r="J1948" s="470">
        <v>3582</v>
      </c>
      <c r="K1948" s="469">
        <v>1.8</v>
      </c>
    </row>
    <row r="1949" spans="2:11" x14ac:dyDescent="0.35">
      <c r="B1949" s="62">
        <v>12.25</v>
      </c>
      <c r="C1949" s="471">
        <v>1965</v>
      </c>
      <c r="D1949" s="471">
        <v>1953.2</v>
      </c>
      <c r="E1949" s="469">
        <v>33.18</v>
      </c>
      <c r="F1949" s="469">
        <v>8.4</v>
      </c>
      <c r="G1949" s="469">
        <v>8.1999999999999993</v>
      </c>
      <c r="H1949" s="470">
        <v>157</v>
      </c>
      <c r="I1949" s="470">
        <v>706</v>
      </c>
      <c r="J1949" s="470">
        <v>3580</v>
      </c>
      <c r="K1949" s="469">
        <v>1.8</v>
      </c>
    </row>
    <row r="1950" spans="2:11" x14ac:dyDescent="0.35">
      <c r="B1950" s="62">
        <v>12.25</v>
      </c>
      <c r="C1950" s="471">
        <v>1966</v>
      </c>
      <c r="D1950" s="471">
        <v>1954.2</v>
      </c>
      <c r="E1950" s="469">
        <v>33.619999999999997</v>
      </c>
      <c r="F1950" s="469">
        <v>7.2</v>
      </c>
      <c r="G1950" s="469">
        <v>7.5</v>
      </c>
      <c r="H1950" s="470">
        <v>157</v>
      </c>
      <c r="I1950" s="470">
        <v>706</v>
      </c>
      <c r="J1950" s="470">
        <v>3529</v>
      </c>
      <c r="K1950" s="469">
        <v>1.8</v>
      </c>
    </row>
    <row r="1951" spans="2:11" x14ac:dyDescent="0.35">
      <c r="B1951" s="62">
        <v>12.25</v>
      </c>
      <c r="C1951" s="471">
        <v>1967</v>
      </c>
      <c r="D1951" s="471">
        <v>1955.2</v>
      </c>
      <c r="E1951" s="469">
        <v>23.13</v>
      </c>
      <c r="F1951" s="469">
        <v>11.8</v>
      </c>
      <c r="G1951" s="469">
        <v>8.6999999999999993</v>
      </c>
      <c r="H1951" s="470">
        <v>159</v>
      </c>
      <c r="I1951" s="470">
        <v>721</v>
      </c>
      <c r="J1951" s="470">
        <v>3630</v>
      </c>
      <c r="K1951" s="469">
        <v>1.8</v>
      </c>
    </row>
    <row r="1952" spans="2:11" x14ac:dyDescent="0.35">
      <c r="B1952" s="62">
        <v>12.25</v>
      </c>
      <c r="C1952" s="471">
        <v>1968</v>
      </c>
      <c r="D1952" s="471">
        <v>1956.2</v>
      </c>
      <c r="E1952" s="469">
        <v>53.96</v>
      </c>
      <c r="F1952" s="469">
        <v>15.2</v>
      </c>
      <c r="G1952" s="469">
        <v>10.3</v>
      </c>
      <c r="H1952" s="470">
        <v>158</v>
      </c>
      <c r="I1952" s="470">
        <v>715</v>
      </c>
      <c r="J1952" s="470">
        <v>3725</v>
      </c>
      <c r="K1952" s="469">
        <v>1.8</v>
      </c>
    </row>
    <row r="1953" spans="2:11" x14ac:dyDescent="0.35">
      <c r="B1953" s="62">
        <v>12.25</v>
      </c>
      <c r="C1953" s="471">
        <v>1969</v>
      </c>
      <c r="D1953" s="471">
        <v>1957.2</v>
      </c>
      <c r="E1953" s="469">
        <v>37.76</v>
      </c>
      <c r="F1953" s="469">
        <v>13.7</v>
      </c>
      <c r="G1953" s="469">
        <v>9</v>
      </c>
      <c r="H1953" s="470">
        <v>158</v>
      </c>
      <c r="I1953" s="470">
        <v>714</v>
      </c>
      <c r="J1953" s="470">
        <v>3681</v>
      </c>
      <c r="K1953" s="469">
        <v>1.8</v>
      </c>
    </row>
    <row r="1954" spans="2:11" x14ac:dyDescent="0.35">
      <c r="B1954" s="62">
        <v>12.25</v>
      </c>
      <c r="C1954" s="471">
        <v>1970</v>
      </c>
      <c r="D1954" s="471">
        <v>1958.2</v>
      </c>
      <c r="E1954" s="469">
        <v>40.729999999999997</v>
      </c>
      <c r="F1954" s="469">
        <v>11.6</v>
      </c>
      <c r="G1954" s="469">
        <v>8.5</v>
      </c>
      <c r="H1954" s="470">
        <v>159</v>
      </c>
      <c r="I1954" s="470">
        <v>721</v>
      </c>
      <c r="J1954" s="470">
        <v>3635</v>
      </c>
      <c r="K1954" s="469">
        <v>1.8</v>
      </c>
    </row>
    <row r="1955" spans="2:11" x14ac:dyDescent="0.35">
      <c r="B1955" s="62">
        <v>12.25</v>
      </c>
      <c r="C1955" s="471">
        <v>1971</v>
      </c>
      <c r="D1955" s="471">
        <v>1959.2</v>
      </c>
      <c r="E1955" s="469">
        <v>46.21</v>
      </c>
      <c r="F1955" s="469">
        <v>13.2</v>
      </c>
      <c r="G1955" s="469">
        <v>9.1</v>
      </c>
      <c r="H1955" s="470">
        <v>158</v>
      </c>
      <c r="I1955" s="470">
        <v>715</v>
      </c>
      <c r="J1955" s="470">
        <v>3669</v>
      </c>
      <c r="K1955" s="469">
        <v>1.8</v>
      </c>
    </row>
    <row r="1956" spans="2:11" x14ac:dyDescent="0.35">
      <c r="B1956" s="62">
        <v>12.25</v>
      </c>
      <c r="C1956" s="471">
        <v>1972</v>
      </c>
      <c r="D1956" s="471">
        <v>1960.2</v>
      </c>
      <c r="E1956" s="469">
        <v>49.05</v>
      </c>
      <c r="F1956" s="469">
        <v>12.8</v>
      </c>
      <c r="G1956" s="469">
        <v>8.4</v>
      </c>
      <c r="H1956" s="470">
        <v>158</v>
      </c>
      <c r="I1956" s="470">
        <v>714</v>
      </c>
      <c r="J1956" s="470">
        <v>3693</v>
      </c>
      <c r="K1956" s="469">
        <v>1.8</v>
      </c>
    </row>
    <row r="1957" spans="2:11" x14ac:dyDescent="0.35">
      <c r="B1957" s="62">
        <v>12.25</v>
      </c>
      <c r="C1957" s="471">
        <v>1973</v>
      </c>
      <c r="D1957" s="471">
        <v>1961.1</v>
      </c>
      <c r="E1957" s="469">
        <v>34.46</v>
      </c>
      <c r="F1957" s="469">
        <v>13.4</v>
      </c>
      <c r="G1957" s="469">
        <v>9.1</v>
      </c>
      <c r="H1957" s="470">
        <v>158</v>
      </c>
      <c r="I1957" s="470">
        <v>715</v>
      </c>
      <c r="J1957" s="470">
        <v>3682</v>
      </c>
      <c r="K1957" s="469">
        <v>1.8</v>
      </c>
    </row>
    <row r="1958" spans="2:11" x14ac:dyDescent="0.35">
      <c r="B1958" s="62">
        <v>12.25</v>
      </c>
      <c r="C1958" s="471">
        <v>1974</v>
      </c>
      <c r="D1958" s="471">
        <v>1962.2</v>
      </c>
      <c r="E1958" s="469">
        <v>30.73</v>
      </c>
      <c r="F1958" s="469">
        <v>11.9</v>
      </c>
      <c r="G1958" s="469">
        <v>7.9</v>
      </c>
      <c r="H1958" s="470">
        <v>158</v>
      </c>
      <c r="I1958" s="470">
        <v>715</v>
      </c>
      <c r="J1958" s="470">
        <v>3660</v>
      </c>
      <c r="K1958" s="469">
        <v>1.8</v>
      </c>
    </row>
    <row r="1959" spans="2:11" x14ac:dyDescent="0.35">
      <c r="B1959" s="62">
        <v>12.25</v>
      </c>
      <c r="C1959" s="471">
        <v>1975</v>
      </c>
      <c r="D1959" s="471">
        <v>1963.2</v>
      </c>
      <c r="E1959" s="469">
        <v>65.12</v>
      </c>
      <c r="F1959" s="469">
        <v>11.8</v>
      </c>
      <c r="G1959" s="469">
        <v>8.6</v>
      </c>
      <c r="H1959" s="470">
        <v>158</v>
      </c>
      <c r="I1959" s="470">
        <v>715</v>
      </c>
      <c r="J1959" s="470">
        <v>3675</v>
      </c>
      <c r="K1959" s="469">
        <v>1.8</v>
      </c>
    </row>
    <row r="1960" spans="2:11" x14ac:dyDescent="0.35">
      <c r="B1960" s="62">
        <v>12.25</v>
      </c>
      <c r="C1960" s="471">
        <v>1976</v>
      </c>
      <c r="D1960" s="471">
        <v>1964.1</v>
      </c>
      <c r="E1960" s="469">
        <v>45.51</v>
      </c>
      <c r="F1960" s="469">
        <v>14</v>
      </c>
      <c r="G1960" s="469">
        <v>10</v>
      </c>
      <c r="H1960" s="470">
        <v>158</v>
      </c>
      <c r="I1960" s="470">
        <v>715</v>
      </c>
      <c r="J1960" s="470">
        <v>3728</v>
      </c>
      <c r="K1960" s="469">
        <v>1.8</v>
      </c>
    </row>
    <row r="1961" spans="2:11" x14ac:dyDescent="0.35">
      <c r="B1961" s="62">
        <v>12.25</v>
      </c>
      <c r="C1961" s="471">
        <v>1977</v>
      </c>
      <c r="D1961" s="471">
        <v>1965.1</v>
      </c>
      <c r="E1961" s="469">
        <v>26.62</v>
      </c>
      <c r="F1961" s="469">
        <v>12.6</v>
      </c>
      <c r="G1961" s="469">
        <v>8.5</v>
      </c>
      <c r="H1961" s="470">
        <v>158</v>
      </c>
      <c r="I1961" s="470">
        <v>715</v>
      </c>
      <c r="J1961" s="470">
        <v>3669</v>
      </c>
      <c r="K1961" s="469">
        <v>1.8</v>
      </c>
    </row>
    <row r="1962" spans="2:11" x14ac:dyDescent="0.35">
      <c r="B1962" s="62">
        <v>12.25</v>
      </c>
      <c r="C1962" s="471">
        <v>1978</v>
      </c>
      <c r="D1962" s="471">
        <v>1966.2</v>
      </c>
      <c r="E1962" s="469">
        <v>30</v>
      </c>
      <c r="F1962" s="469">
        <v>13</v>
      </c>
      <c r="G1962" s="469">
        <v>9</v>
      </c>
      <c r="H1962" s="470">
        <v>158</v>
      </c>
      <c r="I1962" s="470">
        <v>712</v>
      </c>
      <c r="J1962" s="470">
        <v>3666</v>
      </c>
      <c r="K1962" s="469">
        <v>1.8</v>
      </c>
    </row>
    <row r="1963" spans="2:11" x14ac:dyDescent="0.35">
      <c r="B1963" s="62">
        <v>12.25</v>
      </c>
      <c r="C1963" s="471">
        <v>1979</v>
      </c>
      <c r="D1963" s="471">
        <v>1967.1</v>
      </c>
      <c r="E1963" s="469">
        <v>36.340000000000003</v>
      </c>
      <c r="F1963" s="469">
        <v>12.5</v>
      </c>
      <c r="G1963" s="469">
        <v>8.1</v>
      </c>
      <c r="H1963" s="470">
        <v>157</v>
      </c>
      <c r="I1963" s="470">
        <v>712</v>
      </c>
      <c r="J1963" s="470">
        <v>3676</v>
      </c>
      <c r="K1963" s="469">
        <v>1.8</v>
      </c>
    </row>
    <row r="1964" spans="2:11" x14ac:dyDescent="0.35">
      <c r="B1964" s="62">
        <v>12.25</v>
      </c>
      <c r="C1964" s="471">
        <v>1980</v>
      </c>
      <c r="D1964" s="471">
        <v>1968.1</v>
      </c>
      <c r="E1964" s="469">
        <v>56.04</v>
      </c>
      <c r="F1964" s="469">
        <v>13.1</v>
      </c>
      <c r="G1964" s="469">
        <v>9.8000000000000007</v>
      </c>
      <c r="H1964" s="470">
        <v>158</v>
      </c>
      <c r="I1964" s="470">
        <v>714</v>
      </c>
      <c r="J1964" s="470">
        <v>3715</v>
      </c>
      <c r="K1964" s="469">
        <v>1.8</v>
      </c>
    </row>
    <row r="1965" spans="2:11" x14ac:dyDescent="0.35">
      <c r="B1965" s="62">
        <v>12.25</v>
      </c>
      <c r="C1965" s="471">
        <v>1981</v>
      </c>
      <c r="D1965" s="471">
        <v>1969.1</v>
      </c>
      <c r="E1965" s="469">
        <v>63.8</v>
      </c>
      <c r="F1965" s="469">
        <v>13.5</v>
      </c>
      <c r="G1965" s="469">
        <v>10.1</v>
      </c>
      <c r="H1965" s="470">
        <v>158</v>
      </c>
      <c r="I1965" s="470">
        <v>715</v>
      </c>
      <c r="J1965" s="470">
        <v>3740</v>
      </c>
      <c r="K1965" s="469">
        <v>1.8</v>
      </c>
    </row>
    <row r="1966" spans="2:11" x14ac:dyDescent="0.35">
      <c r="B1966" s="62">
        <v>12.25</v>
      </c>
      <c r="C1966" s="471">
        <v>1982</v>
      </c>
      <c r="D1966" s="471">
        <v>1970.1</v>
      </c>
      <c r="E1966" s="469">
        <v>40.82</v>
      </c>
      <c r="F1966" s="469">
        <v>13.5</v>
      </c>
      <c r="G1966" s="469">
        <v>10</v>
      </c>
      <c r="H1966" s="470">
        <v>158</v>
      </c>
      <c r="I1966" s="470">
        <v>714</v>
      </c>
      <c r="J1966" s="470">
        <v>3709</v>
      </c>
      <c r="K1966" s="469">
        <v>1.8</v>
      </c>
    </row>
    <row r="1967" spans="2:11" x14ac:dyDescent="0.35">
      <c r="B1967" s="62">
        <v>12.25</v>
      </c>
      <c r="C1967" s="471">
        <v>1983</v>
      </c>
      <c r="D1967" s="471">
        <v>1971.1</v>
      </c>
      <c r="E1967" s="469">
        <v>51.23</v>
      </c>
      <c r="F1967" s="469">
        <v>13.5</v>
      </c>
      <c r="G1967" s="469">
        <v>9.8000000000000007</v>
      </c>
      <c r="H1967" s="470">
        <v>158</v>
      </c>
      <c r="I1967" s="470">
        <v>713</v>
      </c>
      <c r="J1967" s="470">
        <v>3721</v>
      </c>
      <c r="K1967" s="469">
        <v>1.8</v>
      </c>
    </row>
    <row r="1968" spans="2:11" x14ac:dyDescent="0.35">
      <c r="B1968" s="62">
        <v>12.25</v>
      </c>
      <c r="C1968" s="471">
        <v>1984</v>
      </c>
      <c r="D1968" s="471">
        <v>1972.1</v>
      </c>
      <c r="E1968" s="469">
        <v>45.42</v>
      </c>
      <c r="F1968" s="469">
        <v>12.8</v>
      </c>
      <c r="G1968" s="469">
        <v>8.4</v>
      </c>
      <c r="H1968" s="470">
        <v>157</v>
      </c>
      <c r="I1968" s="470">
        <v>714</v>
      </c>
      <c r="J1968" s="470">
        <v>3704</v>
      </c>
      <c r="K1968" s="469">
        <v>1.8</v>
      </c>
    </row>
    <row r="1969" spans="2:11" x14ac:dyDescent="0.35">
      <c r="B1969" s="62">
        <v>12.25</v>
      </c>
      <c r="C1969" s="471">
        <v>1985</v>
      </c>
      <c r="D1969" s="471">
        <v>1973.1</v>
      </c>
      <c r="E1969" s="469">
        <v>36.25</v>
      </c>
      <c r="F1969" s="469">
        <v>13.8</v>
      </c>
      <c r="G1969" s="469">
        <v>7.1</v>
      </c>
      <c r="H1969" s="470">
        <v>158</v>
      </c>
      <c r="I1969" s="470">
        <v>715</v>
      </c>
      <c r="J1969" s="470">
        <v>3706</v>
      </c>
      <c r="K1969" s="469">
        <v>1.8</v>
      </c>
    </row>
    <row r="1970" spans="2:11" x14ac:dyDescent="0.35">
      <c r="B1970" s="62">
        <v>12.25</v>
      </c>
      <c r="C1970" s="471">
        <v>1986</v>
      </c>
      <c r="D1970" s="471">
        <v>1974.1</v>
      </c>
      <c r="E1970" s="469">
        <v>24.94</v>
      </c>
      <c r="F1970" s="469">
        <v>12.3</v>
      </c>
      <c r="G1970" s="469">
        <v>6.3</v>
      </c>
      <c r="H1970" s="470">
        <v>158</v>
      </c>
      <c r="I1970" s="470">
        <v>715</v>
      </c>
      <c r="J1970" s="470">
        <v>3683</v>
      </c>
      <c r="K1970" s="469">
        <v>1.8</v>
      </c>
    </row>
    <row r="1971" spans="2:11" x14ac:dyDescent="0.35">
      <c r="B1971" s="62">
        <v>12.25</v>
      </c>
      <c r="C1971" s="471">
        <v>1987</v>
      </c>
      <c r="D1971" s="471">
        <v>1975</v>
      </c>
      <c r="E1971" s="469">
        <v>11.43</v>
      </c>
      <c r="F1971" s="469">
        <v>9.4</v>
      </c>
      <c r="G1971" s="469">
        <v>6.2</v>
      </c>
      <c r="H1971" s="470">
        <v>158</v>
      </c>
      <c r="I1971" s="470">
        <v>714</v>
      </c>
      <c r="J1971" s="470">
        <v>3658</v>
      </c>
      <c r="K1971" s="469">
        <v>1.8</v>
      </c>
    </row>
    <row r="1972" spans="2:11" x14ac:dyDescent="0.35">
      <c r="B1972" s="62">
        <v>12.25</v>
      </c>
      <c r="C1972" s="471">
        <v>1988</v>
      </c>
      <c r="D1972" s="471">
        <v>1976.2</v>
      </c>
      <c r="E1972" s="469">
        <v>22.13</v>
      </c>
      <c r="F1972" s="469">
        <v>8.9</v>
      </c>
      <c r="G1972" s="469">
        <v>6.2</v>
      </c>
      <c r="H1972" s="470">
        <v>160</v>
      </c>
      <c r="I1972" s="470">
        <v>721</v>
      </c>
      <c r="J1972" s="470">
        <v>3569</v>
      </c>
      <c r="K1972" s="469">
        <v>1.8</v>
      </c>
    </row>
    <row r="1973" spans="2:11" x14ac:dyDescent="0.35">
      <c r="B1973" s="62">
        <v>12.25</v>
      </c>
      <c r="C1973" s="471">
        <v>1989</v>
      </c>
      <c r="D1973" s="471">
        <v>1977.1</v>
      </c>
      <c r="E1973" s="469">
        <v>61.58</v>
      </c>
      <c r="F1973" s="469">
        <v>12.5</v>
      </c>
      <c r="G1973" s="469">
        <v>8.4</v>
      </c>
      <c r="H1973" s="470">
        <v>160</v>
      </c>
      <c r="I1973" s="470">
        <v>717</v>
      </c>
      <c r="J1973" s="470">
        <v>3710</v>
      </c>
      <c r="K1973" s="469">
        <v>1.8</v>
      </c>
    </row>
    <row r="1974" spans="2:11" x14ac:dyDescent="0.35">
      <c r="B1974" s="62">
        <v>12.25</v>
      </c>
      <c r="C1974" s="471">
        <v>1990</v>
      </c>
      <c r="D1974" s="471">
        <v>1978.1</v>
      </c>
      <c r="E1974" s="469">
        <v>34.08</v>
      </c>
      <c r="F1974" s="469">
        <v>16.8</v>
      </c>
      <c r="G1974" s="469">
        <v>9.6999999999999993</v>
      </c>
      <c r="H1974" s="470">
        <v>160</v>
      </c>
      <c r="I1974" s="470">
        <v>715</v>
      </c>
      <c r="J1974" s="470">
        <v>3728</v>
      </c>
      <c r="K1974" s="469">
        <v>1.8</v>
      </c>
    </row>
    <row r="1975" spans="2:11" x14ac:dyDescent="0.35">
      <c r="B1975" s="62">
        <v>12.25</v>
      </c>
      <c r="C1975" s="471">
        <v>1991</v>
      </c>
      <c r="D1975" s="471">
        <v>1979.1</v>
      </c>
      <c r="E1975" s="469">
        <v>29.53</v>
      </c>
      <c r="F1975" s="469">
        <v>16</v>
      </c>
      <c r="G1975" s="469">
        <v>8.9</v>
      </c>
      <c r="H1975" s="470">
        <v>160</v>
      </c>
      <c r="I1975" s="470">
        <v>715</v>
      </c>
      <c r="J1975" s="470">
        <v>3680</v>
      </c>
      <c r="K1975" s="469">
        <v>1.8</v>
      </c>
    </row>
    <row r="1976" spans="2:11" x14ac:dyDescent="0.35">
      <c r="B1976" s="62">
        <v>12.25</v>
      </c>
      <c r="C1976" s="471">
        <v>1992</v>
      </c>
      <c r="D1976" s="471">
        <v>1980.1</v>
      </c>
      <c r="E1976" s="469">
        <v>44.43</v>
      </c>
      <c r="F1976" s="469">
        <v>14.5</v>
      </c>
      <c r="G1976" s="469">
        <v>10.4</v>
      </c>
      <c r="H1976" s="470">
        <v>159</v>
      </c>
      <c r="I1976" s="470">
        <v>714</v>
      </c>
      <c r="J1976" s="470">
        <v>3704</v>
      </c>
      <c r="K1976" s="469">
        <v>1.8</v>
      </c>
    </row>
    <row r="1977" spans="2:11" x14ac:dyDescent="0.35">
      <c r="B1977" s="62">
        <v>12.25</v>
      </c>
      <c r="C1977" s="471">
        <v>1993</v>
      </c>
      <c r="D1977" s="471">
        <v>1981.2</v>
      </c>
      <c r="E1977" s="469">
        <v>50.14</v>
      </c>
      <c r="F1977" s="469">
        <v>14.7</v>
      </c>
      <c r="G1977" s="469">
        <v>9.5</v>
      </c>
      <c r="H1977" s="470">
        <v>160</v>
      </c>
      <c r="I1977" s="470">
        <v>715</v>
      </c>
      <c r="J1977" s="470">
        <v>3714</v>
      </c>
      <c r="K1977" s="469">
        <v>1.8</v>
      </c>
    </row>
    <row r="1978" spans="2:11" x14ac:dyDescent="0.35">
      <c r="B1978" s="62">
        <v>12.25</v>
      </c>
      <c r="C1978" s="471">
        <v>1994</v>
      </c>
      <c r="D1978" s="471">
        <v>1982.1</v>
      </c>
      <c r="E1978" s="469">
        <v>43.85</v>
      </c>
      <c r="F1978" s="469">
        <v>14.4</v>
      </c>
      <c r="G1978" s="469">
        <v>9.9</v>
      </c>
      <c r="H1978" s="470">
        <v>159</v>
      </c>
      <c r="I1978" s="470">
        <v>713</v>
      </c>
      <c r="J1978" s="470">
        <v>3699</v>
      </c>
      <c r="K1978" s="469">
        <v>1.8</v>
      </c>
    </row>
    <row r="1979" spans="2:11" x14ac:dyDescent="0.35">
      <c r="B1979" s="62">
        <v>12.25</v>
      </c>
      <c r="C1979" s="471">
        <v>1995</v>
      </c>
      <c r="D1979" s="471">
        <v>1983.1</v>
      </c>
      <c r="E1979" s="469">
        <v>40.270000000000003</v>
      </c>
      <c r="F1979" s="469">
        <v>15.2</v>
      </c>
      <c r="G1979" s="469">
        <v>8.4</v>
      </c>
      <c r="H1979" s="470">
        <v>160</v>
      </c>
      <c r="I1979" s="470">
        <v>717</v>
      </c>
      <c r="J1979" s="470">
        <v>3683</v>
      </c>
      <c r="K1979" s="469">
        <v>1.8</v>
      </c>
    </row>
    <row r="1980" spans="2:11" x14ac:dyDescent="0.35">
      <c r="B1980" s="62">
        <v>12.25</v>
      </c>
      <c r="C1980" s="471">
        <v>1996</v>
      </c>
      <c r="D1980" s="471">
        <v>1984.1</v>
      </c>
      <c r="E1980" s="469">
        <v>36.25</v>
      </c>
      <c r="F1980" s="469">
        <v>13.3</v>
      </c>
      <c r="G1980" s="469">
        <v>7.9</v>
      </c>
      <c r="H1980" s="470">
        <v>160</v>
      </c>
      <c r="I1980" s="470">
        <v>718</v>
      </c>
      <c r="J1980" s="470">
        <v>3665</v>
      </c>
      <c r="K1980" s="469">
        <v>1.8</v>
      </c>
    </row>
    <row r="1981" spans="2:11" x14ac:dyDescent="0.35">
      <c r="B1981" s="62">
        <v>12.25</v>
      </c>
      <c r="C1981" s="471">
        <v>1997</v>
      </c>
      <c r="D1981" s="471">
        <v>1985.1</v>
      </c>
      <c r="E1981" s="469">
        <v>30.89</v>
      </c>
      <c r="F1981" s="469">
        <v>14.9</v>
      </c>
      <c r="G1981" s="469">
        <v>9.9</v>
      </c>
      <c r="H1981" s="470">
        <v>159</v>
      </c>
      <c r="I1981" s="470">
        <v>716</v>
      </c>
      <c r="J1981" s="470">
        <v>3694</v>
      </c>
      <c r="K1981" s="469">
        <v>1.8</v>
      </c>
    </row>
    <row r="1982" spans="2:11" x14ac:dyDescent="0.35">
      <c r="B1982" s="62">
        <v>12.25</v>
      </c>
      <c r="C1982" s="471">
        <v>1998</v>
      </c>
      <c r="D1982" s="471">
        <v>1986.1</v>
      </c>
      <c r="E1982" s="469">
        <v>26.59</v>
      </c>
      <c r="F1982" s="469">
        <v>12.6</v>
      </c>
      <c r="G1982" s="469">
        <v>7.1</v>
      </c>
      <c r="H1982" s="470">
        <v>160</v>
      </c>
      <c r="I1982" s="470">
        <v>717</v>
      </c>
      <c r="J1982" s="470">
        <v>3667</v>
      </c>
      <c r="K1982" s="469">
        <v>1.8</v>
      </c>
    </row>
    <row r="1983" spans="2:11" x14ac:dyDescent="0.35">
      <c r="B1983" s="62">
        <v>12.25</v>
      </c>
      <c r="C1983" s="471">
        <v>1999</v>
      </c>
      <c r="D1983" s="471">
        <v>1987.1</v>
      </c>
      <c r="E1983" s="469">
        <v>44.28</v>
      </c>
      <c r="F1983" s="469">
        <v>14.4</v>
      </c>
      <c r="G1983" s="469">
        <v>7.7</v>
      </c>
      <c r="H1983" s="470">
        <v>159</v>
      </c>
      <c r="I1983" s="470">
        <v>714</v>
      </c>
      <c r="J1983" s="470">
        <v>3716</v>
      </c>
      <c r="K1983" s="469">
        <v>1.8</v>
      </c>
    </row>
    <row r="1984" spans="2:11" x14ac:dyDescent="0.35">
      <c r="B1984" s="62">
        <v>12.25</v>
      </c>
      <c r="C1984" s="471">
        <v>2000</v>
      </c>
      <c r="D1984" s="471">
        <v>1988.1</v>
      </c>
      <c r="E1984" s="469">
        <v>27.6</v>
      </c>
      <c r="F1984" s="469">
        <v>15.4</v>
      </c>
      <c r="G1984" s="469">
        <v>6.6</v>
      </c>
      <c r="H1984" s="470">
        <v>160</v>
      </c>
      <c r="I1984" s="470">
        <v>717</v>
      </c>
      <c r="J1984" s="470">
        <v>3696</v>
      </c>
      <c r="K1984" s="469">
        <v>1.8</v>
      </c>
    </row>
    <row r="1985" spans="2:11" x14ac:dyDescent="0.35">
      <c r="B1985" s="62">
        <v>12.25</v>
      </c>
      <c r="C1985" s="471">
        <v>2001</v>
      </c>
      <c r="D1985" s="471">
        <v>1989.1</v>
      </c>
      <c r="E1985" s="469">
        <v>24.14</v>
      </c>
      <c r="F1985" s="469">
        <v>14.7</v>
      </c>
      <c r="G1985" s="469">
        <v>8.1999999999999993</v>
      </c>
      <c r="H1985" s="470">
        <v>160</v>
      </c>
      <c r="I1985" s="470">
        <v>719</v>
      </c>
      <c r="J1985" s="470">
        <v>3673</v>
      </c>
      <c r="K1985" s="469">
        <v>1.8</v>
      </c>
    </row>
    <row r="1986" spans="2:11" x14ac:dyDescent="0.35">
      <c r="B1986" s="62">
        <v>12.25</v>
      </c>
      <c r="C1986" s="471">
        <v>2002</v>
      </c>
      <c r="D1986" s="471">
        <v>1990.1</v>
      </c>
      <c r="E1986" s="469">
        <v>25.82</v>
      </c>
      <c r="F1986" s="469">
        <v>15.2</v>
      </c>
      <c r="G1986" s="469">
        <v>7.2</v>
      </c>
      <c r="H1986" s="470">
        <v>160</v>
      </c>
      <c r="I1986" s="470">
        <v>719</v>
      </c>
      <c r="J1986" s="470">
        <v>3681</v>
      </c>
      <c r="K1986" s="469">
        <v>1.8</v>
      </c>
    </row>
    <row r="1987" spans="2:11" x14ac:dyDescent="0.35">
      <c r="B1987" s="62">
        <v>12.25</v>
      </c>
      <c r="C1987" s="471">
        <v>2003</v>
      </c>
      <c r="D1987" s="471">
        <v>1991.1</v>
      </c>
      <c r="E1987" s="469">
        <v>37.340000000000003</v>
      </c>
      <c r="F1987" s="469">
        <v>15.2</v>
      </c>
      <c r="G1987" s="469">
        <v>8.8000000000000007</v>
      </c>
      <c r="H1987" s="470">
        <v>160</v>
      </c>
      <c r="I1987" s="470">
        <v>715</v>
      </c>
      <c r="J1987" s="470">
        <v>3709</v>
      </c>
      <c r="K1987" s="469">
        <v>1.8</v>
      </c>
    </row>
    <row r="1988" spans="2:11" x14ac:dyDescent="0.35">
      <c r="B1988" s="62">
        <v>12.25</v>
      </c>
      <c r="C1988" s="471">
        <v>2004</v>
      </c>
      <c r="D1988" s="471">
        <v>1992.1</v>
      </c>
      <c r="E1988" s="469">
        <v>42.19</v>
      </c>
      <c r="F1988" s="469">
        <v>16.3</v>
      </c>
      <c r="G1988" s="469">
        <v>9.1999999999999993</v>
      </c>
      <c r="H1988" s="470">
        <v>160</v>
      </c>
      <c r="I1988" s="470">
        <v>717</v>
      </c>
      <c r="J1988" s="470">
        <v>3735</v>
      </c>
      <c r="K1988" s="469">
        <v>1.8</v>
      </c>
    </row>
    <row r="1989" spans="2:11" x14ac:dyDescent="0.35">
      <c r="B1989" s="62">
        <v>12.25</v>
      </c>
      <c r="C1989" s="471">
        <v>2005</v>
      </c>
      <c r="D1989" s="471">
        <v>1993</v>
      </c>
      <c r="E1989" s="469">
        <v>43.15</v>
      </c>
      <c r="F1989" s="469">
        <v>14.4</v>
      </c>
      <c r="G1989" s="469">
        <v>7.7</v>
      </c>
      <c r="H1989" s="470">
        <v>160</v>
      </c>
      <c r="I1989" s="470">
        <v>716</v>
      </c>
      <c r="J1989" s="470">
        <v>3734</v>
      </c>
      <c r="K1989" s="469">
        <v>1.8</v>
      </c>
    </row>
    <row r="1990" spans="2:11" x14ac:dyDescent="0.35">
      <c r="B1990" s="62">
        <v>12.25</v>
      </c>
      <c r="C1990" s="471">
        <v>2006</v>
      </c>
      <c r="D1990" s="471">
        <v>1994.1</v>
      </c>
      <c r="E1990" s="469">
        <v>49.13</v>
      </c>
      <c r="F1990" s="469">
        <v>13</v>
      </c>
      <c r="G1990" s="469">
        <v>8.6999999999999993</v>
      </c>
      <c r="H1990" s="470">
        <v>159</v>
      </c>
      <c r="I1990" s="470">
        <v>713</v>
      </c>
      <c r="J1990" s="470">
        <v>3717</v>
      </c>
      <c r="K1990" s="469">
        <v>1.8</v>
      </c>
    </row>
    <row r="1991" spans="2:11" x14ac:dyDescent="0.35">
      <c r="B1991" s="62">
        <v>12.25</v>
      </c>
      <c r="C1991" s="471">
        <v>2007</v>
      </c>
      <c r="D1991" s="471">
        <v>1995.1</v>
      </c>
      <c r="E1991" s="469">
        <v>28.47</v>
      </c>
      <c r="F1991" s="469">
        <v>15.1</v>
      </c>
      <c r="G1991" s="469">
        <v>8</v>
      </c>
      <c r="H1991" s="470">
        <v>160</v>
      </c>
      <c r="I1991" s="470">
        <v>715</v>
      </c>
      <c r="J1991" s="470">
        <v>3720</v>
      </c>
      <c r="K1991" s="469">
        <v>1.8</v>
      </c>
    </row>
    <row r="1992" spans="2:11" x14ac:dyDescent="0.35">
      <c r="B1992" s="62">
        <v>12.25</v>
      </c>
      <c r="C1992" s="471">
        <v>2008</v>
      </c>
      <c r="D1992" s="471">
        <v>1996</v>
      </c>
      <c r="E1992" s="469">
        <v>52.99</v>
      </c>
      <c r="F1992" s="469">
        <v>14.9</v>
      </c>
      <c r="G1992" s="469">
        <v>8.6</v>
      </c>
      <c r="H1992" s="470">
        <v>160</v>
      </c>
      <c r="I1992" s="470">
        <v>716</v>
      </c>
      <c r="J1992" s="470">
        <v>3754</v>
      </c>
      <c r="K1992" s="469">
        <v>1.8</v>
      </c>
    </row>
    <row r="1993" spans="2:11" x14ac:dyDescent="0.35">
      <c r="B1993" s="62">
        <v>12.25</v>
      </c>
      <c r="C1993" s="471">
        <v>2009</v>
      </c>
      <c r="D1993" s="471">
        <v>1997.1</v>
      </c>
      <c r="E1993" s="469">
        <v>24.72</v>
      </c>
      <c r="F1993" s="469">
        <v>14.6</v>
      </c>
      <c r="G1993" s="469">
        <v>8</v>
      </c>
      <c r="H1993" s="470">
        <v>159</v>
      </c>
      <c r="I1993" s="470">
        <v>714</v>
      </c>
      <c r="J1993" s="470">
        <v>3690</v>
      </c>
      <c r="K1993" s="469">
        <v>1.8</v>
      </c>
    </row>
    <row r="1994" spans="2:11" x14ac:dyDescent="0.35">
      <c r="B1994" s="62">
        <v>12.25</v>
      </c>
      <c r="C1994" s="471">
        <v>2010</v>
      </c>
      <c r="D1994" s="471">
        <v>1998</v>
      </c>
      <c r="E1994" s="469">
        <v>36.28</v>
      </c>
      <c r="F1994" s="469">
        <v>14.5</v>
      </c>
      <c r="G1994" s="469">
        <v>8</v>
      </c>
      <c r="H1994" s="470">
        <v>160</v>
      </c>
      <c r="I1994" s="470">
        <v>717</v>
      </c>
      <c r="J1994" s="470">
        <v>3702</v>
      </c>
      <c r="K1994" s="469">
        <v>1.8</v>
      </c>
    </row>
    <row r="1995" spans="2:11" x14ac:dyDescent="0.35">
      <c r="B1995" s="62">
        <v>12.25</v>
      </c>
      <c r="C1995" s="471">
        <v>2011</v>
      </c>
      <c r="D1995" s="471">
        <v>1999</v>
      </c>
      <c r="E1995" s="469">
        <v>33.56</v>
      </c>
      <c r="F1995" s="469">
        <v>12.8</v>
      </c>
      <c r="G1995" s="469">
        <v>7.5</v>
      </c>
      <c r="H1995" s="470">
        <v>160</v>
      </c>
      <c r="I1995" s="470">
        <v>720</v>
      </c>
      <c r="J1995" s="470">
        <v>3665</v>
      </c>
      <c r="K1995" s="469">
        <v>1.8</v>
      </c>
    </row>
    <row r="1996" spans="2:11" x14ac:dyDescent="0.35">
      <c r="B1996" s="62">
        <v>12.25</v>
      </c>
      <c r="C1996" s="471">
        <v>2012</v>
      </c>
      <c r="D1996" s="471">
        <v>2000</v>
      </c>
      <c r="E1996" s="469">
        <v>57.23</v>
      </c>
      <c r="F1996" s="469">
        <v>14.2</v>
      </c>
      <c r="G1996" s="469">
        <v>9.3000000000000007</v>
      </c>
      <c r="H1996" s="470">
        <v>160</v>
      </c>
      <c r="I1996" s="470">
        <v>715</v>
      </c>
      <c r="J1996" s="470">
        <v>3732</v>
      </c>
      <c r="K1996" s="469">
        <v>1.8</v>
      </c>
    </row>
    <row r="1997" spans="2:11" x14ac:dyDescent="0.35">
      <c r="B1997" s="62">
        <v>12.25</v>
      </c>
      <c r="C1997" s="471">
        <v>2013</v>
      </c>
      <c r="D1997" s="471">
        <v>2001</v>
      </c>
      <c r="E1997" s="469">
        <v>45.78</v>
      </c>
      <c r="F1997" s="469">
        <v>16</v>
      </c>
      <c r="G1997" s="469">
        <v>9.9</v>
      </c>
      <c r="H1997" s="470">
        <v>159</v>
      </c>
      <c r="I1997" s="470">
        <v>714</v>
      </c>
      <c r="J1997" s="470">
        <v>3761</v>
      </c>
      <c r="K1997" s="469">
        <v>1.8</v>
      </c>
    </row>
    <row r="1998" spans="2:11" x14ac:dyDescent="0.35">
      <c r="B1998" s="62">
        <v>12.25</v>
      </c>
      <c r="C1998" s="471">
        <v>2014</v>
      </c>
      <c r="D1998" s="471">
        <v>2002</v>
      </c>
      <c r="E1998" s="469">
        <v>34.19</v>
      </c>
      <c r="F1998" s="469">
        <v>15.3</v>
      </c>
      <c r="G1998" s="469">
        <v>9.1</v>
      </c>
      <c r="H1998" s="470">
        <v>160</v>
      </c>
      <c r="I1998" s="470">
        <v>714</v>
      </c>
      <c r="J1998" s="470">
        <v>3736</v>
      </c>
      <c r="K1998" s="469">
        <v>1.8</v>
      </c>
    </row>
    <row r="1999" spans="2:11" x14ac:dyDescent="0.35">
      <c r="B1999" s="62">
        <v>12.25</v>
      </c>
      <c r="C1999" s="471">
        <v>2015</v>
      </c>
      <c r="D1999" s="471">
        <v>2003</v>
      </c>
      <c r="E1999" s="469">
        <v>41.3</v>
      </c>
      <c r="F1999" s="469">
        <v>15.7</v>
      </c>
      <c r="G1999" s="469">
        <v>10.199999999999999</v>
      </c>
      <c r="H1999" s="470">
        <v>159</v>
      </c>
      <c r="I1999" s="470">
        <v>714</v>
      </c>
      <c r="J1999" s="470">
        <v>3775</v>
      </c>
      <c r="K1999" s="469">
        <v>1.8</v>
      </c>
    </row>
    <row r="2000" spans="2:11" x14ac:dyDescent="0.35">
      <c r="B2000" s="62">
        <v>12.25</v>
      </c>
      <c r="C2000" s="471">
        <v>2016</v>
      </c>
      <c r="D2000" s="471">
        <v>2004</v>
      </c>
      <c r="E2000" s="469">
        <v>35.25</v>
      </c>
      <c r="F2000" s="469">
        <v>11.5</v>
      </c>
      <c r="G2000" s="469">
        <v>6.3</v>
      </c>
      <c r="H2000" s="470">
        <v>160</v>
      </c>
      <c r="I2000" s="470">
        <v>714</v>
      </c>
      <c r="J2000" s="470">
        <v>3716</v>
      </c>
      <c r="K2000" s="469">
        <v>1.8</v>
      </c>
    </row>
    <row r="2001" spans="2:11" x14ac:dyDescent="0.35">
      <c r="B2001" s="62">
        <v>12.25</v>
      </c>
      <c r="C2001" s="471">
        <v>2017</v>
      </c>
      <c r="D2001" s="471">
        <v>2005</v>
      </c>
      <c r="E2001" s="469">
        <v>4.16</v>
      </c>
      <c r="F2001" s="469">
        <v>5.5</v>
      </c>
      <c r="G2001" s="469">
        <v>3.7</v>
      </c>
      <c r="H2001" s="470">
        <v>155</v>
      </c>
      <c r="I2001" s="470">
        <v>682</v>
      </c>
      <c r="J2001" s="470">
        <v>3413</v>
      </c>
      <c r="K2001" s="469">
        <v>1.8</v>
      </c>
    </row>
    <row r="2002" spans="2:11" x14ac:dyDescent="0.35">
      <c r="B2002" s="62">
        <v>12.25</v>
      </c>
      <c r="C2002" s="471">
        <v>2018</v>
      </c>
      <c r="D2002" s="471">
        <v>2005.9</v>
      </c>
      <c r="E2002" s="469">
        <v>3.09</v>
      </c>
      <c r="F2002" s="469">
        <v>5.4</v>
      </c>
      <c r="G2002" s="469">
        <v>3.6</v>
      </c>
      <c r="H2002" s="470">
        <v>154</v>
      </c>
      <c r="I2002" s="470">
        <v>666</v>
      </c>
      <c r="J2002" s="470">
        <v>3168</v>
      </c>
      <c r="K2002" s="469">
        <v>1.8</v>
      </c>
    </row>
    <row r="2003" spans="2:11" x14ac:dyDescent="0.35">
      <c r="B2003" s="62">
        <v>12.25</v>
      </c>
      <c r="C2003" s="471">
        <v>2019</v>
      </c>
      <c r="D2003" s="471">
        <v>2006.9</v>
      </c>
      <c r="E2003" s="469">
        <v>21.97</v>
      </c>
      <c r="F2003" s="469">
        <v>8.1</v>
      </c>
      <c r="G2003" s="469">
        <v>5.8</v>
      </c>
      <c r="H2003" s="470">
        <v>163</v>
      </c>
      <c r="I2003" s="470">
        <v>746</v>
      </c>
      <c r="J2003" s="470">
        <v>3785</v>
      </c>
      <c r="K2003" s="469">
        <v>1.8</v>
      </c>
    </row>
    <row r="2004" spans="2:11" x14ac:dyDescent="0.35">
      <c r="B2004" s="62">
        <v>12.25</v>
      </c>
      <c r="C2004" s="471">
        <v>2020</v>
      </c>
      <c r="D2004" s="471">
        <v>2007.9</v>
      </c>
      <c r="E2004" s="469">
        <v>23.38</v>
      </c>
      <c r="F2004" s="469">
        <v>12.5</v>
      </c>
      <c r="G2004" s="469">
        <v>7.7</v>
      </c>
      <c r="H2004" s="470">
        <v>163</v>
      </c>
      <c r="I2004" s="470">
        <v>745</v>
      </c>
      <c r="J2004" s="470">
        <v>3854</v>
      </c>
      <c r="K2004" s="469">
        <v>1.8</v>
      </c>
    </row>
    <row r="2005" spans="2:11" x14ac:dyDescent="0.35">
      <c r="B2005" s="62">
        <v>12.25</v>
      </c>
      <c r="C2005" s="471">
        <v>2021</v>
      </c>
      <c r="D2005" s="471">
        <v>2008.9</v>
      </c>
      <c r="E2005" s="469">
        <v>39.89</v>
      </c>
      <c r="F2005" s="469">
        <v>11.4</v>
      </c>
      <c r="G2005" s="469">
        <v>8.9</v>
      </c>
      <c r="H2005" s="470">
        <v>160</v>
      </c>
      <c r="I2005" s="470">
        <v>724</v>
      </c>
      <c r="J2005" s="470">
        <v>3627</v>
      </c>
      <c r="K2005" s="469">
        <v>1.8</v>
      </c>
    </row>
    <row r="2006" spans="2:11" x14ac:dyDescent="0.35">
      <c r="B2006" s="62">
        <v>12.25</v>
      </c>
      <c r="C2006" s="471">
        <v>2022</v>
      </c>
      <c r="D2006" s="471">
        <v>2009.9</v>
      </c>
      <c r="E2006" s="469">
        <v>52.83</v>
      </c>
      <c r="F2006" s="469">
        <v>13.8</v>
      </c>
      <c r="G2006" s="469">
        <v>10.4</v>
      </c>
      <c r="H2006" s="470">
        <v>160</v>
      </c>
      <c r="I2006" s="470">
        <v>715</v>
      </c>
      <c r="J2006" s="470">
        <v>3610</v>
      </c>
      <c r="K2006" s="469">
        <v>1.8</v>
      </c>
    </row>
    <row r="2007" spans="2:11" x14ac:dyDescent="0.35">
      <c r="B2007" s="62">
        <v>12.25</v>
      </c>
      <c r="C2007" s="471">
        <v>2023</v>
      </c>
      <c r="D2007" s="471">
        <v>2010.9</v>
      </c>
      <c r="E2007" s="469">
        <v>42.59</v>
      </c>
      <c r="F2007" s="469">
        <v>14.9</v>
      </c>
      <c r="G2007" s="469">
        <v>10</v>
      </c>
      <c r="H2007" s="470">
        <v>160</v>
      </c>
      <c r="I2007" s="470">
        <v>719</v>
      </c>
      <c r="J2007" s="470">
        <v>3620</v>
      </c>
      <c r="K2007" s="469">
        <v>1.8</v>
      </c>
    </row>
    <row r="2008" spans="2:11" x14ac:dyDescent="0.35">
      <c r="B2008" s="62">
        <v>12.25</v>
      </c>
      <c r="C2008" s="471">
        <v>2024</v>
      </c>
      <c r="D2008" s="471">
        <v>2011.9</v>
      </c>
      <c r="E2008" s="469">
        <v>41.26</v>
      </c>
      <c r="F2008" s="469">
        <v>14.7</v>
      </c>
      <c r="G2008" s="469">
        <v>9.1</v>
      </c>
      <c r="H2008" s="470">
        <v>160</v>
      </c>
      <c r="I2008" s="470">
        <v>717</v>
      </c>
      <c r="J2008" s="470">
        <v>3613</v>
      </c>
      <c r="K2008" s="469">
        <v>1.8</v>
      </c>
    </row>
    <row r="2009" spans="2:11" x14ac:dyDescent="0.35">
      <c r="B2009" s="62">
        <v>12.25</v>
      </c>
      <c r="C2009" s="471">
        <v>2025</v>
      </c>
      <c r="D2009" s="471">
        <v>2012.9</v>
      </c>
      <c r="E2009" s="469">
        <v>59.02</v>
      </c>
      <c r="F2009" s="469">
        <v>14</v>
      </c>
      <c r="G2009" s="469">
        <v>10</v>
      </c>
      <c r="H2009" s="470">
        <v>160</v>
      </c>
      <c r="I2009" s="470">
        <v>719</v>
      </c>
      <c r="J2009" s="470">
        <v>3644</v>
      </c>
      <c r="K2009" s="469">
        <v>1.8</v>
      </c>
    </row>
    <row r="2010" spans="2:11" x14ac:dyDescent="0.35">
      <c r="B2010" s="62">
        <v>12.25</v>
      </c>
      <c r="C2010" s="471">
        <v>2026</v>
      </c>
      <c r="D2010" s="471">
        <v>2013.9</v>
      </c>
      <c r="E2010" s="469">
        <v>54.05</v>
      </c>
      <c r="F2010" s="469">
        <v>15.9</v>
      </c>
      <c r="G2010" s="469">
        <v>10.199999999999999</v>
      </c>
      <c r="H2010" s="470">
        <v>160</v>
      </c>
      <c r="I2010" s="470">
        <v>716</v>
      </c>
      <c r="J2010" s="470">
        <v>3690</v>
      </c>
      <c r="K2010" s="469">
        <v>1.8</v>
      </c>
    </row>
    <row r="2011" spans="2:11" x14ac:dyDescent="0.35">
      <c r="B2011" s="62">
        <v>12.25</v>
      </c>
      <c r="C2011" s="471">
        <v>2027</v>
      </c>
      <c r="D2011" s="471">
        <v>2014.9</v>
      </c>
      <c r="E2011" s="469">
        <v>42.29</v>
      </c>
      <c r="F2011" s="469">
        <v>15</v>
      </c>
      <c r="G2011" s="469">
        <v>9.6999999999999993</v>
      </c>
      <c r="H2011" s="470">
        <v>160</v>
      </c>
      <c r="I2011" s="470">
        <v>716</v>
      </c>
      <c r="J2011" s="470">
        <v>3665</v>
      </c>
      <c r="K2011" s="469">
        <v>1.8</v>
      </c>
    </row>
    <row r="2012" spans="2:11" x14ac:dyDescent="0.35">
      <c r="B2012" s="62">
        <v>12.25</v>
      </c>
      <c r="C2012" s="471">
        <v>2028</v>
      </c>
      <c r="D2012" s="471">
        <v>2015.9</v>
      </c>
      <c r="E2012" s="469">
        <v>68.83</v>
      </c>
      <c r="F2012" s="469">
        <v>13.3</v>
      </c>
      <c r="G2012" s="469">
        <v>10.5</v>
      </c>
      <c r="H2012" s="470">
        <v>160</v>
      </c>
      <c r="I2012" s="470">
        <v>720</v>
      </c>
      <c r="J2012" s="470">
        <v>3625</v>
      </c>
      <c r="K2012" s="469">
        <v>1.8</v>
      </c>
    </row>
    <row r="2013" spans="2:11" x14ac:dyDescent="0.35">
      <c r="B2013" s="62">
        <v>12.25</v>
      </c>
      <c r="C2013" s="471">
        <v>2029</v>
      </c>
      <c r="D2013" s="471">
        <v>2016.8</v>
      </c>
      <c r="E2013" s="469">
        <v>46.58</v>
      </c>
      <c r="F2013" s="469">
        <v>16.100000000000001</v>
      </c>
      <c r="G2013" s="469">
        <v>10.7</v>
      </c>
      <c r="H2013" s="470">
        <v>160</v>
      </c>
      <c r="I2013" s="470">
        <v>715</v>
      </c>
      <c r="J2013" s="470">
        <v>3670</v>
      </c>
      <c r="K2013" s="469">
        <v>1.8</v>
      </c>
    </row>
    <row r="2014" spans="2:11" x14ac:dyDescent="0.35">
      <c r="B2014" s="62">
        <v>12.25</v>
      </c>
      <c r="C2014" s="471">
        <v>2030</v>
      </c>
      <c r="D2014" s="471">
        <v>2017.8</v>
      </c>
      <c r="E2014" s="469">
        <v>23.69</v>
      </c>
      <c r="F2014" s="469">
        <v>16.100000000000001</v>
      </c>
      <c r="G2014" s="469">
        <v>6.9</v>
      </c>
      <c r="H2014" s="470">
        <v>160</v>
      </c>
      <c r="I2014" s="470">
        <v>719</v>
      </c>
      <c r="J2014" s="470">
        <v>3609</v>
      </c>
      <c r="K2014" s="469">
        <v>1.8</v>
      </c>
    </row>
    <row r="2015" spans="2:11" x14ac:dyDescent="0.35">
      <c r="B2015" s="62">
        <v>12.25</v>
      </c>
      <c r="C2015" s="471">
        <v>2031</v>
      </c>
      <c r="D2015" s="471">
        <v>2018.8</v>
      </c>
      <c r="E2015" s="469">
        <v>32.18</v>
      </c>
      <c r="F2015" s="469">
        <v>15.2</v>
      </c>
      <c r="G2015" s="469">
        <v>5.8</v>
      </c>
      <c r="H2015" s="470">
        <v>160</v>
      </c>
      <c r="I2015" s="470">
        <v>719</v>
      </c>
      <c r="J2015" s="470">
        <v>3613</v>
      </c>
      <c r="K2015" s="469">
        <v>1.8</v>
      </c>
    </row>
    <row r="2016" spans="2:11" x14ac:dyDescent="0.35">
      <c r="B2016" s="62">
        <v>12.25</v>
      </c>
      <c r="C2016" s="471">
        <v>2032</v>
      </c>
      <c r="D2016" s="471">
        <v>2019.8</v>
      </c>
      <c r="E2016" s="469">
        <v>38.979999999999997</v>
      </c>
      <c r="F2016" s="469">
        <v>15.8</v>
      </c>
      <c r="G2016" s="469">
        <v>6.9</v>
      </c>
      <c r="H2016" s="470">
        <v>161</v>
      </c>
      <c r="I2016" s="470">
        <v>722</v>
      </c>
      <c r="J2016" s="470">
        <v>3670</v>
      </c>
      <c r="K2016" s="469">
        <v>1.8</v>
      </c>
    </row>
    <row r="2017" spans="2:11" x14ac:dyDescent="0.35">
      <c r="B2017" s="62">
        <v>12.25</v>
      </c>
      <c r="C2017" s="471">
        <v>2033</v>
      </c>
      <c r="D2017" s="471">
        <v>2020.8</v>
      </c>
      <c r="E2017" s="469">
        <v>34.79</v>
      </c>
      <c r="F2017" s="469">
        <v>15.3</v>
      </c>
      <c r="G2017" s="469">
        <v>9.5</v>
      </c>
      <c r="H2017" s="470">
        <v>160</v>
      </c>
      <c r="I2017" s="470">
        <v>719</v>
      </c>
      <c r="J2017" s="470">
        <v>3679</v>
      </c>
      <c r="K2017" s="469">
        <v>1.8</v>
      </c>
    </row>
    <row r="2018" spans="2:11" x14ac:dyDescent="0.35">
      <c r="B2018" s="62">
        <v>12.25</v>
      </c>
      <c r="C2018" s="471">
        <v>2034</v>
      </c>
      <c r="D2018" s="471">
        <v>2021.8</v>
      </c>
      <c r="E2018" s="469">
        <v>48.06</v>
      </c>
      <c r="F2018" s="469">
        <v>15.9</v>
      </c>
      <c r="G2018" s="469">
        <v>10.7</v>
      </c>
      <c r="H2018" s="470">
        <v>160</v>
      </c>
      <c r="I2018" s="470">
        <v>719</v>
      </c>
      <c r="J2018" s="470">
        <v>3687</v>
      </c>
      <c r="K2018" s="469">
        <v>1.8</v>
      </c>
    </row>
    <row r="2019" spans="2:11" x14ac:dyDescent="0.35">
      <c r="B2019" s="62">
        <v>12.25</v>
      </c>
      <c r="C2019" s="471">
        <v>2035</v>
      </c>
      <c r="D2019" s="471">
        <v>2022.8</v>
      </c>
      <c r="E2019" s="469">
        <v>35.82</v>
      </c>
      <c r="F2019" s="469">
        <v>15.2</v>
      </c>
      <c r="G2019" s="469">
        <v>8.4</v>
      </c>
      <c r="H2019" s="470">
        <v>161</v>
      </c>
      <c r="I2019" s="470">
        <v>726</v>
      </c>
      <c r="J2019" s="470">
        <v>3566</v>
      </c>
      <c r="K2019" s="469">
        <v>1.8</v>
      </c>
    </row>
    <row r="2020" spans="2:11" x14ac:dyDescent="0.35">
      <c r="B2020" s="62">
        <v>12.25</v>
      </c>
      <c r="C2020" s="471">
        <v>2036</v>
      </c>
      <c r="D2020" s="471">
        <v>2023.8</v>
      </c>
      <c r="E2020" s="469">
        <v>60.64</v>
      </c>
      <c r="F2020" s="469">
        <v>14.6</v>
      </c>
      <c r="G2020" s="469">
        <v>10.8</v>
      </c>
      <c r="H2020" s="470">
        <v>160</v>
      </c>
      <c r="I2020" s="470">
        <v>714</v>
      </c>
      <c r="J2020" s="470">
        <v>3559</v>
      </c>
      <c r="K2020" s="469">
        <v>1.8</v>
      </c>
    </row>
    <row r="2021" spans="2:11" x14ac:dyDescent="0.35">
      <c r="B2021" s="62">
        <v>12.25</v>
      </c>
      <c r="C2021" s="471">
        <v>2037</v>
      </c>
      <c r="D2021" s="471">
        <v>2024.8</v>
      </c>
      <c r="E2021" s="469">
        <v>38.92</v>
      </c>
      <c r="F2021" s="469">
        <v>14.2</v>
      </c>
      <c r="G2021" s="469">
        <v>9.6</v>
      </c>
      <c r="H2021" s="470">
        <v>161</v>
      </c>
      <c r="I2021" s="470">
        <v>730</v>
      </c>
      <c r="J2021" s="470">
        <v>3491</v>
      </c>
      <c r="K2021" s="469">
        <v>1.8</v>
      </c>
    </row>
    <row r="2022" spans="2:11" x14ac:dyDescent="0.35">
      <c r="B2022" s="62">
        <v>12.25</v>
      </c>
      <c r="C2022" s="471">
        <v>2038</v>
      </c>
      <c r="D2022" s="471">
        <v>2025.8</v>
      </c>
      <c r="E2022" s="469">
        <v>49.44</v>
      </c>
      <c r="F2022" s="469">
        <v>14.1</v>
      </c>
      <c r="G2022" s="469">
        <v>9.4</v>
      </c>
      <c r="H2022" s="470">
        <v>162</v>
      </c>
      <c r="I2022" s="470">
        <v>733</v>
      </c>
      <c r="J2022" s="470">
        <v>3491</v>
      </c>
      <c r="K2022" s="469">
        <v>1.8</v>
      </c>
    </row>
    <row r="2023" spans="2:11" x14ac:dyDescent="0.35">
      <c r="B2023" s="62">
        <v>12.25</v>
      </c>
      <c r="C2023" s="471">
        <v>2039</v>
      </c>
      <c r="D2023" s="471">
        <v>2026.8</v>
      </c>
      <c r="E2023" s="469">
        <v>62.73</v>
      </c>
      <c r="F2023" s="469">
        <v>12.5</v>
      </c>
      <c r="G2023" s="469">
        <v>8.1</v>
      </c>
      <c r="H2023" s="470">
        <v>161</v>
      </c>
      <c r="I2023" s="470">
        <v>730</v>
      </c>
      <c r="J2023" s="470">
        <v>3535</v>
      </c>
      <c r="K2023" s="469">
        <v>1.8</v>
      </c>
    </row>
    <row r="2024" spans="2:11" x14ac:dyDescent="0.35">
      <c r="B2024" s="62">
        <v>12.25</v>
      </c>
      <c r="C2024" s="471">
        <v>2040</v>
      </c>
      <c r="D2024" s="471">
        <v>2027.8</v>
      </c>
      <c r="E2024" s="469">
        <v>67.33</v>
      </c>
      <c r="F2024" s="469">
        <v>14.2</v>
      </c>
      <c r="G2024" s="469">
        <v>9.4</v>
      </c>
      <c r="H2024" s="470">
        <v>162</v>
      </c>
      <c r="I2024" s="470">
        <v>732</v>
      </c>
      <c r="J2024" s="470">
        <v>3609</v>
      </c>
      <c r="K2024" s="469">
        <v>1.8</v>
      </c>
    </row>
    <row r="2025" spans="2:11" x14ac:dyDescent="0.35">
      <c r="B2025" s="62">
        <v>12.25</v>
      </c>
      <c r="C2025" s="471">
        <v>2041</v>
      </c>
      <c r="D2025" s="471">
        <v>2028.8</v>
      </c>
      <c r="E2025" s="469">
        <v>68.39</v>
      </c>
      <c r="F2025" s="469">
        <v>13.7</v>
      </c>
      <c r="G2025" s="469">
        <v>10.3</v>
      </c>
      <c r="H2025" s="470">
        <v>161</v>
      </c>
      <c r="I2025" s="470">
        <v>730</v>
      </c>
      <c r="J2025" s="470">
        <v>3572</v>
      </c>
      <c r="K2025" s="469">
        <v>1.8</v>
      </c>
    </row>
    <row r="2026" spans="2:11" x14ac:dyDescent="0.35">
      <c r="B2026" s="62">
        <v>12.25</v>
      </c>
      <c r="C2026" s="471">
        <v>2042</v>
      </c>
      <c r="D2026" s="471">
        <v>2029.8</v>
      </c>
      <c r="E2026" s="469">
        <v>61.47</v>
      </c>
      <c r="F2026" s="469">
        <v>14.9</v>
      </c>
      <c r="G2026" s="469">
        <v>9.6</v>
      </c>
      <c r="H2026" s="470">
        <v>161</v>
      </c>
      <c r="I2026" s="470">
        <v>732</v>
      </c>
      <c r="J2026" s="470">
        <v>3582</v>
      </c>
      <c r="K2026" s="469">
        <v>1.8</v>
      </c>
    </row>
    <row r="2027" spans="2:11" x14ac:dyDescent="0.35">
      <c r="B2027" s="62">
        <v>12.25</v>
      </c>
      <c r="C2027" s="471">
        <v>2043</v>
      </c>
      <c r="D2027" s="471">
        <v>2030.8</v>
      </c>
      <c r="E2027" s="469">
        <v>78.040000000000006</v>
      </c>
      <c r="F2027" s="469">
        <v>14.7</v>
      </c>
      <c r="G2027" s="469">
        <v>10.7</v>
      </c>
      <c r="H2027" s="470">
        <v>161</v>
      </c>
      <c r="I2027" s="470">
        <v>731</v>
      </c>
      <c r="J2027" s="470">
        <v>3596</v>
      </c>
      <c r="K2027" s="469">
        <v>1.8</v>
      </c>
    </row>
    <row r="2028" spans="2:11" x14ac:dyDescent="0.35">
      <c r="B2028" s="62">
        <v>12.25</v>
      </c>
      <c r="C2028" s="471">
        <v>2044</v>
      </c>
      <c r="D2028" s="471">
        <v>2031.8</v>
      </c>
      <c r="E2028" s="469">
        <v>43.09</v>
      </c>
      <c r="F2028" s="469">
        <v>16.100000000000001</v>
      </c>
      <c r="G2028" s="469">
        <v>10.5</v>
      </c>
      <c r="H2028" s="470">
        <v>162</v>
      </c>
      <c r="I2028" s="470">
        <v>731</v>
      </c>
      <c r="J2028" s="470">
        <v>3573</v>
      </c>
      <c r="K2028" s="469">
        <v>1.8</v>
      </c>
    </row>
    <row r="2029" spans="2:11" x14ac:dyDescent="0.35">
      <c r="B2029" s="62">
        <v>12.25</v>
      </c>
      <c r="C2029" s="471">
        <v>2045</v>
      </c>
      <c r="D2029" s="471">
        <v>2032.7</v>
      </c>
      <c r="E2029" s="469">
        <v>12.59</v>
      </c>
      <c r="F2029" s="469">
        <v>13.5</v>
      </c>
      <c r="G2029" s="469">
        <v>9.4</v>
      </c>
      <c r="H2029" s="470">
        <v>161</v>
      </c>
      <c r="I2029" s="470">
        <v>730</v>
      </c>
      <c r="J2029" s="470">
        <v>3515</v>
      </c>
      <c r="K2029" s="469">
        <v>1.8</v>
      </c>
    </row>
    <row r="2030" spans="2:11" x14ac:dyDescent="0.35">
      <c r="B2030" s="62">
        <v>12.25</v>
      </c>
      <c r="C2030" s="471">
        <v>2046</v>
      </c>
      <c r="D2030" s="471">
        <v>2033.7</v>
      </c>
      <c r="E2030" s="469">
        <v>31.62</v>
      </c>
      <c r="F2030" s="469">
        <v>5.4</v>
      </c>
      <c r="G2030" s="469">
        <v>5.8</v>
      </c>
      <c r="H2030" s="470">
        <v>123</v>
      </c>
      <c r="I2030" s="470">
        <v>363</v>
      </c>
      <c r="J2030" s="470">
        <v>3571</v>
      </c>
      <c r="K2030" s="469">
        <v>1.8</v>
      </c>
    </row>
    <row r="2031" spans="2:11" x14ac:dyDescent="0.35">
      <c r="B2031" s="62">
        <v>12.25</v>
      </c>
      <c r="C2031" s="471">
        <v>2047</v>
      </c>
      <c r="D2031" s="471">
        <v>2034.8</v>
      </c>
      <c r="E2031" s="469">
        <v>44.75</v>
      </c>
      <c r="F2031" s="469">
        <v>12.4</v>
      </c>
      <c r="G2031" s="469">
        <v>9</v>
      </c>
      <c r="H2031" s="470">
        <v>123</v>
      </c>
      <c r="I2031" s="470">
        <v>357</v>
      </c>
      <c r="J2031" s="470">
        <v>3717</v>
      </c>
      <c r="K2031" s="469">
        <v>1.8</v>
      </c>
    </row>
    <row r="2032" spans="2:11" x14ac:dyDescent="0.35">
      <c r="B2032" s="62">
        <v>12.25</v>
      </c>
      <c r="C2032" s="471">
        <v>2048</v>
      </c>
      <c r="D2032" s="471">
        <v>2035.8</v>
      </c>
      <c r="E2032" s="469">
        <v>56.63</v>
      </c>
      <c r="F2032" s="469">
        <v>13.5</v>
      </c>
      <c r="G2032" s="469">
        <v>9.5</v>
      </c>
      <c r="H2032" s="470">
        <v>123</v>
      </c>
      <c r="I2032" s="470">
        <v>356</v>
      </c>
      <c r="J2032" s="470">
        <v>3752</v>
      </c>
      <c r="K2032" s="469">
        <v>1.8</v>
      </c>
    </row>
    <row r="2033" spans="2:11" x14ac:dyDescent="0.35">
      <c r="B2033" s="62">
        <v>12.25</v>
      </c>
      <c r="C2033" s="471">
        <v>2049</v>
      </c>
      <c r="D2033" s="471">
        <v>2036.7</v>
      </c>
      <c r="E2033" s="469">
        <v>38.15</v>
      </c>
      <c r="F2033" s="469">
        <v>13.4</v>
      </c>
      <c r="G2033" s="469">
        <v>10.5</v>
      </c>
      <c r="H2033" s="470">
        <v>123</v>
      </c>
      <c r="I2033" s="470">
        <v>356</v>
      </c>
      <c r="J2033" s="470">
        <v>3759</v>
      </c>
      <c r="K2033" s="469">
        <v>1.8</v>
      </c>
    </row>
    <row r="2034" spans="2:11" x14ac:dyDescent="0.35">
      <c r="B2034" s="62">
        <v>12.25</v>
      </c>
      <c r="C2034" s="471">
        <v>2050</v>
      </c>
      <c r="D2034" s="471">
        <v>2037.7</v>
      </c>
      <c r="E2034" s="469">
        <v>39.549999999999997</v>
      </c>
      <c r="F2034" s="469">
        <v>14.2</v>
      </c>
      <c r="G2034" s="469">
        <v>10.6</v>
      </c>
      <c r="H2034" s="470">
        <v>123</v>
      </c>
      <c r="I2034" s="470">
        <v>358</v>
      </c>
      <c r="J2034" s="470">
        <v>3765</v>
      </c>
      <c r="K2034" s="469">
        <v>1.8</v>
      </c>
    </row>
    <row r="2035" spans="2:11" x14ac:dyDescent="0.35">
      <c r="B2035" s="62">
        <v>12.25</v>
      </c>
      <c r="C2035" s="471">
        <v>2051</v>
      </c>
      <c r="D2035" s="471">
        <v>2038.7</v>
      </c>
      <c r="E2035" s="469">
        <v>51.98</v>
      </c>
      <c r="F2035" s="469">
        <v>12.9</v>
      </c>
      <c r="G2035" s="469">
        <v>10.199999999999999</v>
      </c>
      <c r="H2035" s="470">
        <v>123</v>
      </c>
      <c r="I2035" s="470">
        <v>357</v>
      </c>
      <c r="J2035" s="470">
        <v>3729</v>
      </c>
      <c r="K2035" s="469">
        <v>1.8</v>
      </c>
    </row>
    <row r="2036" spans="2:11" x14ac:dyDescent="0.35">
      <c r="B2036" s="62">
        <v>12.25</v>
      </c>
      <c r="C2036" s="471">
        <v>2052</v>
      </c>
      <c r="D2036" s="471">
        <v>2039.7</v>
      </c>
      <c r="E2036" s="469">
        <v>7.6</v>
      </c>
      <c r="F2036" s="469">
        <v>10.9</v>
      </c>
      <c r="G2036" s="469">
        <v>6.7</v>
      </c>
      <c r="H2036" s="470">
        <v>119</v>
      </c>
      <c r="I2036" s="470">
        <v>323</v>
      </c>
      <c r="J2036" s="470">
        <v>3453</v>
      </c>
      <c r="K2036" s="469">
        <v>1.8</v>
      </c>
    </row>
    <row r="2037" spans="2:11" x14ac:dyDescent="0.35">
      <c r="B2037" s="62">
        <v>12.25</v>
      </c>
      <c r="C2037" s="471">
        <v>2053</v>
      </c>
      <c r="D2037" s="471">
        <v>2040.7</v>
      </c>
      <c r="E2037" s="469">
        <v>16.18</v>
      </c>
      <c r="F2037" s="469">
        <v>7.6</v>
      </c>
      <c r="G2037" s="469">
        <v>5.5</v>
      </c>
      <c r="H2037" s="470">
        <v>116</v>
      </c>
      <c r="I2037" s="470">
        <v>295</v>
      </c>
      <c r="J2037" s="470">
        <v>3224</v>
      </c>
      <c r="K2037" s="469">
        <v>1.8</v>
      </c>
    </row>
    <row r="2038" spans="2:11" x14ac:dyDescent="0.35">
      <c r="B2038" s="62">
        <v>12.25</v>
      </c>
      <c r="C2038" s="471">
        <v>2054</v>
      </c>
      <c r="D2038" s="471">
        <v>2041.7</v>
      </c>
      <c r="E2038" s="469">
        <v>25.44</v>
      </c>
      <c r="F2038" s="469">
        <v>8.1999999999999993</v>
      </c>
      <c r="G2038" s="469">
        <v>8.3000000000000007</v>
      </c>
      <c r="H2038" s="470">
        <v>123</v>
      </c>
      <c r="I2038" s="470">
        <v>361</v>
      </c>
      <c r="J2038" s="470">
        <v>3624</v>
      </c>
      <c r="K2038" s="469">
        <v>1.8</v>
      </c>
    </row>
    <row r="2039" spans="2:11" x14ac:dyDescent="0.35">
      <c r="B2039" s="62">
        <v>12.25</v>
      </c>
      <c r="C2039" s="471">
        <v>2055</v>
      </c>
      <c r="D2039" s="471">
        <v>2042.7</v>
      </c>
      <c r="E2039" s="469">
        <v>38.56</v>
      </c>
      <c r="F2039" s="469">
        <v>11.9</v>
      </c>
      <c r="G2039" s="469">
        <v>8.8000000000000007</v>
      </c>
      <c r="H2039" s="470">
        <v>122</v>
      </c>
      <c r="I2039" s="470">
        <v>373</v>
      </c>
      <c r="J2039" s="470">
        <v>3761</v>
      </c>
      <c r="K2039" s="469">
        <v>1.8</v>
      </c>
    </row>
    <row r="2040" spans="2:11" x14ac:dyDescent="0.35">
      <c r="B2040" s="62">
        <v>12.25</v>
      </c>
      <c r="C2040" s="471">
        <v>2056</v>
      </c>
      <c r="D2040" s="471">
        <v>2043.7</v>
      </c>
      <c r="E2040" s="469">
        <v>37.76</v>
      </c>
      <c r="F2040" s="469">
        <v>13.9</v>
      </c>
      <c r="G2040" s="469">
        <v>9.4</v>
      </c>
      <c r="H2040" s="470">
        <v>120</v>
      </c>
      <c r="I2040" s="470">
        <v>373</v>
      </c>
      <c r="J2040" s="470">
        <v>3822</v>
      </c>
      <c r="K2040" s="469">
        <v>1.8</v>
      </c>
    </row>
    <row r="2041" spans="2:11" x14ac:dyDescent="0.35">
      <c r="B2041" s="62">
        <v>12.25</v>
      </c>
      <c r="C2041" s="471">
        <v>2057</v>
      </c>
      <c r="D2041" s="471">
        <v>2044.7</v>
      </c>
      <c r="E2041" s="469">
        <v>46.19</v>
      </c>
      <c r="F2041" s="469">
        <v>11.9</v>
      </c>
      <c r="G2041" s="469">
        <v>6.9</v>
      </c>
      <c r="H2041" s="470">
        <v>126</v>
      </c>
      <c r="I2041" s="470">
        <v>431</v>
      </c>
      <c r="J2041" s="470">
        <v>3770</v>
      </c>
      <c r="K2041" s="469">
        <v>1.8</v>
      </c>
    </row>
    <row r="2042" spans="2:11" x14ac:dyDescent="0.35">
      <c r="B2042" s="62">
        <v>12.25</v>
      </c>
      <c r="C2042" s="471">
        <v>2058</v>
      </c>
      <c r="D2042" s="471">
        <v>2045.7</v>
      </c>
      <c r="E2042" s="469">
        <v>25.53</v>
      </c>
      <c r="F2042" s="469">
        <v>11.5</v>
      </c>
      <c r="G2042" s="469">
        <v>5.9</v>
      </c>
      <c r="H2042" s="470">
        <v>160</v>
      </c>
      <c r="I2042" s="470">
        <v>745</v>
      </c>
      <c r="J2042" s="470">
        <v>3742</v>
      </c>
      <c r="K2042" s="469">
        <v>1.8</v>
      </c>
    </row>
    <row r="2043" spans="2:11" x14ac:dyDescent="0.35">
      <c r="B2043" s="62">
        <v>12.25</v>
      </c>
      <c r="C2043" s="471">
        <v>2059</v>
      </c>
      <c r="D2043" s="471">
        <v>2046.7</v>
      </c>
      <c r="E2043" s="469">
        <v>29.92</v>
      </c>
      <c r="F2043" s="469">
        <v>14.3</v>
      </c>
      <c r="G2043" s="469">
        <v>6.3</v>
      </c>
      <c r="H2043" s="470">
        <v>160</v>
      </c>
      <c r="I2043" s="470">
        <v>737</v>
      </c>
      <c r="J2043" s="470">
        <v>3802</v>
      </c>
      <c r="K2043" s="469">
        <v>1.8</v>
      </c>
    </row>
    <row r="2044" spans="2:11" x14ac:dyDescent="0.35">
      <c r="B2044" s="62">
        <v>12.25</v>
      </c>
      <c r="C2044" s="471">
        <v>2060</v>
      </c>
      <c r="D2044" s="471">
        <v>2047.7</v>
      </c>
      <c r="E2044" s="469">
        <v>45.78</v>
      </c>
      <c r="F2044" s="469">
        <v>14.7</v>
      </c>
      <c r="G2044" s="469">
        <v>9.1</v>
      </c>
      <c r="H2044" s="470">
        <v>159</v>
      </c>
      <c r="I2044" s="470">
        <v>723</v>
      </c>
      <c r="J2044" s="470">
        <v>3844</v>
      </c>
      <c r="K2044" s="469">
        <v>1.8</v>
      </c>
    </row>
    <row r="2045" spans="2:11" x14ac:dyDescent="0.35">
      <c r="B2045" s="62">
        <v>12.25</v>
      </c>
      <c r="C2045" s="471">
        <v>2061</v>
      </c>
      <c r="D2045" s="471">
        <v>2048.6999999999998</v>
      </c>
      <c r="E2045" s="469">
        <v>44.1</v>
      </c>
      <c r="F2045" s="469">
        <v>14.6</v>
      </c>
      <c r="G2045" s="469">
        <v>10.6</v>
      </c>
      <c r="H2045" s="470">
        <v>158</v>
      </c>
      <c r="I2045" s="470">
        <v>721</v>
      </c>
      <c r="J2045" s="470">
        <v>3848</v>
      </c>
      <c r="K2045" s="469">
        <v>1.8</v>
      </c>
    </row>
    <row r="2046" spans="2:11" x14ac:dyDescent="0.35">
      <c r="B2046" s="62">
        <v>12.25</v>
      </c>
      <c r="C2046" s="471">
        <v>2062</v>
      </c>
      <c r="D2046" s="471">
        <v>2049.6</v>
      </c>
      <c r="E2046" s="469">
        <v>47.69</v>
      </c>
      <c r="F2046" s="469">
        <v>13.4</v>
      </c>
      <c r="G2046" s="469">
        <v>9.4</v>
      </c>
      <c r="H2046" s="470">
        <v>158</v>
      </c>
      <c r="I2046" s="470">
        <v>721</v>
      </c>
      <c r="J2046" s="470">
        <v>3845</v>
      </c>
      <c r="K2046" s="469">
        <v>1.8</v>
      </c>
    </row>
    <row r="2047" spans="2:11" x14ac:dyDescent="0.35">
      <c r="B2047" s="62">
        <v>12.25</v>
      </c>
      <c r="C2047" s="471">
        <v>2063</v>
      </c>
      <c r="D2047" s="471">
        <v>2050.6999999999998</v>
      </c>
      <c r="E2047" s="469">
        <v>41.7</v>
      </c>
      <c r="F2047" s="469">
        <v>13.8</v>
      </c>
      <c r="G2047" s="469">
        <v>9.6999999999999993</v>
      </c>
      <c r="H2047" s="470">
        <v>158</v>
      </c>
      <c r="I2047" s="470">
        <v>723</v>
      </c>
      <c r="J2047" s="470">
        <v>3826</v>
      </c>
      <c r="K2047" s="469">
        <v>1.8</v>
      </c>
    </row>
    <row r="2048" spans="2:11" x14ac:dyDescent="0.35">
      <c r="B2048" s="62">
        <v>12.25</v>
      </c>
      <c r="C2048" s="471">
        <v>2064</v>
      </c>
      <c r="D2048" s="471">
        <v>2051.6</v>
      </c>
      <c r="E2048" s="469">
        <v>31.9</v>
      </c>
      <c r="F2048" s="469">
        <v>11</v>
      </c>
      <c r="G2048" s="469">
        <v>7.9</v>
      </c>
      <c r="H2048" s="470">
        <v>159</v>
      </c>
      <c r="I2048" s="470">
        <v>726</v>
      </c>
      <c r="J2048" s="470">
        <v>3764</v>
      </c>
      <c r="K2048" s="469">
        <v>1.8</v>
      </c>
    </row>
    <row r="2049" spans="2:11" x14ac:dyDescent="0.35">
      <c r="B2049" s="62">
        <v>12.25</v>
      </c>
      <c r="C2049" s="471">
        <v>2065</v>
      </c>
      <c r="D2049" s="471">
        <v>2052.6</v>
      </c>
      <c r="E2049" s="469">
        <v>53.03</v>
      </c>
      <c r="F2049" s="469">
        <v>13</v>
      </c>
      <c r="G2049" s="469">
        <v>9</v>
      </c>
      <c r="H2049" s="470">
        <v>158</v>
      </c>
      <c r="I2049" s="470">
        <v>723</v>
      </c>
      <c r="J2049" s="470">
        <v>3840</v>
      </c>
      <c r="K2049" s="469">
        <v>1.8</v>
      </c>
    </row>
    <row r="2050" spans="2:11" x14ac:dyDescent="0.35">
      <c r="B2050" s="62">
        <v>12.25</v>
      </c>
      <c r="C2050" s="471">
        <v>2066</v>
      </c>
      <c r="D2050" s="471">
        <v>2053.6</v>
      </c>
      <c r="E2050" s="469">
        <v>39.06</v>
      </c>
      <c r="F2050" s="469">
        <v>14.3</v>
      </c>
      <c r="G2050" s="469">
        <v>9</v>
      </c>
      <c r="H2050" s="470">
        <v>158</v>
      </c>
      <c r="I2050" s="470">
        <v>723</v>
      </c>
      <c r="J2050" s="470">
        <v>3832</v>
      </c>
      <c r="K2050" s="469">
        <v>1.8</v>
      </c>
    </row>
    <row r="2051" spans="2:11" x14ac:dyDescent="0.35">
      <c r="B2051" s="62">
        <v>12.25</v>
      </c>
      <c r="C2051" s="471">
        <v>2067</v>
      </c>
      <c r="D2051" s="471">
        <v>2054.6</v>
      </c>
      <c r="E2051" s="469">
        <v>40.64</v>
      </c>
      <c r="F2051" s="469">
        <v>12.2</v>
      </c>
      <c r="G2051" s="469">
        <v>9.3000000000000007</v>
      </c>
      <c r="H2051" s="470">
        <v>158</v>
      </c>
      <c r="I2051" s="470">
        <v>723</v>
      </c>
      <c r="J2051" s="470">
        <v>3805</v>
      </c>
      <c r="K2051" s="469">
        <v>1.8</v>
      </c>
    </row>
    <row r="2052" spans="2:11" x14ac:dyDescent="0.35">
      <c r="B2052" s="62">
        <v>12.25</v>
      </c>
      <c r="C2052" s="471">
        <v>2068</v>
      </c>
      <c r="D2052" s="471">
        <v>2055.6</v>
      </c>
      <c r="E2052" s="469">
        <v>35.22</v>
      </c>
      <c r="F2052" s="469">
        <v>12.5</v>
      </c>
      <c r="G2052" s="469">
        <v>6.6</v>
      </c>
      <c r="H2052" s="470">
        <v>159</v>
      </c>
      <c r="I2052" s="470">
        <v>724</v>
      </c>
      <c r="J2052" s="470">
        <v>3821</v>
      </c>
      <c r="K2052" s="469">
        <v>1.8</v>
      </c>
    </row>
    <row r="2053" spans="2:11" x14ac:dyDescent="0.35">
      <c r="B2053" s="62">
        <v>12.25</v>
      </c>
      <c r="C2053" s="471">
        <v>2069</v>
      </c>
      <c r="D2053" s="471">
        <v>2056.6</v>
      </c>
      <c r="E2053" s="469">
        <v>38.15</v>
      </c>
      <c r="F2053" s="469">
        <v>14.3</v>
      </c>
      <c r="G2053" s="469">
        <v>7.2</v>
      </c>
      <c r="H2053" s="470">
        <v>158</v>
      </c>
      <c r="I2053" s="470">
        <v>722</v>
      </c>
      <c r="J2053" s="470">
        <v>3838</v>
      </c>
      <c r="K2053" s="469">
        <v>1.8</v>
      </c>
    </row>
    <row r="2054" spans="2:11" x14ac:dyDescent="0.35">
      <c r="B2054" s="62">
        <v>12.25</v>
      </c>
      <c r="C2054" s="471">
        <v>2070</v>
      </c>
      <c r="D2054" s="471">
        <v>2057.6999999999998</v>
      </c>
      <c r="E2054" s="469">
        <v>29.23</v>
      </c>
      <c r="F2054" s="469">
        <v>14.7</v>
      </c>
      <c r="G2054" s="469">
        <v>6.9</v>
      </c>
      <c r="H2054" s="470">
        <v>158</v>
      </c>
      <c r="I2054" s="470">
        <v>723</v>
      </c>
      <c r="J2054" s="470">
        <v>3824</v>
      </c>
      <c r="K2054" s="469">
        <v>1.8</v>
      </c>
    </row>
    <row r="2055" spans="2:11" x14ac:dyDescent="0.35">
      <c r="B2055" s="62">
        <v>12.25</v>
      </c>
      <c r="C2055" s="471">
        <v>2071</v>
      </c>
      <c r="D2055" s="471">
        <v>2058.6</v>
      </c>
      <c r="E2055" s="469">
        <v>30.46</v>
      </c>
      <c r="F2055" s="469">
        <v>14.5</v>
      </c>
      <c r="G2055" s="469">
        <v>7.6</v>
      </c>
      <c r="H2055" s="470">
        <v>158</v>
      </c>
      <c r="I2055" s="470">
        <v>723</v>
      </c>
      <c r="J2055" s="470">
        <v>3805</v>
      </c>
      <c r="K2055" s="469">
        <v>1.8</v>
      </c>
    </row>
    <row r="2056" spans="2:11" x14ac:dyDescent="0.35">
      <c r="B2056" s="62">
        <v>12.25</v>
      </c>
      <c r="C2056" s="471">
        <v>2072</v>
      </c>
      <c r="D2056" s="471">
        <v>2059.6</v>
      </c>
      <c r="E2056" s="469">
        <v>33.64</v>
      </c>
      <c r="F2056" s="469">
        <v>15.1</v>
      </c>
      <c r="G2056" s="469">
        <v>8.8000000000000007</v>
      </c>
      <c r="H2056" s="470">
        <v>158</v>
      </c>
      <c r="I2056" s="470">
        <v>723</v>
      </c>
      <c r="J2056" s="470">
        <v>3833</v>
      </c>
      <c r="K2056" s="469">
        <v>1.8</v>
      </c>
    </row>
    <row r="2057" spans="2:11" x14ac:dyDescent="0.35">
      <c r="B2057" s="62">
        <v>12.25</v>
      </c>
      <c r="C2057" s="471">
        <v>2073</v>
      </c>
      <c r="D2057" s="471">
        <v>2060.6</v>
      </c>
      <c r="E2057" s="469">
        <v>54.5</v>
      </c>
      <c r="F2057" s="469">
        <v>10</v>
      </c>
      <c r="G2057" s="469">
        <v>7.1</v>
      </c>
      <c r="H2057" s="470">
        <v>159</v>
      </c>
      <c r="I2057" s="470">
        <v>726</v>
      </c>
      <c r="J2057" s="470">
        <v>3761</v>
      </c>
      <c r="K2057" s="469">
        <v>1.8</v>
      </c>
    </row>
    <row r="2058" spans="2:11" x14ac:dyDescent="0.35">
      <c r="B2058" s="62">
        <v>12.25</v>
      </c>
      <c r="C2058" s="471">
        <v>2074</v>
      </c>
      <c r="D2058" s="471">
        <v>2061.6</v>
      </c>
      <c r="E2058" s="469">
        <v>47.82</v>
      </c>
      <c r="F2058" s="469">
        <v>12</v>
      </c>
      <c r="G2058" s="469">
        <v>9.1</v>
      </c>
      <c r="H2058" s="470">
        <v>159</v>
      </c>
      <c r="I2058" s="470">
        <v>726</v>
      </c>
      <c r="J2058" s="470">
        <v>3811</v>
      </c>
      <c r="K2058" s="469">
        <v>1.8</v>
      </c>
    </row>
    <row r="2059" spans="2:11" x14ac:dyDescent="0.35">
      <c r="B2059" s="62">
        <v>12.25</v>
      </c>
      <c r="C2059" s="471">
        <v>2075</v>
      </c>
      <c r="D2059" s="471">
        <v>2062.6</v>
      </c>
      <c r="E2059" s="469">
        <v>6.35</v>
      </c>
      <c r="F2059" s="469">
        <v>9.1</v>
      </c>
      <c r="G2059" s="469">
        <v>5.6</v>
      </c>
      <c r="H2059" s="470">
        <v>160</v>
      </c>
      <c r="I2059" s="470">
        <v>714</v>
      </c>
      <c r="J2059" s="470">
        <v>3616</v>
      </c>
      <c r="K2059" s="469">
        <v>1.8</v>
      </c>
    </row>
    <row r="2060" spans="2:11" x14ac:dyDescent="0.35">
      <c r="B2060" s="62">
        <v>12.25</v>
      </c>
      <c r="C2060" s="471">
        <v>2076</v>
      </c>
      <c r="D2060" s="471">
        <v>2063.6</v>
      </c>
      <c r="E2060" s="469">
        <v>44.02</v>
      </c>
      <c r="F2060" s="469">
        <v>11.7</v>
      </c>
      <c r="G2060" s="469">
        <v>9.8000000000000007</v>
      </c>
      <c r="H2060" s="470">
        <v>152</v>
      </c>
      <c r="I2060" s="470">
        <v>639</v>
      </c>
      <c r="J2060" s="470">
        <v>3325</v>
      </c>
      <c r="K2060" s="469">
        <v>1.8</v>
      </c>
    </row>
    <row r="2061" spans="2:11" x14ac:dyDescent="0.35">
      <c r="B2061" s="62">
        <v>12.25</v>
      </c>
      <c r="C2061" s="471">
        <v>2077</v>
      </c>
      <c r="D2061" s="471">
        <v>2064.6</v>
      </c>
      <c r="E2061" s="469">
        <v>46.08</v>
      </c>
      <c r="F2061" s="469">
        <v>10.6</v>
      </c>
      <c r="G2061" s="469">
        <v>8.6</v>
      </c>
      <c r="H2061" s="470">
        <v>155</v>
      </c>
      <c r="I2061" s="470">
        <v>663</v>
      </c>
      <c r="J2061" s="470">
        <v>3459</v>
      </c>
      <c r="K2061" s="469">
        <v>1.8</v>
      </c>
    </row>
    <row r="2062" spans="2:11" x14ac:dyDescent="0.35">
      <c r="B2062" s="62">
        <v>12.25</v>
      </c>
      <c r="C2062" s="471">
        <v>2078</v>
      </c>
      <c r="D2062" s="471">
        <v>2065.6</v>
      </c>
      <c r="E2062" s="469">
        <v>54.85</v>
      </c>
      <c r="F2062" s="469">
        <v>10</v>
      </c>
      <c r="G2062" s="469">
        <v>8</v>
      </c>
      <c r="H2062" s="470">
        <v>161</v>
      </c>
      <c r="I2062" s="470">
        <v>714</v>
      </c>
      <c r="J2062" s="470">
        <v>3741</v>
      </c>
      <c r="K2062" s="469">
        <v>1.8</v>
      </c>
    </row>
    <row r="2063" spans="2:11" x14ac:dyDescent="0.35">
      <c r="B2063" s="62">
        <v>12.25</v>
      </c>
      <c r="C2063" s="471">
        <v>2079</v>
      </c>
      <c r="D2063" s="471">
        <v>2066.6</v>
      </c>
      <c r="E2063" s="469">
        <v>40.229999999999997</v>
      </c>
      <c r="F2063" s="469">
        <v>13.5</v>
      </c>
      <c r="G2063" s="469">
        <v>10.9</v>
      </c>
      <c r="H2063" s="470">
        <v>153</v>
      </c>
      <c r="I2063" s="470">
        <v>646</v>
      </c>
      <c r="J2063" s="470">
        <v>3354</v>
      </c>
      <c r="K2063" s="469">
        <v>1.8</v>
      </c>
    </row>
    <row r="2064" spans="2:11" x14ac:dyDescent="0.35">
      <c r="B2064" s="62">
        <v>12.25</v>
      </c>
      <c r="C2064" s="471">
        <v>2080</v>
      </c>
      <c r="D2064" s="471">
        <v>2067.6</v>
      </c>
      <c r="E2064" s="469">
        <v>46.8</v>
      </c>
      <c r="F2064" s="469">
        <v>13.9</v>
      </c>
      <c r="G2064" s="469">
        <v>10.8</v>
      </c>
      <c r="H2064" s="470">
        <v>154</v>
      </c>
      <c r="I2064" s="470">
        <v>660</v>
      </c>
      <c r="J2064" s="470">
        <v>3429</v>
      </c>
      <c r="K2064" s="469">
        <v>1.8</v>
      </c>
    </row>
    <row r="2065" spans="2:11" x14ac:dyDescent="0.35">
      <c r="B2065" s="62">
        <v>12.25</v>
      </c>
      <c r="C2065" s="471">
        <v>2081</v>
      </c>
      <c r="D2065" s="471">
        <v>2068.6</v>
      </c>
      <c r="E2065" s="469">
        <v>49.5</v>
      </c>
      <c r="F2065" s="469">
        <v>14.7</v>
      </c>
      <c r="G2065" s="469">
        <v>10.5</v>
      </c>
      <c r="H2065" s="470">
        <v>157</v>
      </c>
      <c r="I2065" s="470">
        <v>687</v>
      </c>
      <c r="J2065" s="470">
        <v>3767</v>
      </c>
      <c r="K2065" s="469">
        <v>1.8</v>
      </c>
    </row>
    <row r="2066" spans="2:11" x14ac:dyDescent="0.35">
      <c r="B2066" s="62">
        <v>12.25</v>
      </c>
      <c r="C2066" s="471">
        <v>2082</v>
      </c>
      <c r="D2066" s="471">
        <v>2069.6</v>
      </c>
      <c r="E2066" s="469">
        <v>67.5</v>
      </c>
      <c r="F2066" s="469">
        <v>14.3</v>
      </c>
      <c r="G2066" s="469">
        <v>10.199999999999999</v>
      </c>
      <c r="H2066" s="470">
        <v>159</v>
      </c>
      <c r="I2066" s="470">
        <v>702</v>
      </c>
      <c r="J2066" s="470">
        <v>3621</v>
      </c>
      <c r="K2066" s="469">
        <v>1.8</v>
      </c>
    </row>
    <row r="2067" spans="2:11" x14ac:dyDescent="0.35">
      <c r="B2067" s="62">
        <v>12.25</v>
      </c>
      <c r="C2067" s="471">
        <v>2083</v>
      </c>
      <c r="D2067" s="471">
        <v>2070.6</v>
      </c>
      <c r="E2067" s="469">
        <v>71.069999999999993</v>
      </c>
      <c r="F2067" s="469">
        <v>11.4</v>
      </c>
      <c r="G2067" s="469">
        <v>10.199999999999999</v>
      </c>
      <c r="H2067" s="470">
        <v>150</v>
      </c>
      <c r="I2067" s="470">
        <v>618</v>
      </c>
      <c r="J2067" s="470">
        <v>3138</v>
      </c>
      <c r="K2067" s="469">
        <v>1.8</v>
      </c>
    </row>
    <row r="2068" spans="2:11" x14ac:dyDescent="0.35">
      <c r="B2068" s="62">
        <v>12.25</v>
      </c>
      <c r="C2068" s="471">
        <v>2084</v>
      </c>
      <c r="D2068" s="471">
        <v>2071.6</v>
      </c>
      <c r="E2068" s="469">
        <v>43.82</v>
      </c>
      <c r="F2068" s="469">
        <v>12.7</v>
      </c>
      <c r="G2068" s="469">
        <v>9.9</v>
      </c>
      <c r="H2068" s="470">
        <v>159</v>
      </c>
      <c r="I2068" s="470">
        <v>700</v>
      </c>
      <c r="J2068" s="470">
        <v>3696</v>
      </c>
      <c r="K2068" s="469">
        <v>1.8</v>
      </c>
    </row>
    <row r="2069" spans="2:11" x14ac:dyDescent="0.35">
      <c r="B2069" s="62">
        <v>12.25</v>
      </c>
      <c r="C2069" s="471">
        <v>2085</v>
      </c>
      <c r="D2069" s="471">
        <v>2072.6</v>
      </c>
      <c r="E2069" s="469">
        <v>32.340000000000003</v>
      </c>
      <c r="F2069" s="469">
        <v>13.7</v>
      </c>
      <c r="G2069" s="469">
        <v>9.6999999999999993</v>
      </c>
      <c r="H2069" s="470">
        <v>156</v>
      </c>
      <c r="I2069" s="470">
        <v>677</v>
      </c>
      <c r="J2069" s="470">
        <v>3574</v>
      </c>
      <c r="K2069" s="469">
        <v>1.8</v>
      </c>
    </row>
    <row r="2070" spans="2:11" x14ac:dyDescent="0.35">
      <c r="B2070" s="62">
        <v>12.25</v>
      </c>
      <c r="C2070" s="471">
        <v>2086</v>
      </c>
      <c r="D2070" s="471">
        <v>2073.6</v>
      </c>
      <c r="E2070" s="469">
        <v>20.83</v>
      </c>
      <c r="F2070" s="469">
        <v>13.1</v>
      </c>
      <c r="G2070" s="469">
        <v>9</v>
      </c>
      <c r="H2070" s="470">
        <v>161</v>
      </c>
      <c r="I2070" s="470">
        <v>722</v>
      </c>
      <c r="J2070" s="470">
        <v>3791</v>
      </c>
      <c r="K2070" s="469">
        <v>1.8</v>
      </c>
    </row>
    <row r="2071" spans="2:11" x14ac:dyDescent="0.35">
      <c r="B2071" s="62">
        <v>12.25</v>
      </c>
      <c r="C2071" s="471">
        <v>2087</v>
      </c>
      <c r="D2071" s="471">
        <v>2074.5</v>
      </c>
      <c r="E2071" s="469">
        <v>32.130000000000003</v>
      </c>
      <c r="F2071" s="469">
        <v>12</v>
      </c>
      <c r="G2071" s="469">
        <v>8.4</v>
      </c>
      <c r="H2071" s="470">
        <v>162</v>
      </c>
      <c r="I2071" s="470">
        <v>731</v>
      </c>
      <c r="J2071" s="470">
        <v>3783</v>
      </c>
      <c r="K2071" s="469">
        <v>1.8</v>
      </c>
    </row>
    <row r="2072" spans="2:11" x14ac:dyDescent="0.35">
      <c r="B2072" s="62">
        <v>12.25</v>
      </c>
      <c r="C2072" s="471">
        <v>2088</v>
      </c>
      <c r="D2072" s="471">
        <v>2075.6</v>
      </c>
      <c r="E2072" s="469">
        <v>38.15</v>
      </c>
      <c r="F2072" s="469">
        <v>12.5</v>
      </c>
      <c r="G2072" s="469">
        <v>8.3000000000000007</v>
      </c>
      <c r="H2072" s="470">
        <v>161</v>
      </c>
      <c r="I2072" s="470">
        <v>722</v>
      </c>
      <c r="J2072" s="470">
        <v>3740</v>
      </c>
      <c r="K2072" s="469">
        <v>1.8</v>
      </c>
    </row>
    <row r="2073" spans="2:11" x14ac:dyDescent="0.35">
      <c r="B2073" s="62">
        <v>12.25</v>
      </c>
      <c r="C2073" s="471">
        <v>2089</v>
      </c>
      <c r="D2073" s="471">
        <v>2076.5</v>
      </c>
      <c r="E2073" s="469">
        <v>46.78</v>
      </c>
      <c r="F2073" s="469">
        <v>12.5</v>
      </c>
      <c r="G2073" s="469">
        <v>9.9</v>
      </c>
      <c r="H2073" s="470">
        <v>161</v>
      </c>
      <c r="I2073" s="470">
        <v>723</v>
      </c>
      <c r="J2073" s="470">
        <v>3699</v>
      </c>
      <c r="K2073" s="469">
        <v>1.8</v>
      </c>
    </row>
    <row r="2074" spans="2:11" x14ac:dyDescent="0.35">
      <c r="B2074" s="62">
        <v>12.25</v>
      </c>
      <c r="C2074" s="471">
        <v>2090</v>
      </c>
      <c r="D2074" s="471">
        <v>2077.5</v>
      </c>
      <c r="E2074" s="469">
        <v>42.7</v>
      </c>
      <c r="F2074" s="469">
        <v>14.4</v>
      </c>
      <c r="G2074" s="469">
        <v>10.4</v>
      </c>
      <c r="H2074" s="470">
        <v>162</v>
      </c>
      <c r="I2074" s="470">
        <v>725</v>
      </c>
      <c r="J2074" s="470">
        <v>3638</v>
      </c>
      <c r="K2074" s="469">
        <v>1.8</v>
      </c>
    </row>
    <row r="2075" spans="2:11" x14ac:dyDescent="0.35">
      <c r="B2075" s="62">
        <v>12.25</v>
      </c>
      <c r="C2075" s="471">
        <v>2091</v>
      </c>
      <c r="D2075" s="471">
        <v>2078.5</v>
      </c>
      <c r="E2075" s="469">
        <v>29.57</v>
      </c>
      <c r="F2075" s="469">
        <v>10.4</v>
      </c>
      <c r="G2075" s="469">
        <v>9.8000000000000007</v>
      </c>
      <c r="H2075" s="470">
        <v>161</v>
      </c>
      <c r="I2075" s="470">
        <v>729</v>
      </c>
      <c r="J2075" s="470">
        <v>3406</v>
      </c>
      <c r="K2075" s="469">
        <v>1.8</v>
      </c>
    </row>
    <row r="2076" spans="2:11" x14ac:dyDescent="0.35">
      <c r="B2076" s="62">
        <v>12.25</v>
      </c>
      <c r="C2076" s="471">
        <v>2092</v>
      </c>
      <c r="D2076" s="471">
        <v>2079.5</v>
      </c>
      <c r="E2076" s="469">
        <v>55.5</v>
      </c>
      <c r="F2076" s="469">
        <v>13</v>
      </c>
      <c r="G2076" s="469">
        <v>11.2</v>
      </c>
      <c r="H2076" s="470">
        <v>157</v>
      </c>
      <c r="I2076" s="470">
        <v>712</v>
      </c>
      <c r="J2076" s="470">
        <v>3776</v>
      </c>
      <c r="K2076" s="469">
        <v>1.8</v>
      </c>
    </row>
    <row r="2077" spans="2:11" x14ac:dyDescent="0.35">
      <c r="B2077" s="62">
        <v>12.25</v>
      </c>
      <c r="C2077" s="471">
        <v>2093</v>
      </c>
      <c r="D2077" s="471">
        <v>2080.5</v>
      </c>
      <c r="E2077" s="469">
        <v>53.18</v>
      </c>
      <c r="F2077" s="469">
        <v>14.7</v>
      </c>
      <c r="G2077" s="469">
        <v>11.1</v>
      </c>
      <c r="H2077" s="470">
        <v>156</v>
      </c>
      <c r="I2077" s="470">
        <v>709</v>
      </c>
      <c r="J2077" s="470">
        <v>3802</v>
      </c>
      <c r="K2077" s="469">
        <v>1.8</v>
      </c>
    </row>
    <row r="2078" spans="2:11" x14ac:dyDescent="0.35">
      <c r="B2078" s="62">
        <v>12.25</v>
      </c>
      <c r="C2078" s="471">
        <v>2094</v>
      </c>
      <c r="D2078" s="471">
        <v>2081.6</v>
      </c>
      <c r="E2078" s="469">
        <v>55.38</v>
      </c>
      <c r="F2078" s="469">
        <v>14.9</v>
      </c>
      <c r="G2078" s="469">
        <v>10.9</v>
      </c>
      <c r="H2078" s="470">
        <v>157</v>
      </c>
      <c r="I2078" s="470">
        <v>719</v>
      </c>
      <c r="J2078" s="470">
        <v>3802</v>
      </c>
      <c r="K2078" s="469">
        <v>1.8</v>
      </c>
    </row>
    <row r="2079" spans="2:11" x14ac:dyDescent="0.35">
      <c r="B2079" s="62">
        <v>12.25</v>
      </c>
      <c r="C2079" s="471">
        <v>2095</v>
      </c>
      <c r="D2079" s="471">
        <v>2082.5</v>
      </c>
      <c r="E2079" s="469">
        <v>66.58</v>
      </c>
      <c r="F2079" s="469">
        <v>13.7</v>
      </c>
      <c r="G2079" s="469">
        <v>11.6</v>
      </c>
      <c r="H2079" s="470">
        <v>158</v>
      </c>
      <c r="I2079" s="470">
        <v>720</v>
      </c>
      <c r="J2079" s="470">
        <v>3811</v>
      </c>
      <c r="K2079" s="469">
        <v>1.8</v>
      </c>
    </row>
    <row r="2080" spans="2:11" x14ac:dyDescent="0.35">
      <c r="B2080" s="62">
        <v>12.25</v>
      </c>
      <c r="C2080" s="471">
        <v>2096</v>
      </c>
      <c r="D2080" s="471">
        <v>2083.5</v>
      </c>
      <c r="E2080" s="469">
        <v>71.63</v>
      </c>
      <c r="F2080" s="469">
        <v>14.1</v>
      </c>
      <c r="G2080" s="469">
        <v>11.9</v>
      </c>
      <c r="H2080" s="470">
        <v>157</v>
      </c>
      <c r="I2080" s="470">
        <v>717</v>
      </c>
      <c r="J2080" s="470">
        <v>3822</v>
      </c>
      <c r="K2080" s="469">
        <v>1.8</v>
      </c>
    </row>
    <row r="2081" spans="2:11" x14ac:dyDescent="0.35">
      <c r="B2081" s="62">
        <v>12.25</v>
      </c>
      <c r="C2081" s="471">
        <v>2097</v>
      </c>
      <c r="D2081" s="471">
        <v>2084.5</v>
      </c>
      <c r="E2081" s="469">
        <v>70.5</v>
      </c>
      <c r="F2081" s="469">
        <v>13.4</v>
      </c>
      <c r="G2081" s="469">
        <v>10.4</v>
      </c>
      <c r="H2081" s="470">
        <v>158</v>
      </c>
      <c r="I2081" s="470">
        <v>721</v>
      </c>
      <c r="J2081" s="470">
        <v>3791</v>
      </c>
      <c r="K2081" s="469">
        <v>1.8</v>
      </c>
    </row>
    <row r="2082" spans="2:11" x14ac:dyDescent="0.35">
      <c r="B2082" s="62">
        <v>12.25</v>
      </c>
      <c r="C2082" s="471">
        <v>2098</v>
      </c>
      <c r="D2082" s="471">
        <v>2085.5</v>
      </c>
      <c r="E2082" s="469">
        <v>44.02</v>
      </c>
      <c r="F2082" s="469">
        <v>13.1</v>
      </c>
      <c r="G2082" s="469">
        <v>10</v>
      </c>
      <c r="H2082" s="470">
        <v>157</v>
      </c>
      <c r="I2082" s="470">
        <v>720</v>
      </c>
      <c r="J2082" s="470">
        <v>3753</v>
      </c>
      <c r="K2082" s="469">
        <v>1.8</v>
      </c>
    </row>
    <row r="2083" spans="2:11" x14ac:dyDescent="0.35">
      <c r="B2083" s="62">
        <v>12.25</v>
      </c>
      <c r="C2083" s="471">
        <v>2099</v>
      </c>
      <c r="D2083" s="471">
        <v>2086.5</v>
      </c>
      <c r="E2083" s="469">
        <v>65.900000000000006</v>
      </c>
      <c r="F2083" s="469">
        <v>11.1</v>
      </c>
      <c r="G2083" s="469">
        <v>10.8</v>
      </c>
      <c r="H2083" s="470">
        <v>157</v>
      </c>
      <c r="I2083" s="470">
        <v>721</v>
      </c>
      <c r="J2083" s="470">
        <v>3770</v>
      </c>
      <c r="K2083" s="469">
        <v>1.8</v>
      </c>
    </row>
    <row r="2084" spans="2:11" x14ac:dyDescent="0.35">
      <c r="B2084" s="62">
        <v>12.25</v>
      </c>
      <c r="C2084" s="471">
        <v>2100</v>
      </c>
      <c r="D2084" s="471">
        <v>2087.5</v>
      </c>
      <c r="E2084" s="469">
        <v>88.71</v>
      </c>
      <c r="F2084" s="469">
        <v>12.1</v>
      </c>
      <c r="G2084" s="469">
        <v>11</v>
      </c>
      <c r="H2084" s="470">
        <v>157</v>
      </c>
      <c r="I2084" s="470">
        <v>717</v>
      </c>
      <c r="J2084" s="470">
        <v>3809</v>
      </c>
      <c r="K2084" s="469">
        <v>1.8</v>
      </c>
    </row>
    <row r="2085" spans="2:11" x14ac:dyDescent="0.35">
      <c r="B2085" s="62">
        <v>12.25</v>
      </c>
      <c r="C2085" s="471">
        <v>2101</v>
      </c>
      <c r="D2085" s="471">
        <v>2088.5</v>
      </c>
      <c r="E2085" s="469">
        <v>83.75</v>
      </c>
      <c r="F2085" s="469">
        <v>12.9</v>
      </c>
      <c r="G2085" s="469">
        <v>10.9</v>
      </c>
      <c r="H2085" s="470">
        <v>157</v>
      </c>
      <c r="I2085" s="470">
        <v>718</v>
      </c>
      <c r="J2085" s="470">
        <v>3809</v>
      </c>
      <c r="K2085" s="469">
        <v>1.8</v>
      </c>
    </row>
    <row r="2086" spans="2:11" x14ac:dyDescent="0.35">
      <c r="B2086" s="62">
        <v>12.25</v>
      </c>
      <c r="C2086" s="471">
        <v>2102</v>
      </c>
      <c r="D2086" s="471">
        <v>2089.5</v>
      </c>
      <c r="E2086" s="469">
        <v>85.18</v>
      </c>
      <c r="F2086" s="469">
        <v>10.199999999999999</v>
      </c>
      <c r="G2086" s="469">
        <v>9.8000000000000007</v>
      </c>
      <c r="H2086" s="470">
        <v>158</v>
      </c>
      <c r="I2086" s="470">
        <v>719</v>
      </c>
      <c r="J2086" s="470">
        <v>3769</v>
      </c>
      <c r="K2086" s="469">
        <v>1.8</v>
      </c>
    </row>
    <row r="2087" spans="2:11" x14ac:dyDescent="0.35">
      <c r="B2087" s="62">
        <v>12.25</v>
      </c>
      <c r="C2087" s="471">
        <v>2103</v>
      </c>
      <c r="D2087" s="471">
        <v>2090.5</v>
      </c>
      <c r="E2087" s="469">
        <v>6.4</v>
      </c>
      <c r="F2087" s="469">
        <v>8.9</v>
      </c>
      <c r="G2087" s="469">
        <v>9.1999999999999993</v>
      </c>
      <c r="H2087" s="470">
        <v>158</v>
      </c>
      <c r="I2087" s="470">
        <v>725</v>
      </c>
      <c r="J2087" s="470">
        <v>3711</v>
      </c>
      <c r="K2087" s="469">
        <v>1.8</v>
      </c>
    </row>
    <row r="2088" spans="2:11" x14ac:dyDescent="0.35">
      <c r="B2088" s="62">
        <v>12.25</v>
      </c>
      <c r="C2088" s="471">
        <v>2104</v>
      </c>
      <c r="D2088" s="471">
        <v>2091.4</v>
      </c>
      <c r="E2088" s="469">
        <v>20.89</v>
      </c>
      <c r="F2088" s="469">
        <v>10.3</v>
      </c>
      <c r="G2088" s="469">
        <v>8.1</v>
      </c>
      <c r="H2088" s="470">
        <v>158</v>
      </c>
      <c r="I2088" s="470">
        <v>701</v>
      </c>
      <c r="J2088" s="470">
        <v>3569</v>
      </c>
      <c r="K2088" s="469">
        <v>1.8</v>
      </c>
    </row>
    <row r="2089" spans="2:11" x14ac:dyDescent="0.35">
      <c r="B2089" s="62">
        <v>12.25</v>
      </c>
      <c r="C2089" s="471">
        <v>2105</v>
      </c>
      <c r="D2089" s="471">
        <v>2092.4</v>
      </c>
      <c r="E2089" s="469">
        <v>24</v>
      </c>
      <c r="F2089" s="469">
        <v>9.5</v>
      </c>
      <c r="G2089" s="469">
        <v>8.8000000000000007</v>
      </c>
      <c r="H2089" s="470">
        <v>161</v>
      </c>
      <c r="I2089" s="470">
        <v>735</v>
      </c>
      <c r="J2089" s="470">
        <v>3747</v>
      </c>
      <c r="K2089" s="469">
        <v>1.8</v>
      </c>
    </row>
    <row r="2090" spans="2:11" x14ac:dyDescent="0.35">
      <c r="B2090" s="62">
        <v>12.25</v>
      </c>
      <c r="C2090" s="471">
        <v>2106</v>
      </c>
      <c r="D2090" s="471">
        <v>2093.4</v>
      </c>
      <c r="E2090" s="469">
        <v>50.87</v>
      </c>
      <c r="F2090" s="469">
        <v>12.2</v>
      </c>
      <c r="G2090" s="469">
        <v>11</v>
      </c>
      <c r="H2090" s="470">
        <v>162</v>
      </c>
      <c r="I2090" s="470">
        <v>740</v>
      </c>
      <c r="J2090" s="470">
        <v>3865</v>
      </c>
      <c r="K2090" s="469">
        <v>1.8</v>
      </c>
    </row>
    <row r="2091" spans="2:11" x14ac:dyDescent="0.35">
      <c r="B2091" s="62">
        <v>12.25</v>
      </c>
      <c r="C2091" s="471">
        <v>2107</v>
      </c>
      <c r="D2091" s="471">
        <v>2094.3000000000002</v>
      </c>
      <c r="E2091" s="469">
        <v>37.75</v>
      </c>
      <c r="F2091" s="469">
        <v>7.9</v>
      </c>
      <c r="G2091" s="469">
        <v>6.3</v>
      </c>
      <c r="H2091" s="470">
        <v>162</v>
      </c>
      <c r="I2091" s="470">
        <v>738</v>
      </c>
      <c r="J2091" s="470">
        <v>3759</v>
      </c>
      <c r="K2091" s="469">
        <v>1.8</v>
      </c>
    </row>
    <row r="2092" spans="2:11" x14ac:dyDescent="0.35">
      <c r="B2092" s="62">
        <v>12.25</v>
      </c>
      <c r="C2092" s="471">
        <v>2108</v>
      </c>
      <c r="D2092" s="471">
        <v>2095.4</v>
      </c>
      <c r="E2092" s="469">
        <v>27.72</v>
      </c>
      <c r="F2092" s="469">
        <v>10.4</v>
      </c>
      <c r="G2092" s="469">
        <v>7.8</v>
      </c>
      <c r="H2092" s="470">
        <v>161</v>
      </c>
      <c r="I2092" s="470">
        <v>737</v>
      </c>
      <c r="J2092" s="470">
        <v>3794</v>
      </c>
      <c r="K2092" s="469">
        <v>1.8</v>
      </c>
    </row>
    <row r="2093" spans="2:11" x14ac:dyDescent="0.35">
      <c r="B2093" s="62">
        <v>12.25</v>
      </c>
      <c r="C2093" s="471">
        <v>2109</v>
      </c>
      <c r="D2093" s="471">
        <v>2096.3000000000002</v>
      </c>
      <c r="E2093" s="469">
        <v>35.770000000000003</v>
      </c>
      <c r="F2093" s="469">
        <v>7.2</v>
      </c>
      <c r="G2093" s="469">
        <v>5.5</v>
      </c>
      <c r="H2093" s="470">
        <v>161</v>
      </c>
      <c r="I2093" s="470">
        <v>732</v>
      </c>
      <c r="J2093" s="470">
        <v>3714</v>
      </c>
      <c r="K2093" s="469">
        <v>1.8</v>
      </c>
    </row>
    <row r="2094" spans="2:11" x14ac:dyDescent="0.35">
      <c r="B2094" s="62">
        <v>12.25</v>
      </c>
      <c r="C2094" s="471">
        <v>2110</v>
      </c>
      <c r="D2094" s="471">
        <v>2097.3000000000002</v>
      </c>
      <c r="E2094" s="469">
        <v>65</v>
      </c>
      <c r="F2094" s="469">
        <v>10.7</v>
      </c>
      <c r="G2094" s="469">
        <v>9</v>
      </c>
      <c r="H2094" s="470">
        <v>161</v>
      </c>
      <c r="I2094" s="470">
        <v>731</v>
      </c>
      <c r="J2094" s="470">
        <v>3813</v>
      </c>
      <c r="K2094" s="469">
        <v>1.8</v>
      </c>
    </row>
    <row r="2095" spans="2:11" x14ac:dyDescent="0.35">
      <c r="B2095" s="62">
        <v>12.25</v>
      </c>
      <c r="C2095" s="471">
        <v>2111</v>
      </c>
      <c r="D2095" s="471">
        <v>2098.3000000000002</v>
      </c>
      <c r="E2095" s="469">
        <v>87.75</v>
      </c>
      <c r="F2095" s="469">
        <v>13.5</v>
      </c>
      <c r="G2095" s="469">
        <v>10</v>
      </c>
      <c r="H2095" s="470">
        <v>161</v>
      </c>
      <c r="I2095" s="470">
        <v>731</v>
      </c>
      <c r="J2095" s="470">
        <v>3863</v>
      </c>
      <c r="K2095" s="469">
        <v>1.8</v>
      </c>
    </row>
    <row r="2096" spans="2:11" x14ac:dyDescent="0.35">
      <c r="B2096" s="62">
        <v>12.25</v>
      </c>
      <c r="C2096" s="471">
        <v>2112</v>
      </c>
      <c r="D2096" s="471">
        <v>2099.3000000000002</v>
      </c>
      <c r="E2096" s="469">
        <v>86.95</v>
      </c>
      <c r="F2096" s="469">
        <v>12.8</v>
      </c>
      <c r="G2096" s="469">
        <v>9.1</v>
      </c>
      <c r="H2096" s="470">
        <v>161</v>
      </c>
      <c r="I2096" s="470">
        <v>731</v>
      </c>
      <c r="J2096" s="470">
        <v>3825</v>
      </c>
      <c r="K2096" s="469">
        <v>1.8</v>
      </c>
    </row>
    <row r="2097" spans="2:11" x14ac:dyDescent="0.35">
      <c r="B2097" s="62">
        <v>12.25</v>
      </c>
      <c r="C2097" s="471">
        <v>2113</v>
      </c>
      <c r="D2097" s="471">
        <v>2100.3000000000002</v>
      </c>
      <c r="E2097" s="469">
        <v>44.28</v>
      </c>
      <c r="F2097" s="469">
        <v>11.8</v>
      </c>
      <c r="G2097" s="469">
        <v>9.4</v>
      </c>
      <c r="H2097" s="470">
        <v>161</v>
      </c>
      <c r="I2097" s="470">
        <v>733</v>
      </c>
      <c r="J2097" s="470">
        <v>3833</v>
      </c>
      <c r="K2097" s="469">
        <v>1.8</v>
      </c>
    </row>
    <row r="2098" spans="2:11" x14ac:dyDescent="0.35">
      <c r="B2098" s="62">
        <v>12.25</v>
      </c>
      <c r="C2098" s="471">
        <v>2114</v>
      </c>
      <c r="D2098" s="471">
        <v>2101.3000000000002</v>
      </c>
      <c r="E2098" s="469">
        <v>14.22</v>
      </c>
      <c r="F2098" s="469">
        <v>15.2</v>
      </c>
      <c r="G2098" s="469">
        <v>8.3000000000000007</v>
      </c>
      <c r="H2098" s="470">
        <v>161</v>
      </c>
      <c r="I2098" s="470">
        <v>731</v>
      </c>
      <c r="J2098" s="470">
        <v>3797</v>
      </c>
      <c r="K2098" s="469">
        <v>1.8</v>
      </c>
    </row>
    <row r="2099" spans="2:11" x14ac:dyDescent="0.35">
      <c r="B2099" s="62">
        <v>12.25</v>
      </c>
      <c r="C2099" s="471">
        <v>2115</v>
      </c>
      <c r="D2099" s="471">
        <v>2102.3000000000002</v>
      </c>
      <c r="E2099" s="469">
        <v>73.97</v>
      </c>
      <c r="F2099" s="469">
        <v>11.2</v>
      </c>
      <c r="G2099" s="469">
        <v>10.3</v>
      </c>
      <c r="H2099" s="470">
        <v>161</v>
      </c>
      <c r="I2099" s="470">
        <v>732</v>
      </c>
      <c r="J2099" s="470">
        <v>3857</v>
      </c>
      <c r="K2099" s="469">
        <v>1.8</v>
      </c>
    </row>
    <row r="2100" spans="2:11" x14ac:dyDescent="0.35">
      <c r="B2100" s="62">
        <v>12.25</v>
      </c>
      <c r="C2100" s="471">
        <v>2116</v>
      </c>
      <c r="D2100" s="471">
        <v>2103.3000000000002</v>
      </c>
      <c r="E2100" s="469">
        <v>94.87</v>
      </c>
      <c r="F2100" s="469">
        <v>13</v>
      </c>
      <c r="G2100" s="469">
        <v>11.6</v>
      </c>
      <c r="H2100" s="470">
        <v>161</v>
      </c>
      <c r="I2100" s="470">
        <v>731</v>
      </c>
      <c r="J2100" s="470">
        <v>3906</v>
      </c>
      <c r="K2100" s="469">
        <v>1.8</v>
      </c>
    </row>
    <row r="2101" spans="2:11" x14ac:dyDescent="0.35">
      <c r="B2101" s="62">
        <v>12.25</v>
      </c>
      <c r="C2101" s="471">
        <v>2117</v>
      </c>
      <c r="D2101" s="471">
        <v>2104.3000000000002</v>
      </c>
      <c r="E2101" s="469">
        <v>94.92</v>
      </c>
      <c r="F2101" s="469">
        <v>14.8</v>
      </c>
      <c r="G2101" s="469">
        <v>12</v>
      </c>
      <c r="H2101" s="470">
        <v>160</v>
      </c>
      <c r="I2101" s="470">
        <v>727</v>
      </c>
      <c r="J2101" s="470">
        <v>3957</v>
      </c>
      <c r="K2101" s="469">
        <v>1.8</v>
      </c>
    </row>
    <row r="2102" spans="2:11" x14ac:dyDescent="0.35">
      <c r="B2102" s="62">
        <v>12.25</v>
      </c>
      <c r="C2102" s="471">
        <v>2118</v>
      </c>
      <c r="D2102" s="471">
        <v>2105.3000000000002</v>
      </c>
      <c r="E2102" s="469">
        <v>77.209999999999994</v>
      </c>
      <c r="F2102" s="469">
        <v>11.6</v>
      </c>
      <c r="G2102" s="469">
        <v>9.5</v>
      </c>
      <c r="H2102" s="470">
        <v>161</v>
      </c>
      <c r="I2102" s="470">
        <v>730</v>
      </c>
      <c r="J2102" s="470">
        <v>3885</v>
      </c>
      <c r="K2102" s="469">
        <v>1.8</v>
      </c>
    </row>
    <row r="2103" spans="2:11" x14ac:dyDescent="0.35">
      <c r="B2103" s="62">
        <v>12.25</v>
      </c>
      <c r="C2103" s="471">
        <v>2119</v>
      </c>
      <c r="D2103" s="471">
        <v>2106.3000000000002</v>
      </c>
      <c r="E2103" s="469">
        <v>80.849999999999994</v>
      </c>
      <c r="F2103" s="469">
        <v>12.6</v>
      </c>
      <c r="G2103" s="469">
        <v>10.5</v>
      </c>
      <c r="H2103" s="470">
        <v>161</v>
      </c>
      <c r="I2103" s="470">
        <v>730</v>
      </c>
      <c r="J2103" s="470">
        <v>3919</v>
      </c>
      <c r="K2103" s="469">
        <v>1.8</v>
      </c>
    </row>
    <row r="2104" spans="2:11" x14ac:dyDescent="0.35">
      <c r="B2104" s="62">
        <v>12.25</v>
      </c>
      <c r="C2104" s="471">
        <v>2120</v>
      </c>
      <c r="D2104" s="471">
        <v>2107.1999999999998</v>
      </c>
      <c r="E2104" s="469">
        <v>83.24</v>
      </c>
      <c r="F2104" s="469">
        <v>12.2</v>
      </c>
      <c r="G2104" s="469">
        <v>10</v>
      </c>
      <c r="H2104" s="470">
        <v>161</v>
      </c>
      <c r="I2104" s="470">
        <v>732</v>
      </c>
      <c r="J2104" s="470">
        <v>3882</v>
      </c>
      <c r="K2104" s="469">
        <v>1.8</v>
      </c>
    </row>
    <row r="2105" spans="2:11" x14ac:dyDescent="0.35">
      <c r="B2105" s="62">
        <v>12.25</v>
      </c>
      <c r="C2105" s="471">
        <v>2121</v>
      </c>
      <c r="D2105" s="471">
        <v>2108.3000000000002</v>
      </c>
      <c r="E2105" s="469">
        <v>81.510000000000005</v>
      </c>
      <c r="F2105" s="469">
        <v>12.2</v>
      </c>
      <c r="G2105" s="469">
        <v>12.1</v>
      </c>
      <c r="H2105" s="470">
        <v>160</v>
      </c>
      <c r="I2105" s="470">
        <v>730</v>
      </c>
      <c r="J2105" s="470">
        <v>3906</v>
      </c>
      <c r="K2105" s="469">
        <v>1.8</v>
      </c>
    </row>
    <row r="2106" spans="2:11" x14ac:dyDescent="0.35">
      <c r="B2106" s="62">
        <v>12.25</v>
      </c>
      <c r="C2106" s="471">
        <v>2122</v>
      </c>
      <c r="D2106" s="471">
        <v>2109.1999999999998</v>
      </c>
      <c r="E2106" s="469">
        <v>51.21</v>
      </c>
      <c r="F2106" s="469">
        <v>12.2</v>
      </c>
      <c r="G2106" s="469">
        <v>10.8</v>
      </c>
      <c r="H2106" s="470">
        <v>161</v>
      </c>
      <c r="I2106" s="470">
        <v>731</v>
      </c>
      <c r="J2106" s="470">
        <v>3879</v>
      </c>
      <c r="K2106" s="469">
        <v>1.8</v>
      </c>
    </row>
    <row r="2107" spans="2:11" x14ac:dyDescent="0.35">
      <c r="B2107" s="62">
        <v>12.25</v>
      </c>
      <c r="C2107" s="471">
        <v>2123</v>
      </c>
      <c r="D2107" s="471">
        <v>2110.3000000000002</v>
      </c>
      <c r="E2107" s="469">
        <v>105.48</v>
      </c>
      <c r="F2107" s="469">
        <v>12.5</v>
      </c>
      <c r="G2107" s="469">
        <v>10.6</v>
      </c>
      <c r="H2107" s="470">
        <v>161</v>
      </c>
      <c r="I2107" s="470">
        <v>731</v>
      </c>
      <c r="J2107" s="470">
        <v>3861</v>
      </c>
      <c r="K2107" s="469">
        <v>1.8</v>
      </c>
    </row>
    <row r="2108" spans="2:11" x14ac:dyDescent="0.35">
      <c r="B2108" s="62">
        <v>12.25</v>
      </c>
      <c r="C2108" s="471">
        <v>2124</v>
      </c>
      <c r="D2108" s="471">
        <v>2111.3000000000002</v>
      </c>
      <c r="E2108" s="469">
        <v>77.09</v>
      </c>
      <c r="F2108" s="469">
        <v>14</v>
      </c>
      <c r="G2108" s="469">
        <v>11.3</v>
      </c>
      <c r="H2108" s="470">
        <v>161</v>
      </c>
      <c r="I2108" s="470">
        <v>730</v>
      </c>
      <c r="J2108" s="470">
        <v>3917</v>
      </c>
      <c r="K2108" s="469">
        <v>1.8</v>
      </c>
    </row>
    <row r="2109" spans="2:11" x14ac:dyDescent="0.35">
      <c r="B2109" s="62">
        <v>12.25</v>
      </c>
      <c r="C2109" s="471">
        <v>2125</v>
      </c>
      <c r="D2109" s="471">
        <v>2112.1999999999998</v>
      </c>
      <c r="E2109" s="469">
        <v>31.22</v>
      </c>
      <c r="F2109" s="469">
        <v>13.3</v>
      </c>
      <c r="G2109" s="469">
        <v>9</v>
      </c>
      <c r="H2109" s="470">
        <v>161</v>
      </c>
      <c r="I2109" s="470">
        <v>731</v>
      </c>
      <c r="J2109" s="470">
        <v>3821</v>
      </c>
      <c r="K2109" s="469">
        <v>1.8</v>
      </c>
    </row>
    <row r="2110" spans="2:11" x14ac:dyDescent="0.35">
      <c r="B2110" s="62">
        <v>12.25</v>
      </c>
      <c r="C2110" s="471">
        <v>2126</v>
      </c>
      <c r="D2110" s="471">
        <v>2113.3000000000002</v>
      </c>
      <c r="E2110" s="469">
        <v>21.9</v>
      </c>
      <c r="F2110" s="469">
        <v>13.8</v>
      </c>
      <c r="G2110" s="469">
        <v>8.6999999999999993</v>
      </c>
      <c r="H2110" s="470">
        <v>161</v>
      </c>
      <c r="I2110" s="470">
        <v>730</v>
      </c>
      <c r="J2110" s="470">
        <v>3773</v>
      </c>
      <c r="K2110" s="469">
        <v>1.8</v>
      </c>
    </row>
    <row r="2111" spans="2:11" x14ac:dyDescent="0.35">
      <c r="B2111" s="62">
        <v>12.25</v>
      </c>
      <c r="C2111" s="471">
        <v>2127</v>
      </c>
      <c r="D2111" s="471">
        <v>2114.1999999999998</v>
      </c>
      <c r="E2111" s="469">
        <v>46.53</v>
      </c>
      <c r="F2111" s="469">
        <v>14</v>
      </c>
      <c r="G2111" s="469">
        <v>10.8</v>
      </c>
      <c r="H2111" s="470">
        <v>161</v>
      </c>
      <c r="I2111" s="470">
        <v>731</v>
      </c>
      <c r="J2111" s="470">
        <v>3854</v>
      </c>
      <c r="K2111" s="469">
        <v>1.8</v>
      </c>
    </row>
    <row r="2112" spans="2:11" x14ac:dyDescent="0.35">
      <c r="B2112" s="62">
        <v>12.25</v>
      </c>
      <c r="C2112" s="471">
        <v>2128</v>
      </c>
      <c r="D2112" s="471">
        <v>2115.1999999999998</v>
      </c>
      <c r="E2112" s="469">
        <v>102.8</v>
      </c>
      <c r="F2112" s="469">
        <v>14.4</v>
      </c>
      <c r="G2112" s="469">
        <v>12.1</v>
      </c>
      <c r="H2112" s="470">
        <v>161</v>
      </c>
      <c r="I2112" s="470">
        <v>730</v>
      </c>
      <c r="J2112" s="470">
        <v>3914</v>
      </c>
      <c r="K2112" s="469">
        <v>1.8</v>
      </c>
    </row>
    <row r="2113" spans="2:11" x14ac:dyDescent="0.35">
      <c r="B2113" s="62">
        <v>12.25</v>
      </c>
      <c r="C2113" s="471">
        <v>2129</v>
      </c>
      <c r="D2113" s="471">
        <v>2116.1999999999998</v>
      </c>
      <c r="E2113" s="469">
        <v>49.13</v>
      </c>
      <c r="F2113" s="469">
        <v>13.6</v>
      </c>
      <c r="G2113" s="469">
        <v>10.5</v>
      </c>
      <c r="H2113" s="470">
        <v>161</v>
      </c>
      <c r="I2113" s="470">
        <v>729</v>
      </c>
      <c r="J2113" s="470">
        <v>3865</v>
      </c>
      <c r="K2113" s="469">
        <v>1.8</v>
      </c>
    </row>
    <row r="2114" spans="2:11" x14ac:dyDescent="0.35">
      <c r="B2114" s="62">
        <v>12.25</v>
      </c>
      <c r="C2114" s="471">
        <v>2130</v>
      </c>
      <c r="D2114" s="471">
        <v>2117.1999999999998</v>
      </c>
      <c r="E2114" s="469">
        <v>35.479999999999997</v>
      </c>
      <c r="F2114" s="469">
        <v>12</v>
      </c>
      <c r="G2114" s="469">
        <v>8.6</v>
      </c>
      <c r="H2114" s="470">
        <v>161</v>
      </c>
      <c r="I2114" s="470">
        <v>731</v>
      </c>
      <c r="J2114" s="470">
        <v>3774</v>
      </c>
      <c r="K2114" s="469">
        <v>1.8</v>
      </c>
    </row>
    <row r="2115" spans="2:11" x14ac:dyDescent="0.35">
      <c r="B2115" s="62">
        <v>12.25</v>
      </c>
      <c r="C2115" s="471">
        <v>2131</v>
      </c>
      <c r="D2115" s="471">
        <v>2118.1799999999998</v>
      </c>
      <c r="E2115" s="469">
        <v>62.68</v>
      </c>
      <c r="F2115" s="469">
        <v>8.8000000000000007</v>
      </c>
      <c r="G2115" s="469">
        <v>8.5</v>
      </c>
      <c r="H2115" s="470">
        <v>161</v>
      </c>
      <c r="I2115" s="470">
        <v>732</v>
      </c>
      <c r="J2115" s="470">
        <v>3770</v>
      </c>
      <c r="K2115" s="469">
        <v>1.8</v>
      </c>
    </row>
    <row r="2116" spans="2:11" x14ac:dyDescent="0.35">
      <c r="B2116" s="62">
        <v>12.25</v>
      </c>
      <c r="C2116" s="471">
        <v>2132</v>
      </c>
      <c r="D2116" s="471">
        <v>2119.1999999999998</v>
      </c>
      <c r="E2116" s="469">
        <v>13.42</v>
      </c>
      <c r="F2116" s="469">
        <v>5.7</v>
      </c>
      <c r="G2116" s="469">
        <v>5.2</v>
      </c>
      <c r="H2116" s="470">
        <v>156</v>
      </c>
      <c r="I2116" s="470">
        <v>733</v>
      </c>
      <c r="J2116" s="470">
        <v>3677</v>
      </c>
      <c r="K2116" s="469">
        <v>1.8</v>
      </c>
    </row>
    <row r="2117" spans="2:11" x14ac:dyDescent="0.35">
      <c r="B2117" s="62">
        <v>12.25</v>
      </c>
      <c r="C2117" s="471">
        <v>2133</v>
      </c>
      <c r="D2117" s="471">
        <v>2120.17</v>
      </c>
      <c r="E2117" s="469">
        <v>31.13</v>
      </c>
      <c r="F2117" s="469">
        <v>4.5</v>
      </c>
      <c r="G2117" s="469">
        <v>5.7</v>
      </c>
      <c r="H2117" s="470">
        <v>154</v>
      </c>
      <c r="I2117" s="470">
        <v>717</v>
      </c>
      <c r="J2117" s="470">
        <v>3674</v>
      </c>
      <c r="K2117" s="469">
        <v>1.8</v>
      </c>
    </row>
    <row r="2118" spans="2:11" x14ac:dyDescent="0.35">
      <c r="B2118" s="62">
        <v>12.25</v>
      </c>
      <c r="C2118" s="471">
        <v>2134</v>
      </c>
      <c r="D2118" s="471">
        <v>2121.1999999999998</v>
      </c>
      <c r="E2118" s="469">
        <v>71.17</v>
      </c>
      <c r="F2118" s="469">
        <v>8.1</v>
      </c>
      <c r="G2118" s="469">
        <v>9.9</v>
      </c>
      <c r="H2118" s="470">
        <v>159</v>
      </c>
      <c r="I2118" s="470">
        <v>717</v>
      </c>
      <c r="J2118" s="470">
        <v>3794</v>
      </c>
      <c r="K2118" s="469">
        <v>1.8</v>
      </c>
    </row>
    <row r="2119" spans="2:11" x14ac:dyDescent="0.35">
      <c r="B2119" s="62">
        <v>12.25</v>
      </c>
      <c r="C2119" s="471">
        <v>2135</v>
      </c>
      <c r="D2119" s="471">
        <v>2122.14</v>
      </c>
      <c r="E2119" s="469">
        <v>55.67</v>
      </c>
      <c r="F2119" s="469">
        <v>10.7</v>
      </c>
      <c r="G2119" s="469">
        <v>10.199999999999999</v>
      </c>
      <c r="H2119" s="470">
        <v>159</v>
      </c>
      <c r="I2119" s="470">
        <v>715</v>
      </c>
      <c r="J2119" s="470">
        <v>3824</v>
      </c>
      <c r="K2119" s="469">
        <v>1.8</v>
      </c>
    </row>
    <row r="2120" spans="2:11" x14ac:dyDescent="0.35">
      <c r="B2120" s="62">
        <v>12.25</v>
      </c>
      <c r="C2120" s="471">
        <v>2136</v>
      </c>
      <c r="D2120" s="471">
        <v>2123.16</v>
      </c>
      <c r="E2120" s="469">
        <v>77.28</v>
      </c>
      <c r="F2120" s="469">
        <v>11.3</v>
      </c>
      <c r="G2120" s="469">
        <v>11.3</v>
      </c>
      <c r="H2120" s="470">
        <v>159</v>
      </c>
      <c r="I2120" s="470">
        <v>716</v>
      </c>
      <c r="J2120" s="470">
        <v>3856</v>
      </c>
      <c r="K2120" s="469">
        <v>1.8</v>
      </c>
    </row>
    <row r="2121" spans="2:11" x14ac:dyDescent="0.35">
      <c r="B2121" s="62">
        <v>12.25</v>
      </c>
      <c r="C2121" s="471">
        <v>2137</v>
      </c>
      <c r="D2121" s="471">
        <v>2124.1799999999998</v>
      </c>
      <c r="E2121" s="469">
        <v>74.680000000000007</v>
      </c>
      <c r="F2121" s="469">
        <v>12.2</v>
      </c>
      <c r="G2121" s="469">
        <v>11.3</v>
      </c>
      <c r="H2121" s="470">
        <v>159</v>
      </c>
      <c r="I2121" s="470">
        <v>716</v>
      </c>
      <c r="J2121" s="470">
        <v>3866</v>
      </c>
      <c r="K2121" s="469">
        <v>1.8</v>
      </c>
    </row>
    <row r="2122" spans="2:11" x14ac:dyDescent="0.35">
      <c r="B2122" s="62">
        <v>12.25</v>
      </c>
      <c r="C2122" s="471">
        <v>2138</v>
      </c>
      <c r="D2122" s="471">
        <v>2125.15</v>
      </c>
      <c r="E2122" s="469">
        <v>89.93</v>
      </c>
      <c r="F2122" s="469">
        <v>11.9</v>
      </c>
      <c r="G2122" s="469">
        <v>11.2</v>
      </c>
      <c r="H2122" s="470">
        <v>159</v>
      </c>
      <c r="I2122" s="470">
        <v>715</v>
      </c>
      <c r="J2122" s="470">
        <v>3853</v>
      </c>
      <c r="K2122" s="469">
        <v>1.8</v>
      </c>
    </row>
    <row r="2123" spans="2:11" x14ac:dyDescent="0.35">
      <c r="B2123" s="62">
        <v>12.25</v>
      </c>
      <c r="C2123" s="471">
        <v>2139</v>
      </c>
      <c r="D2123" s="471">
        <v>2126.14</v>
      </c>
      <c r="E2123" s="469">
        <v>77.19</v>
      </c>
      <c r="F2123" s="469">
        <v>13.3</v>
      </c>
      <c r="G2123" s="469">
        <v>12.2</v>
      </c>
      <c r="H2123" s="470">
        <v>159</v>
      </c>
      <c r="I2123" s="470">
        <v>714</v>
      </c>
      <c r="J2123" s="470">
        <v>3847</v>
      </c>
      <c r="K2123" s="469">
        <v>1.8</v>
      </c>
    </row>
    <row r="2124" spans="2:11" x14ac:dyDescent="0.35">
      <c r="B2124" s="62">
        <v>12.25</v>
      </c>
      <c r="C2124" s="471">
        <v>2140</v>
      </c>
      <c r="D2124" s="471">
        <v>2127.16</v>
      </c>
      <c r="E2124" s="469">
        <v>37.729999999999997</v>
      </c>
      <c r="F2124" s="469">
        <v>8.6</v>
      </c>
      <c r="G2124" s="469">
        <v>8.1999999999999993</v>
      </c>
      <c r="H2124" s="470">
        <v>159</v>
      </c>
      <c r="I2124" s="470">
        <v>719</v>
      </c>
      <c r="J2124" s="470">
        <v>3733</v>
      </c>
      <c r="K2124" s="469">
        <v>1.8</v>
      </c>
    </row>
    <row r="2125" spans="2:11" x14ac:dyDescent="0.35">
      <c r="B2125" s="62">
        <v>12.25</v>
      </c>
      <c r="C2125" s="471">
        <v>2141</v>
      </c>
      <c r="D2125" s="471">
        <v>2128.12</v>
      </c>
      <c r="E2125" s="469">
        <v>51.82</v>
      </c>
      <c r="F2125" s="469">
        <v>7.1</v>
      </c>
      <c r="G2125" s="469">
        <v>7.8</v>
      </c>
      <c r="H2125" s="470">
        <v>159</v>
      </c>
      <c r="I2125" s="470">
        <v>719</v>
      </c>
      <c r="J2125" s="470">
        <v>3691</v>
      </c>
      <c r="K2125" s="469">
        <v>1.8</v>
      </c>
    </row>
    <row r="2126" spans="2:11" x14ac:dyDescent="0.35">
      <c r="B2126" s="62">
        <v>12.25</v>
      </c>
      <c r="C2126" s="471">
        <v>2142</v>
      </c>
      <c r="D2126" s="471">
        <v>2129.11</v>
      </c>
      <c r="E2126" s="469">
        <v>56.29</v>
      </c>
      <c r="F2126" s="469">
        <v>13.2</v>
      </c>
      <c r="G2126" s="469">
        <v>12</v>
      </c>
      <c r="H2126" s="470">
        <v>159</v>
      </c>
      <c r="I2126" s="470">
        <v>717</v>
      </c>
      <c r="J2126" s="470">
        <v>3823</v>
      </c>
      <c r="K2126" s="469">
        <v>1.8</v>
      </c>
    </row>
    <row r="2127" spans="2:11" x14ac:dyDescent="0.35">
      <c r="B2127" s="62">
        <v>12.25</v>
      </c>
      <c r="C2127" s="471">
        <v>2143</v>
      </c>
      <c r="D2127" s="471">
        <v>2130.1</v>
      </c>
      <c r="E2127" s="469">
        <v>43.21</v>
      </c>
      <c r="F2127" s="469">
        <v>15.1</v>
      </c>
      <c r="G2127" s="469">
        <v>10.9</v>
      </c>
      <c r="H2127" s="470">
        <v>159</v>
      </c>
      <c r="I2127" s="470">
        <v>715</v>
      </c>
      <c r="J2127" s="470">
        <v>3821</v>
      </c>
      <c r="K2127" s="469">
        <v>1.8</v>
      </c>
    </row>
    <row r="2128" spans="2:11" x14ac:dyDescent="0.35">
      <c r="B2128" s="62">
        <v>12.25</v>
      </c>
      <c r="C2128" s="471">
        <v>2144</v>
      </c>
      <c r="D2128" s="471">
        <v>2131.1</v>
      </c>
      <c r="E2128" s="469">
        <v>66.09</v>
      </c>
      <c r="F2128" s="469">
        <v>14.9</v>
      </c>
      <c r="G2128" s="469">
        <v>12.3</v>
      </c>
      <c r="H2128" s="470">
        <v>158</v>
      </c>
      <c r="I2128" s="470">
        <v>719</v>
      </c>
      <c r="J2128" s="470">
        <v>3853</v>
      </c>
      <c r="K2128" s="469">
        <v>1.8</v>
      </c>
    </row>
    <row r="2129" spans="2:11" x14ac:dyDescent="0.35">
      <c r="B2129" s="62">
        <v>12.25</v>
      </c>
      <c r="C2129" s="471">
        <v>2145</v>
      </c>
      <c r="D2129" s="471">
        <v>2132.14</v>
      </c>
      <c r="E2129" s="469">
        <v>59.14</v>
      </c>
      <c r="F2129" s="469">
        <v>14.2</v>
      </c>
      <c r="G2129" s="469">
        <v>11.9</v>
      </c>
      <c r="H2129" s="470">
        <v>159</v>
      </c>
      <c r="I2129" s="470">
        <v>716</v>
      </c>
      <c r="J2129" s="470">
        <v>3824</v>
      </c>
      <c r="K2129" s="469">
        <v>1.8</v>
      </c>
    </row>
    <row r="2130" spans="2:11" x14ac:dyDescent="0.35">
      <c r="B2130" s="62">
        <v>12.25</v>
      </c>
      <c r="C2130" s="471">
        <v>2146</v>
      </c>
      <c r="D2130" s="471">
        <v>2133.0700000000002</v>
      </c>
      <c r="E2130" s="469">
        <v>67.150000000000006</v>
      </c>
      <c r="F2130" s="469">
        <v>13.3</v>
      </c>
      <c r="G2130" s="469">
        <v>12.6</v>
      </c>
      <c r="H2130" s="470">
        <v>156</v>
      </c>
      <c r="I2130" s="470">
        <v>718</v>
      </c>
      <c r="J2130" s="470">
        <v>3796</v>
      </c>
      <c r="K2130" s="469">
        <v>1.8</v>
      </c>
    </row>
    <row r="2131" spans="2:11" x14ac:dyDescent="0.35">
      <c r="B2131" s="62">
        <v>12.25</v>
      </c>
      <c r="C2131" s="471">
        <v>2147</v>
      </c>
      <c r="D2131" s="471">
        <v>2134.11</v>
      </c>
      <c r="E2131" s="469">
        <v>69.44</v>
      </c>
      <c r="F2131" s="469">
        <v>14.5</v>
      </c>
      <c r="G2131" s="469">
        <v>13.3</v>
      </c>
      <c r="H2131" s="470">
        <v>159</v>
      </c>
      <c r="I2131" s="470">
        <v>717</v>
      </c>
      <c r="J2131" s="470">
        <v>3810</v>
      </c>
      <c r="K2131" s="469">
        <v>1.8</v>
      </c>
    </row>
    <row r="2132" spans="2:11" x14ac:dyDescent="0.35">
      <c r="B2132" s="62">
        <v>12.25</v>
      </c>
      <c r="C2132" s="471">
        <v>2148</v>
      </c>
      <c r="D2132" s="471">
        <v>2135.11</v>
      </c>
      <c r="E2132" s="469">
        <v>60.81</v>
      </c>
      <c r="F2132" s="469">
        <v>13.5</v>
      </c>
      <c r="G2132" s="469">
        <v>10.4</v>
      </c>
      <c r="H2132" s="470">
        <v>159</v>
      </c>
      <c r="I2132" s="470">
        <v>722</v>
      </c>
      <c r="J2132" s="470">
        <v>3737</v>
      </c>
      <c r="K2132" s="469">
        <v>1.8</v>
      </c>
    </row>
    <row r="2133" spans="2:11" x14ac:dyDescent="0.35">
      <c r="B2133" s="62">
        <v>12.25</v>
      </c>
      <c r="C2133" s="471">
        <v>2149</v>
      </c>
      <c r="D2133" s="471">
        <v>2136.06</v>
      </c>
      <c r="E2133" s="469">
        <v>58.11</v>
      </c>
      <c r="F2133" s="469">
        <v>14.3</v>
      </c>
      <c r="G2133" s="469">
        <v>12.7</v>
      </c>
      <c r="H2133" s="470">
        <v>159</v>
      </c>
      <c r="I2133" s="470">
        <v>719</v>
      </c>
      <c r="J2133" s="470">
        <v>3775</v>
      </c>
      <c r="K2133" s="469">
        <v>1.8</v>
      </c>
    </row>
    <row r="2134" spans="2:11" x14ac:dyDescent="0.35">
      <c r="B2134" s="62">
        <v>12.25</v>
      </c>
      <c r="C2134" s="471">
        <v>2150</v>
      </c>
      <c r="D2134" s="471">
        <v>2137.0500000000002</v>
      </c>
      <c r="E2134" s="469">
        <v>54.42</v>
      </c>
      <c r="F2134" s="469">
        <v>14.1</v>
      </c>
      <c r="G2134" s="469">
        <v>11.1</v>
      </c>
      <c r="H2134" s="470">
        <v>158</v>
      </c>
      <c r="I2134" s="470">
        <v>722</v>
      </c>
      <c r="J2134" s="470">
        <v>3748</v>
      </c>
      <c r="K2134" s="469">
        <v>1.8</v>
      </c>
    </row>
    <row r="2135" spans="2:11" x14ac:dyDescent="0.35">
      <c r="B2135" s="62">
        <v>12.25</v>
      </c>
      <c r="C2135" s="471">
        <v>2151</v>
      </c>
      <c r="D2135" s="471">
        <v>2138.0500000000002</v>
      </c>
      <c r="E2135" s="469">
        <v>28.77</v>
      </c>
      <c r="F2135" s="469">
        <v>14.7</v>
      </c>
      <c r="G2135" s="469">
        <v>9.1</v>
      </c>
      <c r="H2135" s="470">
        <v>160</v>
      </c>
      <c r="I2135" s="470">
        <v>723</v>
      </c>
      <c r="J2135" s="470">
        <v>3702</v>
      </c>
      <c r="K2135" s="469">
        <v>1.8</v>
      </c>
    </row>
    <row r="2136" spans="2:11" x14ac:dyDescent="0.35">
      <c r="B2136" s="62">
        <v>12.25</v>
      </c>
      <c r="C2136" s="471">
        <v>2152</v>
      </c>
      <c r="D2136" s="471">
        <v>2139.04</v>
      </c>
      <c r="E2136" s="469">
        <v>29.89</v>
      </c>
      <c r="F2136" s="469">
        <v>15.9</v>
      </c>
      <c r="G2136" s="469">
        <v>8.5</v>
      </c>
      <c r="H2136" s="470">
        <v>159</v>
      </c>
      <c r="I2136" s="470">
        <v>717</v>
      </c>
      <c r="J2136" s="470">
        <v>3782</v>
      </c>
      <c r="K2136" s="469">
        <v>1.8</v>
      </c>
    </row>
    <row r="2137" spans="2:11" x14ac:dyDescent="0.35">
      <c r="B2137" s="62">
        <v>12.25</v>
      </c>
      <c r="C2137" s="471">
        <v>2153</v>
      </c>
      <c r="D2137" s="471">
        <v>2140.04</v>
      </c>
      <c r="E2137" s="469">
        <v>42.24</v>
      </c>
      <c r="F2137" s="469">
        <v>14.5</v>
      </c>
      <c r="G2137" s="469">
        <v>10.4</v>
      </c>
      <c r="H2137" s="470">
        <v>159</v>
      </c>
      <c r="I2137" s="470">
        <v>717</v>
      </c>
      <c r="J2137" s="470">
        <v>3775</v>
      </c>
      <c r="K2137" s="469">
        <v>1.8</v>
      </c>
    </row>
    <row r="2138" spans="2:11" x14ac:dyDescent="0.35">
      <c r="B2138" s="62">
        <v>12.25</v>
      </c>
      <c r="C2138" s="471">
        <v>2154</v>
      </c>
      <c r="D2138" s="471">
        <v>2141.0300000000002</v>
      </c>
      <c r="E2138" s="469">
        <v>47.83</v>
      </c>
      <c r="F2138" s="469">
        <v>15</v>
      </c>
      <c r="G2138" s="469">
        <v>9.6</v>
      </c>
      <c r="H2138" s="470">
        <v>159</v>
      </c>
      <c r="I2138" s="470">
        <v>717</v>
      </c>
      <c r="J2138" s="470">
        <v>3782</v>
      </c>
      <c r="K2138" s="469">
        <v>1.8</v>
      </c>
    </row>
    <row r="2139" spans="2:11" x14ac:dyDescent="0.35">
      <c r="B2139" s="62">
        <v>12.25</v>
      </c>
      <c r="C2139" s="471">
        <v>2155</v>
      </c>
      <c r="D2139" s="471">
        <v>2142.02</v>
      </c>
      <c r="E2139" s="469">
        <v>41.83</v>
      </c>
      <c r="F2139" s="469">
        <v>15.5</v>
      </c>
      <c r="G2139" s="469">
        <v>10.4</v>
      </c>
      <c r="H2139" s="470">
        <v>159</v>
      </c>
      <c r="I2139" s="470">
        <v>718</v>
      </c>
      <c r="J2139" s="470">
        <v>3796</v>
      </c>
      <c r="K2139" s="469">
        <v>1.8</v>
      </c>
    </row>
    <row r="2140" spans="2:11" x14ac:dyDescent="0.35">
      <c r="B2140" s="62">
        <v>12.25</v>
      </c>
      <c r="C2140" s="471">
        <v>2156</v>
      </c>
      <c r="D2140" s="471">
        <v>2143.04</v>
      </c>
      <c r="E2140" s="469">
        <v>36.96</v>
      </c>
      <c r="F2140" s="469">
        <v>15</v>
      </c>
      <c r="G2140" s="469">
        <v>9.5</v>
      </c>
      <c r="H2140" s="470">
        <v>159</v>
      </c>
      <c r="I2140" s="470">
        <v>717</v>
      </c>
      <c r="J2140" s="470">
        <v>3770</v>
      </c>
      <c r="K2140" s="469">
        <v>1.8</v>
      </c>
    </row>
    <row r="2141" spans="2:11" x14ac:dyDescent="0.35">
      <c r="B2141" s="62">
        <v>12.25</v>
      </c>
      <c r="C2141" s="471">
        <v>2157</v>
      </c>
      <c r="D2141" s="471">
        <v>2144.02</v>
      </c>
      <c r="E2141" s="469">
        <v>41.66</v>
      </c>
      <c r="F2141" s="469">
        <v>14.8</v>
      </c>
      <c r="G2141" s="469">
        <v>8</v>
      </c>
      <c r="H2141" s="470">
        <v>159</v>
      </c>
      <c r="I2141" s="470">
        <v>715</v>
      </c>
      <c r="J2141" s="470">
        <v>3773</v>
      </c>
      <c r="K2141" s="469">
        <v>1.8</v>
      </c>
    </row>
    <row r="2142" spans="2:11" x14ac:dyDescent="0.35">
      <c r="B2142" s="62">
        <v>12.25</v>
      </c>
      <c r="C2142" s="471">
        <v>2158</v>
      </c>
      <c r="D2142" s="471">
        <v>2145.04</v>
      </c>
      <c r="E2142" s="469">
        <v>36.630000000000003</v>
      </c>
      <c r="F2142" s="469">
        <v>14</v>
      </c>
      <c r="G2142" s="469">
        <v>9.5</v>
      </c>
      <c r="H2142" s="470">
        <v>159</v>
      </c>
      <c r="I2142" s="470">
        <v>723</v>
      </c>
      <c r="J2142" s="470">
        <v>3721</v>
      </c>
      <c r="K2142" s="469">
        <v>1.8</v>
      </c>
    </row>
    <row r="2143" spans="2:11" x14ac:dyDescent="0.35">
      <c r="B2143" s="62">
        <v>12.25</v>
      </c>
      <c r="C2143" s="471">
        <v>2159</v>
      </c>
      <c r="D2143" s="471">
        <v>2145.9899999999998</v>
      </c>
      <c r="E2143" s="469">
        <v>49.05</v>
      </c>
      <c r="F2143" s="469">
        <v>13.8</v>
      </c>
      <c r="G2143" s="469">
        <v>10.1</v>
      </c>
      <c r="H2143" s="470">
        <v>159</v>
      </c>
      <c r="I2143" s="470">
        <v>719</v>
      </c>
      <c r="J2143" s="470">
        <v>3741</v>
      </c>
      <c r="K2143" s="469">
        <v>1.8</v>
      </c>
    </row>
    <row r="2144" spans="2:11" x14ac:dyDescent="0.35">
      <c r="B2144" s="62">
        <v>12.25</v>
      </c>
      <c r="C2144" s="471">
        <v>2160</v>
      </c>
      <c r="D2144" s="471">
        <v>2147.0100000000002</v>
      </c>
      <c r="E2144" s="469">
        <v>52.87</v>
      </c>
      <c r="F2144" s="469">
        <v>14.1</v>
      </c>
      <c r="G2144" s="469">
        <v>9.6</v>
      </c>
      <c r="H2144" s="470">
        <v>160</v>
      </c>
      <c r="I2144" s="470">
        <v>723</v>
      </c>
      <c r="J2144" s="470">
        <v>3750</v>
      </c>
      <c r="K2144" s="469">
        <v>1.8</v>
      </c>
    </row>
    <row r="2145" spans="2:11" x14ac:dyDescent="0.35">
      <c r="B2145" s="62">
        <v>12.25</v>
      </c>
      <c r="C2145" s="471">
        <v>2161</v>
      </c>
      <c r="D2145" s="471">
        <v>2148.0100000000002</v>
      </c>
      <c r="E2145" s="469">
        <v>38.15</v>
      </c>
      <c r="F2145" s="469">
        <v>12.8</v>
      </c>
      <c r="G2145" s="469">
        <v>7.6</v>
      </c>
      <c r="H2145" s="470">
        <v>160</v>
      </c>
      <c r="I2145" s="470">
        <v>723</v>
      </c>
      <c r="J2145" s="470">
        <v>3710</v>
      </c>
      <c r="K2145" s="469">
        <v>1.8</v>
      </c>
    </row>
    <row r="2146" spans="2:11" x14ac:dyDescent="0.35">
      <c r="B2146" s="62">
        <v>12.25</v>
      </c>
      <c r="C2146" s="471">
        <v>2162</v>
      </c>
      <c r="D2146" s="471">
        <v>2149.0100000000002</v>
      </c>
      <c r="E2146" s="469">
        <v>25.44</v>
      </c>
      <c r="F2146" s="469">
        <v>7.1</v>
      </c>
      <c r="G2146" s="469">
        <v>7.9</v>
      </c>
      <c r="H2146" s="470">
        <v>145</v>
      </c>
      <c r="I2146" s="470">
        <v>723</v>
      </c>
      <c r="J2146" s="470">
        <v>3302</v>
      </c>
      <c r="K2146" s="469">
        <v>1.8</v>
      </c>
    </row>
    <row r="2147" spans="2:11" x14ac:dyDescent="0.35">
      <c r="B2147" s="62">
        <v>12.25</v>
      </c>
      <c r="C2147" s="471">
        <v>2163</v>
      </c>
      <c r="D2147" s="471">
        <v>2150.0100000000002</v>
      </c>
      <c r="E2147" s="469">
        <v>83.94</v>
      </c>
      <c r="F2147" s="469">
        <v>6.9</v>
      </c>
      <c r="G2147" s="469">
        <v>7</v>
      </c>
      <c r="H2147" s="470">
        <v>145</v>
      </c>
      <c r="I2147" s="470">
        <v>723</v>
      </c>
      <c r="J2147" s="470">
        <v>2986</v>
      </c>
      <c r="K2147" s="469">
        <v>1.8</v>
      </c>
    </row>
    <row r="2148" spans="2:11" x14ac:dyDescent="0.35">
      <c r="B2148" s="62">
        <v>12.25</v>
      </c>
      <c r="C2148" s="471">
        <v>2164</v>
      </c>
      <c r="D2148" s="471">
        <v>2151.0100000000002</v>
      </c>
      <c r="E2148" s="469">
        <v>45.78</v>
      </c>
      <c r="F2148" s="469">
        <v>6</v>
      </c>
      <c r="G2148" s="469">
        <v>6</v>
      </c>
      <c r="H2148" s="470">
        <v>144</v>
      </c>
      <c r="I2148" s="470">
        <v>723</v>
      </c>
      <c r="J2148" s="470">
        <v>2942</v>
      </c>
      <c r="K2148" s="469">
        <v>1.8</v>
      </c>
    </row>
    <row r="2149" spans="2:11" x14ac:dyDescent="0.35">
      <c r="B2149" s="62">
        <v>12.25</v>
      </c>
      <c r="C2149" s="471">
        <v>2165</v>
      </c>
      <c r="D2149" s="471">
        <v>2152.0100000000002</v>
      </c>
      <c r="E2149" s="469">
        <v>24.69</v>
      </c>
      <c r="F2149" s="469">
        <v>7.1</v>
      </c>
      <c r="G2149" s="469">
        <v>6.8</v>
      </c>
      <c r="H2149" s="470">
        <v>155</v>
      </c>
      <c r="I2149" s="470">
        <v>697</v>
      </c>
      <c r="J2149" s="470">
        <v>3417</v>
      </c>
      <c r="K2149" s="469">
        <v>1.8</v>
      </c>
    </row>
    <row r="2150" spans="2:11" x14ac:dyDescent="0.35">
      <c r="B2150" s="62">
        <v>12.25</v>
      </c>
      <c r="C2150" s="471">
        <v>2166</v>
      </c>
      <c r="D2150" s="471">
        <v>2153.0100000000002</v>
      </c>
      <c r="E2150" s="469">
        <v>45.78</v>
      </c>
      <c r="F2150" s="469">
        <v>9.6999999999999993</v>
      </c>
      <c r="G2150" s="469">
        <v>7.8</v>
      </c>
      <c r="H2150" s="470">
        <v>157</v>
      </c>
      <c r="I2150" s="470">
        <v>709</v>
      </c>
      <c r="J2150" s="470">
        <v>3648</v>
      </c>
      <c r="K2150" s="469">
        <v>1.8</v>
      </c>
    </row>
    <row r="2151" spans="2:11" x14ac:dyDescent="0.35">
      <c r="B2151" s="62">
        <v>12.25</v>
      </c>
      <c r="C2151" s="471">
        <v>2167</v>
      </c>
      <c r="D2151" s="471">
        <v>2154.0100000000002</v>
      </c>
      <c r="E2151" s="469">
        <v>17.95</v>
      </c>
      <c r="F2151" s="469">
        <v>13.7</v>
      </c>
      <c r="G2151" s="469">
        <v>9.6999999999999993</v>
      </c>
      <c r="H2151" s="470">
        <v>157</v>
      </c>
      <c r="I2151" s="470">
        <v>706</v>
      </c>
      <c r="J2151" s="470">
        <v>3656</v>
      </c>
      <c r="K2151" s="469">
        <v>1.8</v>
      </c>
    </row>
    <row r="2152" spans="2:11" x14ac:dyDescent="0.35">
      <c r="B2152" s="62">
        <v>12.25</v>
      </c>
      <c r="C2152" s="471">
        <v>2168</v>
      </c>
      <c r="D2152" s="471">
        <v>2155.0100000000002</v>
      </c>
      <c r="E2152" s="469">
        <v>53.41</v>
      </c>
      <c r="F2152" s="469">
        <v>12.8</v>
      </c>
      <c r="G2152" s="469">
        <v>7.1</v>
      </c>
      <c r="H2152" s="470">
        <v>157</v>
      </c>
      <c r="I2152" s="470">
        <v>708</v>
      </c>
      <c r="J2152" s="470">
        <v>3598</v>
      </c>
      <c r="K2152" s="469">
        <v>1.8</v>
      </c>
    </row>
    <row r="2153" spans="2:11" x14ac:dyDescent="0.35">
      <c r="B2153" s="62">
        <v>12.25</v>
      </c>
      <c r="C2153" s="471">
        <v>2169</v>
      </c>
      <c r="D2153" s="471">
        <v>2155.96</v>
      </c>
      <c r="E2153" s="469">
        <v>5.69</v>
      </c>
      <c r="F2153" s="469">
        <v>12</v>
      </c>
      <c r="G2153" s="469">
        <v>6.5</v>
      </c>
      <c r="H2153" s="470">
        <v>158</v>
      </c>
      <c r="I2153" s="470">
        <v>714</v>
      </c>
      <c r="J2153" s="470">
        <v>3521</v>
      </c>
      <c r="K2153" s="469">
        <v>1.8</v>
      </c>
    </row>
    <row r="2154" spans="2:11" x14ac:dyDescent="0.35">
      <c r="B2154" s="62">
        <v>12.25</v>
      </c>
      <c r="C2154" s="471">
        <v>2170</v>
      </c>
      <c r="D2154" s="471">
        <v>2156.9299999999998</v>
      </c>
      <c r="E2154" s="469">
        <v>22.89</v>
      </c>
      <c r="F2154" s="469">
        <v>7.2</v>
      </c>
      <c r="G2154" s="469">
        <v>6.9</v>
      </c>
      <c r="H2154" s="470">
        <v>151</v>
      </c>
      <c r="I2154" s="470">
        <v>639</v>
      </c>
      <c r="J2154" s="470">
        <v>3118</v>
      </c>
      <c r="K2154" s="469">
        <v>1.8</v>
      </c>
    </row>
    <row r="2155" spans="2:11" x14ac:dyDescent="0.35">
      <c r="B2155" s="62">
        <v>12.25</v>
      </c>
      <c r="C2155" s="471">
        <v>2171</v>
      </c>
      <c r="D2155" s="471">
        <v>2157.91</v>
      </c>
      <c r="E2155" s="469">
        <v>22.65</v>
      </c>
      <c r="F2155" s="469">
        <v>7.7</v>
      </c>
      <c r="G2155" s="469">
        <v>6.7</v>
      </c>
      <c r="H2155" s="470">
        <v>150</v>
      </c>
      <c r="I2155" s="470">
        <v>632</v>
      </c>
      <c r="J2155" s="470">
        <v>3202</v>
      </c>
      <c r="K2155" s="469">
        <v>1.8</v>
      </c>
    </row>
    <row r="2156" spans="2:11" x14ac:dyDescent="0.35">
      <c r="B2156" s="62">
        <v>12.25</v>
      </c>
      <c r="C2156" s="471">
        <v>2172</v>
      </c>
      <c r="D2156" s="471">
        <v>2158.9499999999998</v>
      </c>
      <c r="E2156" s="469">
        <v>19.93</v>
      </c>
      <c r="F2156" s="469">
        <v>9.5</v>
      </c>
      <c r="G2156" s="469">
        <v>6.6</v>
      </c>
      <c r="H2156" s="470">
        <v>152</v>
      </c>
      <c r="I2156" s="470">
        <v>650</v>
      </c>
      <c r="J2156" s="470">
        <v>3228</v>
      </c>
      <c r="K2156" s="469">
        <v>1.8</v>
      </c>
    </row>
    <row r="2157" spans="2:11" x14ac:dyDescent="0.35">
      <c r="B2157" s="62">
        <v>12.25</v>
      </c>
      <c r="C2157" s="471">
        <v>2173</v>
      </c>
      <c r="D2157" s="471">
        <v>2159.9</v>
      </c>
      <c r="E2157" s="469">
        <v>27.65</v>
      </c>
      <c r="F2157" s="469">
        <v>9.1999999999999993</v>
      </c>
      <c r="G2157" s="469">
        <v>8.4</v>
      </c>
      <c r="H2157" s="470">
        <v>158</v>
      </c>
      <c r="I2157" s="470">
        <v>701</v>
      </c>
      <c r="J2157" s="470">
        <v>3451</v>
      </c>
      <c r="K2157" s="469">
        <v>1.8</v>
      </c>
    </row>
    <row r="2158" spans="2:11" x14ac:dyDescent="0.35">
      <c r="B2158" s="62">
        <v>12.25</v>
      </c>
      <c r="C2158" s="471">
        <v>2174</v>
      </c>
      <c r="D2158" s="471">
        <v>2160.89</v>
      </c>
      <c r="E2158" s="469">
        <v>37.369999999999997</v>
      </c>
      <c r="F2158" s="469">
        <v>9.1999999999999993</v>
      </c>
      <c r="G2158" s="469">
        <v>9</v>
      </c>
      <c r="H2158" s="470">
        <v>159</v>
      </c>
      <c r="I2158" s="470">
        <v>715</v>
      </c>
      <c r="J2158" s="470">
        <v>3545</v>
      </c>
      <c r="K2158" s="469">
        <v>1.8</v>
      </c>
    </row>
    <row r="2159" spans="2:11" x14ac:dyDescent="0.35">
      <c r="B2159" s="62">
        <v>12.25</v>
      </c>
      <c r="C2159" s="471">
        <v>2175</v>
      </c>
      <c r="D2159" s="471">
        <v>2161.92</v>
      </c>
      <c r="E2159" s="469">
        <v>36.28</v>
      </c>
      <c r="F2159" s="469">
        <v>10.1</v>
      </c>
      <c r="G2159" s="469">
        <v>8.8000000000000007</v>
      </c>
      <c r="H2159" s="470">
        <v>160</v>
      </c>
      <c r="I2159" s="470">
        <v>720</v>
      </c>
      <c r="J2159" s="470">
        <v>3595</v>
      </c>
      <c r="K2159" s="469">
        <v>1.8</v>
      </c>
    </row>
    <row r="2160" spans="2:11" x14ac:dyDescent="0.35">
      <c r="B2160" s="62">
        <v>12.25</v>
      </c>
      <c r="C2160" s="471">
        <v>2176</v>
      </c>
      <c r="D2160" s="471">
        <v>2162.88</v>
      </c>
      <c r="E2160" s="469">
        <v>37.69</v>
      </c>
      <c r="F2160" s="469">
        <v>12.3</v>
      </c>
      <c r="G2160" s="469">
        <v>9.3000000000000007</v>
      </c>
      <c r="H2160" s="470">
        <v>160</v>
      </c>
      <c r="I2160" s="470">
        <v>721</v>
      </c>
      <c r="J2160" s="470">
        <v>3646</v>
      </c>
      <c r="K2160" s="469">
        <v>1.8</v>
      </c>
    </row>
    <row r="2161" spans="2:11" x14ac:dyDescent="0.35">
      <c r="B2161" s="62">
        <v>12.25</v>
      </c>
      <c r="C2161" s="471">
        <v>2177</v>
      </c>
      <c r="D2161" s="471">
        <v>2163.91</v>
      </c>
      <c r="E2161" s="469">
        <v>46.4</v>
      </c>
      <c r="F2161" s="469">
        <v>14.4</v>
      </c>
      <c r="G2161" s="469">
        <v>11.3</v>
      </c>
      <c r="H2161" s="470">
        <v>160</v>
      </c>
      <c r="I2161" s="470">
        <v>724</v>
      </c>
      <c r="J2161" s="470">
        <v>3664</v>
      </c>
      <c r="K2161" s="469">
        <v>1.8</v>
      </c>
    </row>
    <row r="2162" spans="2:11" x14ac:dyDescent="0.35">
      <c r="B2162" s="62">
        <v>12.25</v>
      </c>
      <c r="C2162" s="471">
        <v>2178</v>
      </c>
      <c r="D2162" s="471">
        <v>2164.88</v>
      </c>
      <c r="E2162" s="469">
        <v>45.68</v>
      </c>
      <c r="F2162" s="469">
        <v>14.1</v>
      </c>
      <c r="G2162" s="469">
        <v>9.1999999999999993</v>
      </c>
      <c r="H2162" s="470">
        <v>160</v>
      </c>
      <c r="I2162" s="470">
        <v>725</v>
      </c>
      <c r="J2162" s="470">
        <v>3652</v>
      </c>
      <c r="K2162" s="469">
        <v>1.8</v>
      </c>
    </row>
    <row r="2163" spans="2:11" x14ac:dyDescent="0.35">
      <c r="B2163" s="62">
        <v>12.25</v>
      </c>
      <c r="C2163" s="471">
        <v>2179</v>
      </c>
      <c r="D2163" s="471">
        <v>2165.9</v>
      </c>
      <c r="E2163" s="469">
        <v>33.020000000000003</v>
      </c>
      <c r="F2163" s="469">
        <v>14.7</v>
      </c>
      <c r="G2163" s="469">
        <v>9.3000000000000007</v>
      </c>
      <c r="H2163" s="470">
        <v>160</v>
      </c>
      <c r="I2163" s="470">
        <v>726</v>
      </c>
      <c r="J2163" s="470">
        <v>3644</v>
      </c>
      <c r="K2163" s="469">
        <v>1.8</v>
      </c>
    </row>
    <row r="2164" spans="2:11" x14ac:dyDescent="0.35">
      <c r="B2164" s="62">
        <v>12.25</v>
      </c>
      <c r="C2164" s="471">
        <v>2180</v>
      </c>
      <c r="D2164" s="471">
        <v>2166.87</v>
      </c>
      <c r="E2164" s="469">
        <v>43.03</v>
      </c>
      <c r="F2164" s="469">
        <v>13.9</v>
      </c>
      <c r="G2164" s="469">
        <v>10.6</v>
      </c>
      <c r="H2164" s="470">
        <v>160</v>
      </c>
      <c r="I2164" s="470">
        <v>730</v>
      </c>
      <c r="J2164" s="470">
        <v>3601</v>
      </c>
      <c r="K2164" s="469">
        <v>1.8</v>
      </c>
    </row>
    <row r="2165" spans="2:11" x14ac:dyDescent="0.35">
      <c r="B2165" s="62">
        <v>12.25</v>
      </c>
      <c r="C2165" s="471">
        <v>2181</v>
      </c>
      <c r="D2165" s="471">
        <v>2167.9</v>
      </c>
      <c r="E2165" s="469">
        <v>42.29</v>
      </c>
      <c r="F2165" s="469">
        <v>14</v>
      </c>
      <c r="G2165" s="469">
        <v>10.3</v>
      </c>
      <c r="H2165" s="470">
        <v>160</v>
      </c>
      <c r="I2165" s="470">
        <v>726</v>
      </c>
      <c r="J2165" s="470">
        <v>3602</v>
      </c>
      <c r="K2165" s="469">
        <v>1.8</v>
      </c>
    </row>
    <row r="2166" spans="2:11" x14ac:dyDescent="0.35">
      <c r="B2166" s="62">
        <v>12.25</v>
      </c>
      <c r="C2166" s="471">
        <v>2182</v>
      </c>
      <c r="D2166" s="471">
        <v>2168.9</v>
      </c>
      <c r="E2166" s="469">
        <v>49.98</v>
      </c>
      <c r="F2166" s="469">
        <v>13.9</v>
      </c>
      <c r="G2166" s="469">
        <v>10.8</v>
      </c>
      <c r="H2166" s="470">
        <v>160</v>
      </c>
      <c r="I2166" s="470">
        <v>728</v>
      </c>
      <c r="J2166" s="470">
        <v>3606</v>
      </c>
      <c r="K2166" s="469">
        <v>1.8</v>
      </c>
    </row>
    <row r="2167" spans="2:11" x14ac:dyDescent="0.35">
      <c r="B2167" s="62">
        <v>12.25</v>
      </c>
      <c r="C2167" s="471">
        <v>2183</v>
      </c>
      <c r="D2167" s="471">
        <v>2169.9</v>
      </c>
      <c r="E2167" s="469">
        <v>38.15</v>
      </c>
      <c r="F2167" s="469">
        <v>13.7</v>
      </c>
      <c r="G2167" s="469">
        <v>8.4</v>
      </c>
      <c r="H2167" s="470">
        <v>160</v>
      </c>
      <c r="I2167" s="470">
        <v>727</v>
      </c>
      <c r="J2167" s="470">
        <v>3617</v>
      </c>
      <c r="K2167" s="469">
        <v>1.8</v>
      </c>
    </row>
    <row r="2168" spans="2:11" x14ac:dyDescent="0.35">
      <c r="B2168" s="62">
        <v>12.25</v>
      </c>
      <c r="C2168" s="471">
        <v>2184</v>
      </c>
      <c r="D2168" s="471">
        <v>2170.8000000000002</v>
      </c>
      <c r="E2168" s="469">
        <v>24.35</v>
      </c>
      <c r="F2168" s="469">
        <v>13</v>
      </c>
      <c r="G2168" s="469">
        <v>6.9</v>
      </c>
      <c r="H2168" s="470">
        <v>160</v>
      </c>
      <c r="I2168" s="470">
        <v>725</v>
      </c>
      <c r="J2168" s="470">
        <v>3606</v>
      </c>
      <c r="K2168" s="469">
        <v>1.8</v>
      </c>
    </row>
    <row r="2169" spans="2:11" x14ac:dyDescent="0.35">
      <c r="B2169" s="62">
        <v>12.25</v>
      </c>
      <c r="C2169" s="471">
        <v>2185</v>
      </c>
      <c r="D2169" s="471">
        <v>2171.8000000000002</v>
      </c>
      <c r="E2169" s="469">
        <v>54.34</v>
      </c>
      <c r="F2169" s="469">
        <v>13.3</v>
      </c>
      <c r="G2169" s="469">
        <v>10.5</v>
      </c>
      <c r="H2169" s="470">
        <v>160</v>
      </c>
      <c r="I2169" s="470">
        <v>724</v>
      </c>
      <c r="J2169" s="470">
        <v>3662</v>
      </c>
      <c r="K2169" s="469">
        <v>1.8</v>
      </c>
    </row>
    <row r="2170" spans="2:11" x14ac:dyDescent="0.35">
      <c r="B2170" s="62">
        <v>12.25</v>
      </c>
      <c r="C2170" s="471">
        <v>2186</v>
      </c>
      <c r="D2170" s="471">
        <v>2172.8000000000002</v>
      </c>
      <c r="E2170" s="469">
        <v>22.99</v>
      </c>
      <c r="F2170" s="469">
        <v>13.6</v>
      </c>
      <c r="G2170" s="469">
        <v>8.9</v>
      </c>
      <c r="H2170" s="470">
        <v>161</v>
      </c>
      <c r="I2170" s="470">
        <v>731</v>
      </c>
      <c r="J2170" s="470">
        <v>3476</v>
      </c>
      <c r="K2170" s="469">
        <v>1.8</v>
      </c>
    </row>
    <row r="2171" spans="2:11" x14ac:dyDescent="0.35">
      <c r="B2171" s="62">
        <v>12.25</v>
      </c>
      <c r="C2171" s="471">
        <v>2187</v>
      </c>
      <c r="D2171" s="471">
        <v>2173.8000000000002</v>
      </c>
      <c r="E2171" s="469">
        <v>31.62</v>
      </c>
      <c r="F2171" s="469">
        <v>12</v>
      </c>
      <c r="G2171" s="469">
        <v>8.1</v>
      </c>
      <c r="H2171" s="470">
        <v>162</v>
      </c>
      <c r="I2171" s="470">
        <v>733</v>
      </c>
      <c r="J2171" s="470">
        <v>3216</v>
      </c>
      <c r="K2171" s="469">
        <v>1.8</v>
      </c>
    </row>
    <row r="2172" spans="2:11" x14ac:dyDescent="0.35">
      <c r="B2172" s="62">
        <v>12.25</v>
      </c>
      <c r="C2172" s="471">
        <v>2188</v>
      </c>
      <c r="D2172" s="471">
        <v>2174.8000000000002</v>
      </c>
      <c r="E2172" s="469">
        <v>33.64</v>
      </c>
      <c r="F2172" s="469">
        <v>9.6999999999999993</v>
      </c>
      <c r="G2172" s="469">
        <v>8.4</v>
      </c>
      <c r="H2172" s="470">
        <v>158</v>
      </c>
      <c r="I2172" s="470">
        <v>721</v>
      </c>
      <c r="J2172" s="470">
        <v>3339</v>
      </c>
      <c r="K2172" s="469">
        <v>1.8</v>
      </c>
    </row>
    <row r="2173" spans="2:11" x14ac:dyDescent="0.35">
      <c r="B2173" s="62">
        <v>12.25</v>
      </c>
      <c r="C2173" s="471">
        <v>2189</v>
      </c>
      <c r="D2173" s="471">
        <v>2175.8000000000002</v>
      </c>
      <c r="E2173" s="469">
        <v>37.340000000000003</v>
      </c>
      <c r="F2173" s="469">
        <v>13.2</v>
      </c>
      <c r="G2173" s="469">
        <v>8.9</v>
      </c>
      <c r="H2173" s="470">
        <v>157</v>
      </c>
      <c r="I2173" s="470">
        <v>717</v>
      </c>
      <c r="J2173" s="470">
        <v>3440</v>
      </c>
      <c r="K2173" s="469">
        <v>1.8</v>
      </c>
    </row>
    <row r="2174" spans="2:11" x14ac:dyDescent="0.35">
      <c r="B2174" s="62">
        <v>12.25</v>
      </c>
      <c r="C2174" s="471">
        <v>2190</v>
      </c>
      <c r="D2174" s="471">
        <v>2176.8000000000002</v>
      </c>
      <c r="E2174" s="469">
        <v>17.27</v>
      </c>
      <c r="F2174" s="469">
        <v>7.9</v>
      </c>
      <c r="G2174" s="469">
        <v>8.1999999999999993</v>
      </c>
      <c r="H2174" s="470">
        <v>158</v>
      </c>
      <c r="I2174" s="470">
        <v>708</v>
      </c>
      <c r="J2174" s="470">
        <v>3748</v>
      </c>
      <c r="K2174" s="469">
        <v>1.8</v>
      </c>
    </row>
    <row r="2175" spans="2:11" x14ac:dyDescent="0.35">
      <c r="B2175" s="62">
        <v>12.25</v>
      </c>
      <c r="C2175" s="471">
        <v>2191</v>
      </c>
      <c r="D2175" s="471">
        <v>2177.8000000000002</v>
      </c>
      <c r="E2175" s="469">
        <v>27.38</v>
      </c>
      <c r="F2175" s="469">
        <v>9.8000000000000007</v>
      </c>
      <c r="G2175" s="469">
        <v>7.9</v>
      </c>
      <c r="H2175" s="470">
        <v>159</v>
      </c>
      <c r="I2175" s="470">
        <v>710</v>
      </c>
      <c r="J2175" s="470">
        <v>3770</v>
      </c>
      <c r="K2175" s="469">
        <v>1.8</v>
      </c>
    </row>
    <row r="2176" spans="2:11" x14ac:dyDescent="0.35">
      <c r="B2176" s="62">
        <v>12.25</v>
      </c>
      <c r="C2176" s="471">
        <v>2192</v>
      </c>
      <c r="D2176" s="471">
        <v>2178.8000000000002</v>
      </c>
      <c r="E2176" s="469">
        <v>22.39</v>
      </c>
      <c r="F2176" s="469">
        <v>10.1</v>
      </c>
      <c r="G2176" s="469">
        <v>8.1</v>
      </c>
      <c r="H2176" s="470">
        <v>159</v>
      </c>
      <c r="I2176" s="470">
        <v>711</v>
      </c>
      <c r="J2176" s="470">
        <v>3675</v>
      </c>
      <c r="K2176" s="469">
        <v>1.8</v>
      </c>
    </row>
    <row r="2177" spans="2:11" x14ac:dyDescent="0.35">
      <c r="B2177" s="62">
        <v>12.25</v>
      </c>
      <c r="C2177" s="471">
        <v>2193</v>
      </c>
      <c r="D2177" s="471">
        <v>2179.8000000000002</v>
      </c>
      <c r="E2177" s="469">
        <v>23.35</v>
      </c>
      <c r="F2177" s="469">
        <v>9.6</v>
      </c>
      <c r="G2177" s="469">
        <v>6.7</v>
      </c>
      <c r="H2177" s="470">
        <v>159</v>
      </c>
      <c r="I2177" s="470">
        <v>717</v>
      </c>
      <c r="J2177" s="470">
        <v>3467</v>
      </c>
      <c r="K2177" s="469">
        <v>1.8</v>
      </c>
    </row>
    <row r="2178" spans="2:11" x14ac:dyDescent="0.35">
      <c r="B2178" s="62">
        <v>12.25</v>
      </c>
      <c r="C2178" s="471">
        <v>2194</v>
      </c>
      <c r="D2178" s="471">
        <v>2180.8000000000002</v>
      </c>
      <c r="E2178" s="469">
        <v>37.340000000000003</v>
      </c>
      <c r="F2178" s="469">
        <v>11</v>
      </c>
      <c r="G2178" s="469">
        <v>9.4</v>
      </c>
      <c r="H2178" s="470">
        <v>157</v>
      </c>
      <c r="I2178" s="470">
        <v>708</v>
      </c>
      <c r="J2178" s="470">
        <v>3539</v>
      </c>
      <c r="K2178" s="469">
        <v>1.8</v>
      </c>
    </row>
    <row r="2179" spans="2:11" x14ac:dyDescent="0.35">
      <c r="B2179" s="62">
        <v>12.25</v>
      </c>
      <c r="C2179" s="471">
        <v>2195</v>
      </c>
      <c r="D2179" s="471">
        <v>2181.8000000000002</v>
      </c>
      <c r="E2179" s="469">
        <v>40.82</v>
      </c>
      <c r="F2179" s="469">
        <v>12.1</v>
      </c>
      <c r="G2179" s="469">
        <v>9.5</v>
      </c>
      <c r="H2179" s="470">
        <v>158</v>
      </c>
      <c r="I2179" s="470">
        <v>707</v>
      </c>
      <c r="J2179" s="470">
        <v>3566</v>
      </c>
      <c r="K2179" s="469">
        <v>1.8</v>
      </c>
    </row>
    <row r="2180" spans="2:11" x14ac:dyDescent="0.35">
      <c r="B2180" s="62">
        <v>12.25</v>
      </c>
      <c r="C2180" s="471">
        <v>2196</v>
      </c>
      <c r="D2180" s="471">
        <v>2182.8000000000002</v>
      </c>
      <c r="E2180" s="469">
        <v>23.88</v>
      </c>
      <c r="F2180" s="469">
        <v>11.5</v>
      </c>
      <c r="G2180" s="469">
        <v>7.8</v>
      </c>
      <c r="H2180" s="470">
        <v>157</v>
      </c>
      <c r="I2180" s="470">
        <v>707</v>
      </c>
      <c r="J2180" s="470">
        <v>3477</v>
      </c>
      <c r="K2180" s="469">
        <v>1.8</v>
      </c>
    </row>
    <row r="2181" spans="2:11" x14ac:dyDescent="0.35">
      <c r="B2181" s="62">
        <v>12.25</v>
      </c>
      <c r="C2181" s="471">
        <v>2197</v>
      </c>
      <c r="D2181" s="471">
        <v>2183.8000000000002</v>
      </c>
      <c r="E2181" s="469">
        <v>43.74</v>
      </c>
      <c r="F2181" s="469">
        <v>13.5</v>
      </c>
      <c r="G2181" s="469">
        <v>9.6999999999999993</v>
      </c>
      <c r="H2181" s="470">
        <v>157</v>
      </c>
      <c r="I2181" s="470">
        <v>707</v>
      </c>
      <c r="J2181" s="470">
        <v>3538</v>
      </c>
      <c r="K2181" s="469">
        <v>1.8</v>
      </c>
    </row>
    <row r="2182" spans="2:11" x14ac:dyDescent="0.35">
      <c r="B2182" s="62">
        <v>12.25</v>
      </c>
      <c r="C2182" s="471">
        <v>2198</v>
      </c>
      <c r="D2182" s="471">
        <v>2184.8000000000002</v>
      </c>
      <c r="E2182" s="469">
        <v>43.88</v>
      </c>
      <c r="F2182" s="469">
        <v>13.6</v>
      </c>
      <c r="G2182" s="469">
        <v>10.1</v>
      </c>
      <c r="H2182" s="470">
        <v>158</v>
      </c>
      <c r="I2182" s="470">
        <v>707</v>
      </c>
      <c r="J2182" s="470">
        <v>3570</v>
      </c>
      <c r="K2182" s="469">
        <v>1.8</v>
      </c>
    </row>
    <row r="2183" spans="2:11" x14ac:dyDescent="0.35">
      <c r="B2183" s="62">
        <v>12.25</v>
      </c>
      <c r="C2183" s="471">
        <v>2199</v>
      </c>
      <c r="D2183" s="471">
        <v>2185.6999999999998</v>
      </c>
      <c r="E2183" s="469">
        <v>38.96</v>
      </c>
      <c r="F2183" s="469">
        <v>13.7</v>
      </c>
      <c r="G2183" s="469">
        <v>10.199999999999999</v>
      </c>
      <c r="H2183" s="470">
        <v>158</v>
      </c>
      <c r="I2183" s="470">
        <v>709</v>
      </c>
      <c r="J2183" s="470">
        <v>3584</v>
      </c>
      <c r="K2183" s="469">
        <v>1.8</v>
      </c>
    </row>
    <row r="2184" spans="2:11" x14ac:dyDescent="0.35">
      <c r="B2184" s="62">
        <v>12.25</v>
      </c>
      <c r="C2184" s="471">
        <v>2200</v>
      </c>
      <c r="D2184" s="471">
        <v>2186.6999999999998</v>
      </c>
      <c r="E2184" s="469">
        <v>28.92</v>
      </c>
      <c r="F2184" s="469">
        <v>13.9</v>
      </c>
      <c r="G2184" s="469">
        <v>8.8000000000000007</v>
      </c>
      <c r="H2184" s="470">
        <v>157</v>
      </c>
      <c r="I2184" s="470">
        <v>707</v>
      </c>
      <c r="J2184" s="470">
        <v>3548</v>
      </c>
      <c r="K2184" s="469">
        <v>1.8</v>
      </c>
    </row>
    <row r="2185" spans="2:11" x14ac:dyDescent="0.35">
      <c r="B2185" s="62">
        <v>12.25</v>
      </c>
      <c r="C2185" s="471">
        <v>2201</v>
      </c>
      <c r="D2185" s="471">
        <v>2187.8000000000002</v>
      </c>
      <c r="E2185" s="469">
        <v>40.94</v>
      </c>
      <c r="F2185" s="469">
        <v>13.1</v>
      </c>
      <c r="G2185" s="469">
        <v>8.6</v>
      </c>
      <c r="H2185" s="470">
        <v>158</v>
      </c>
      <c r="I2185" s="470">
        <v>709</v>
      </c>
      <c r="J2185" s="470">
        <v>3549</v>
      </c>
      <c r="K2185" s="469">
        <v>1.8</v>
      </c>
    </row>
    <row r="2186" spans="2:11" x14ac:dyDescent="0.35">
      <c r="B2186" s="62">
        <v>12.25</v>
      </c>
      <c r="C2186" s="471">
        <v>2202</v>
      </c>
      <c r="D2186" s="471">
        <v>2188.6999999999998</v>
      </c>
      <c r="E2186" s="469">
        <v>26.21</v>
      </c>
      <c r="F2186" s="469">
        <v>13.8</v>
      </c>
      <c r="G2186" s="469">
        <v>6.4</v>
      </c>
      <c r="H2186" s="470">
        <v>158</v>
      </c>
      <c r="I2186" s="470">
        <v>708</v>
      </c>
      <c r="J2186" s="470">
        <v>3574</v>
      </c>
      <c r="K2186" s="469">
        <v>1.8</v>
      </c>
    </row>
    <row r="2187" spans="2:11" x14ac:dyDescent="0.35">
      <c r="B2187" s="62">
        <v>12.25</v>
      </c>
      <c r="C2187" s="471">
        <v>2203</v>
      </c>
      <c r="D2187" s="471">
        <v>2189.6999999999998</v>
      </c>
      <c r="E2187" s="469">
        <v>21.17</v>
      </c>
      <c r="F2187" s="469">
        <v>13.6</v>
      </c>
      <c r="G2187" s="469">
        <v>8.5</v>
      </c>
      <c r="H2187" s="470">
        <v>158</v>
      </c>
      <c r="I2187" s="470">
        <v>714</v>
      </c>
      <c r="J2187" s="470">
        <v>3571</v>
      </c>
      <c r="K2187" s="469">
        <v>1.8</v>
      </c>
    </row>
    <row r="2188" spans="2:11" x14ac:dyDescent="0.35">
      <c r="B2188" s="62">
        <v>12.25</v>
      </c>
      <c r="C2188" s="471">
        <v>2204</v>
      </c>
      <c r="D2188" s="471">
        <v>2190.6999999999998</v>
      </c>
      <c r="E2188" s="469">
        <v>26.41</v>
      </c>
      <c r="F2188" s="469">
        <v>13.6</v>
      </c>
      <c r="G2188" s="469">
        <v>8</v>
      </c>
      <c r="H2188" s="470">
        <v>158</v>
      </c>
      <c r="I2188" s="470">
        <v>713</v>
      </c>
      <c r="J2188" s="470">
        <v>3567</v>
      </c>
      <c r="K2188" s="469">
        <v>1.8</v>
      </c>
    </row>
    <row r="2189" spans="2:11" x14ac:dyDescent="0.35">
      <c r="B2189" s="62">
        <v>12.25</v>
      </c>
      <c r="C2189" s="471">
        <v>2205</v>
      </c>
      <c r="D2189" s="471">
        <v>2191.6999999999998</v>
      </c>
      <c r="E2189" s="469">
        <v>25.44</v>
      </c>
      <c r="F2189" s="469">
        <v>14</v>
      </c>
      <c r="G2189" s="469">
        <v>8.8000000000000007</v>
      </c>
      <c r="H2189" s="470">
        <v>159</v>
      </c>
      <c r="I2189" s="470">
        <v>715</v>
      </c>
      <c r="J2189" s="470">
        <v>3550</v>
      </c>
      <c r="K2189" s="469">
        <v>1.8</v>
      </c>
    </row>
    <row r="2190" spans="2:11" x14ac:dyDescent="0.35">
      <c r="B2190" s="62">
        <v>12.25</v>
      </c>
      <c r="C2190" s="471">
        <v>2206</v>
      </c>
      <c r="D2190" s="471">
        <v>2192.6999999999998</v>
      </c>
      <c r="E2190" s="469">
        <v>29.67</v>
      </c>
      <c r="F2190" s="469">
        <v>14</v>
      </c>
      <c r="G2190" s="469">
        <v>8.9</v>
      </c>
      <c r="H2190" s="470">
        <v>158</v>
      </c>
      <c r="I2190" s="470">
        <v>712</v>
      </c>
      <c r="J2190" s="470">
        <v>3560</v>
      </c>
      <c r="K2190" s="469">
        <v>1.8</v>
      </c>
    </row>
    <row r="2191" spans="2:11" x14ac:dyDescent="0.35">
      <c r="B2191" s="62">
        <v>12.25</v>
      </c>
      <c r="C2191" s="471">
        <v>2207</v>
      </c>
      <c r="D2191" s="471">
        <v>2193.6999999999998</v>
      </c>
      <c r="E2191" s="469">
        <v>19.29</v>
      </c>
      <c r="F2191" s="469">
        <v>14</v>
      </c>
      <c r="G2191" s="469">
        <v>8.1999999999999993</v>
      </c>
      <c r="H2191" s="470">
        <v>159</v>
      </c>
      <c r="I2191" s="470">
        <v>716</v>
      </c>
      <c r="J2191" s="470">
        <v>3515</v>
      </c>
      <c r="K2191" s="469">
        <v>1.8</v>
      </c>
    </row>
    <row r="2192" spans="2:11" x14ac:dyDescent="0.35">
      <c r="B2192" s="62">
        <v>12.25</v>
      </c>
      <c r="C2192" s="471">
        <v>2208</v>
      </c>
      <c r="D2192" s="471">
        <v>2194.6999999999998</v>
      </c>
      <c r="E2192" s="469">
        <v>25.44</v>
      </c>
      <c r="F2192" s="469">
        <v>12.2</v>
      </c>
      <c r="G2192" s="469">
        <v>7.6</v>
      </c>
      <c r="H2192" s="470">
        <v>159</v>
      </c>
      <c r="I2192" s="470">
        <v>702</v>
      </c>
      <c r="J2192" s="470">
        <v>3473</v>
      </c>
      <c r="K2192" s="469">
        <v>1.8</v>
      </c>
    </row>
    <row r="2193" spans="2:11" x14ac:dyDescent="0.35">
      <c r="B2193" s="62">
        <v>12.25</v>
      </c>
      <c r="C2193" s="471">
        <v>2209</v>
      </c>
      <c r="D2193" s="471">
        <v>2195.6999999999998</v>
      </c>
      <c r="E2193" s="469">
        <v>16.96</v>
      </c>
      <c r="F2193" s="469">
        <v>13.5</v>
      </c>
      <c r="G2193" s="469">
        <v>6.8</v>
      </c>
      <c r="H2193" s="470">
        <v>160</v>
      </c>
      <c r="I2193" s="470">
        <v>713</v>
      </c>
      <c r="J2193" s="470">
        <v>3463</v>
      </c>
      <c r="K2193" s="469">
        <v>1.8</v>
      </c>
    </row>
    <row r="2194" spans="2:11" x14ac:dyDescent="0.35">
      <c r="B2194" s="62">
        <v>12.25</v>
      </c>
      <c r="C2194" s="471">
        <v>2210</v>
      </c>
      <c r="D2194" s="471">
        <v>2196.6999999999998</v>
      </c>
      <c r="E2194" s="469">
        <v>13.2</v>
      </c>
      <c r="F2194" s="469">
        <v>13.6</v>
      </c>
      <c r="G2194" s="469">
        <v>6.6</v>
      </c>
      <c r="H2194" s="470">
        <v>161</v>
      </c>
      <c r="I2194" s="470">
        <v>719</v>
      </c>
      <c r="J2194" s="470">
        <v>3407</v>
      </c>
      <c r="K2194" s="469">
        <v>1.8</v>
      </c>
    </row>
    <row r="2195" spans="2:11" x14ac:dyDescent="0.35">
      <c r="B2195" s="62">
        <v>12.25</v>
      </c>
      <c r="C2195" s="471">
        <v>2211</v>
      </c>
      <c r="D2195" s="471">
        <v>2197.6999999999998</v>
      </c>
      <c r="E2195" s="469">
        <v>26.46</v>
      </c>
      <c r="F2195" s="469">
        <v>13.6</v>
      </c>
      <c r="G2195" s="469">
        <v>7.3</v>
      </c>
      <c r="H2195" s="470">
        <v>160</v>
      </c>
      <c r="I2195" s="470">
        <v>717</v>
      </c>
      <c r="J2195" s="470">
        <v>3451</v>
      </c>
      <c r="K2195" s="469">
        <v>1.8</v>
      </c>
    </row>
    <row r="2196" spans="2:11" x14ac:dyDescent="0.35">
      <c r="B2196" s="62">
        <v>12.25</v>
      </c>
      <c r="C2196" s="471">
        <v>2212</v>
      </c>
      <c r="D2196" s="471">
        <v>2198.6</v>
      </c>
      <c r="E2196" s="469">
        <v>38.15</v>
      </c>
      <c r="F2196" s="469">
        <v>15.2</v>
      </c>
      <c r="G2196" s="469">
        <v>9.8000000000000007</v>
      </c>
      <c r="H2196" s="470">
        <v>160</v>
      </c>
      <c r="I2196" s="470">
        <v>714</v>
      </c>
      <c r="J2196" s="470">
        <v>3509</v>
      </c>
      <c r="K2196" s="469">
        <v>1.8</v>
      </c>
    </row>
    <row r="2197" spans="2:11" x14ac:dyDescent="0.35">
      <c r="B2197" s="62">
        <v>12.25</v>
      </c>
      <c r="C2197" s="471">
        <v>2213</v>
      </c>
      <c r="D2197" s="471">
        <v>2199.6</v>
      </c>
      <c r="E2197" s="469">
        <v>34.85</v>
      </c>
      <c r="F2197" s="469">
        <v>15.5</v>
      </c>
      <c r="G2197" s="469">
        <v>8.9</v>
      </c>
      <c r="H2197" s="470">
        <v>160</v>
      </c>
      <c r="I2197" s="470">
        <v>715</v>
      </c>
      <c r="J2197" s="470">
        <v>3490</v>
      </c>
      <c r="K2197" s="469">
        <v>1.8</v>
      </c>
    </row>
    <row r="2198" spans="2:11" x14ac:dyDescent="0.35">
      <c r="B2198" s="62">
        <v>12.25</v>
      </c>
      <c r="C2198" s="471">
        <v>2214</v>
      </c>
      <c r="D2198" s="471">
        <v>2200.6</v>
      </c>
      <c r="E2198" s="469">
        <v>56.04</v>
      </c>
      <c r="F2198" s="469">
        <v>14.2</v>
      </c>
      <c r="G2198" s="469">
        <v>10</v>
      </c>
      <c r="H2198" s="470">
        <v>160</v>
      </c>
      <c r="I2198" s="470">
        <v>714</v>
      </c>
      <c r="J2198" s="470">
        <v>3514</v>
      </c>
      <c r="K2198" s="469">
        <v>1.8</v>
      </c>
    </row>
    <row r="2199" spans="2:11" x14ac:dyDescent="0.35">
      <c r="B2199" s="62">
        <v>12.25</v>
      </c>
      <c r="C2199" s="471">
        <v>2215</v>
      </c>
      <c r="D2199" s="471">
        <v>2201.6</v>
      </c>
      <c r="E2199" s="469">
        <v>45.4</v>
      </c>
      <c r="F2199" s="469">
        <v>15.7</v>
      </c>
      <c r="G2199" s="469">
        <v>10</v>
      </c>
      <c r="H2199" s="470">
        <v>160</v>
      </c>
      <c r="I2199" s="470">
        <v>713</v>
      </c>
      <c r="J2199" s="470">
        <v>3509</v>
      </c>
      <c r="K2199" s="469">
        <v>1.8</v>
      </c>
    </row>
    <row r="2200" spans="2:11" x14ac:dyDescent="0.35">
      <c r="B2200" s="62">
        <v>12.25</v>
      </c>
      <c r="C2200" s="471">
        <v>2216</v>
      </c>
      <c r="D2200" s="471">
        <v>2202.6999999999998</v>
      </c>
      <c r="E2200" s="469">
        <v>30.33</v>
      </c>
      <c r="F2200" s="469">
        <v>15.2</v>
      </c>
      <c r="G2200" s="469">
        <v>8.4</v>
      </c>
      <c r="H2200" s="470">
        <v>160</v>
      </c>
      <c r="I2200" s="470">
        <v>717</v>
      </c>
      <c r="J2200" s="470">
        <v>3470</v>
      </c>
      <c r="K2200" s="469">
        <v>1.8</v>
      </c>
    </row>
    <row r="2201" spans="2:11" x14ac:dyDescent="0.35">
      <c r="B2201" s="62">
        <v>12.25</v>
      </c>
      <c r="C2201" s="471">
        <v>2217</v>
      </c>
      <c r="D2201" s="471">
        <v>2203.6</v>
      </c>
      <c r="E2201" s="469">
        <v>23.7</v>
      </c>
      <c r="F2201" s="469">
        <v>13.7</v>
      </c>
      <c r="G2201" s="469">
        <v>8.1999999999999993</v>
      </c>
      <c r="H2201" s="470">
        <v>161</v>
      </c>
      <c r="I2201" s="470">
        <v>718</v>
      </c>
      <c r="J2201" s="470">
        <v>3435</v>
      </c>
      <c r="K2201" s="469">
        <v>1.8</v>
      </c>
    </row>
    <row r="2202" spans="2:11" x14ac:dyDescent="0.35">
      <c r="B2202" s="62">
        <v>12.25</v>
      </c>
      <c r="C2202" s="471">
        <v>2218</v>
      </c>
      <c r="D2202" s="471">
        <v>2204.6</v>
      </c>
      <c r="E2202" s="469">
        <v>34.85</v>
      </c>
      <c r="F2202" s="469">
        <v>14.3</v>
      </c>
      <c r="G2202" s="469">
        <v>8.9</v>
      </c>
      <c r="H2202" s="470">
        <v>160</v>
      </c>
      <c r="I2202" s="470">
        <v>715</v>
      </c>
      <c r="J2202" s="470">
        <v>3485</v>
      </c>
      <c r="K2202" s="469">
        <v>1.8</v>
      </c>
    </row>
    <row r="2203" spans="2:11" x14ac:dyDescent="0.35">
      <c r="B2203" s="62">
        <v>12.25</v>
      </c>
      <c r="C2203" s="471">
        <v>2219</v>
      </c>
      <c r="D2203" s="471">
        <v>2205.6</v>
      </c>
      <c r="E2203" s="469">
        <v>3.89</v>
      </c>
      <c r="F2203" s="469">
        <v>7.8</v>
      </c>
      <c r="G2203" s="469">
        <v>4.8</v>
      </c>
      <c r="H2203" s="470">
        <v>156</v>
      </c>
      <c r="I2203" s="470">
        <v>697</v>
      </c>
      <c r="J2203" s="470">
        <v>3337</v>
      </c>
      <c r="K2203" s="469">
        <v>1.81</v>
      </c>
    </row>
    <row r="2204" spans="2:11" x14ac:dyDescent="0.35">
      <c r="B2204" s="62">
        <v>12.25</v>
      </c>
      <c r="C2204" s="471">
        <v>2220</v>
      </c>
      <c r="D2204" s="471">
        <v>2206.6</v>
      </c>
      <c r="E2204" s="469">
        <v>5.52</v>
      </c>
      <c r="F2204" s="469">
        <v>8.1</v>
      </c>
      <c r="G2204" s="469">
        <v>4.4000000000000004</v>
      </c>
      <c r="H2204" s="470">
        <v>148</v>
      </c>
      <c r="I2204" s="470">
        <v>632</v>
      </c>
      <c r="J2204" s="470">
        <v>2941</v>
      </c>
      <c r="K2204" s="469">
        <v>1.81</v>
      </c>
    </row>
    <row r="2205" spans="2:11" x14ac:dyDescent="0.35">
      <c r="B2205" s="62">
        <v>12.25</v>
      </c>
      <c r="C2205" s="471">
        <v>2221</v>
      </c>
      <c r="D2205" s="471">
        <v>2207.6</v>
      </c>
      <c r="E2205" s="469">
        <v>7.11</v>
      </c>
      <c r="F2205" s="469">
        <v>10.1</v>
      </c>
      <c r="G2205" s="469">
        <v>5.5</v>
      </c>
      <c r="H2205" s="470">
        <v>159</v>
      </c>
      <c r="I2205" s="470">
        <v>723</v>
      </c>
      <c r="J2205" s="470">
        <v>3476</v>
      </c>
      <c r="K2205" s="469">
        <v>1.81</v>
      </c>
    </row>
    <row r="2206" spans="2:11" x14ac:dyDescent="0.35">
      <c r="B2206" s="62">
        <v>12.25</v>
      </c>
      <c r="C2206" s="471">
        <v>2222</v>
      </c>
      <c r="D2206" s="471">
        <v>2208.6</v>
      </c>
      <c r="E2206" s="469">
        <v>26</v>
      </c>
      <c r="F2206" s="469">
        <v>14.1</v>
      </c>
      <c r="G2206" s="469">
        <v>8.5</v>
      </c>
      <c r="H2206" s="470">
        <v>159</v>
      </c>
      <c r="I2206" s="470">
        <v>712</v>
      </c>
      <c r="J2206" s="470">
        <v>3618</v>
      </c>
      <c r="K2206" s="469">
        <v>1.81</v>
      </c>
    </row>
    <row r="2207" spans="2:11" x14ac:dyDescent="0.35">
      <c r="B2207" s="62">
        <v>12.25</v>
      </c>
      <c r="C2207" s="471">
        <v>2223</v>
      </c>
      <c r="D2207" s="471">
        <v>2209.6</v>
      </c>
      <c r="E2207" s="469">
        <v>30.33</v>
      </c>
      <c r="F2207" s="469">
        <v>14.3</v>
      </c>
      <c r="G2207" s="469">
        <v>8.5</v>
      </c>
      <c r="H2207" s="470">
        <v>159</v>
      </c>
      <c r="I2207" s="470">
        <v>709</v>
      </c>
      <c r="J2207" s="470">
        <v>3639</v>
      </c>
      <c r="K2207" s="469">
        <v>1.81</v>
      </c>
    </row>
    <row r="2208" spans="2:11" x14ac:dyDescent="0.35">
      <c r="B2208" s="62">
        <v>12.25</v>
      </c>
      <c r="C2208" s="471">
        <v>2224</v>
      </c>
      <c r="D2208" s="471">
        <v>2210.6</v>
      </c>
      <c r="E2208" s="469">
        <v>41.33</v>
      </c>
      <c r="F2208" s="469">
        <v>13.9</v>
      </c>
      <c r="G2208" s="469">
        <v>10.5</v>
      </c>
      <c r="H2208" s="470">
        <v>159</v>
      </c>
      <c r="I2208" s="470">
        <v>714</v>
      </c>
      <c r="J2208" s="470">
        <v>3671</v>
      </c>
      <c r="K2208" s="469">
        <v>1.81</v>
      </c>
    </row>
    <row r="2209" spans="2:11" x14ac:dyDescent="0.35">
      <c r="B2209" s="62">
        <v>12.25</v>
      </c>
      <c r="C2209" s="471">
        <v>2225</v>
      </c>
      <c r="D2209" s="471">
        <v>2211.6</v>
      </c>
      <c r="E2209" s="469">
        <v>35.770000000000003</v>
      </c>
      <c r="F2209" s="469">
        <v>13.4</v>
      </c>
      <c r="G2209" s="469">
        <v>9</v>
      </c>
      <c r="H2209" s="470">
        <v>159</v>
      </c>
      <c r="I2209" s="470">
        <v>710</v>
      </c>
      <c r="J2209" s="470">
        <v>3648</v>
      </c>
      <c r="K2209" s="469">
        <v>1.81</v>
      </c>
    </row>
    <row r="2210" spans="2:11" x14ac:dyDescent="0.35">
      <c r="B2210" s="62">
        <v>12.25</v>
      </c>
      <c r="C2210" s="471">
        <v>2226</v>
      </c>
      <c r="D2210" s="471">
        <v>2212.6</v>
      </c>
      <c r="E2210" s="469">
        <v>34.22</v>
      </c>
      <c r="F2210" s="469">
        <v>13.6</v>
      </c>
      <c r="G2210" s="469">
        <v>8.5</v>
      </c>
      <c r="H2210" s="470">
        <v>162</v>
      </c>
      <c r="I2210" s="470">
        <v>740</v>
      </c>
      <c r="J2210" s="470">
        <v>3602</v>
      </c>
      <c r="K2210" s="469">
        <v>1.81</v>
      </c>
    </row>
    <row r="2211" spans="2:11" x14ac:dyDescent="0.35">
      <c r="B2211" s="62">
        <v>12.25</v>
      </c>
      <c r="C2211" s="471">
        <v>2227</v>
      </c>
      <c r="D2211" s="471">
        <v>2213.6</v>
      </c>
      <c r="E2211" s="469">
        <v>19.32</v>
      </c>
      <c r="F2211" s="469">
        <v>14.2</v>
      </c>
      <c r="G2211" s="469">
        <v>8.1999999999999993</v>
      </c>
      <c r="H2211" s="470">
        <v>160</v>
      </c>
      <c r="I2211" s="470">
        <v>725</v>
      </c>
      <c r="J2211" s="470">
        <v>3581</v>
      </c>
      <c r="K2211" s="469">
        <v>1.81</v>
      </c>
    </row>
    <row r="2212" spans="2:11" x14ac:dyDescent="0.35">
      <c r="B2212" s="62">
        <v>12.25</v>
      </c>
      <c r="C2212" s="471">
        <v>2228</v>
      </c>
      <c r="D2212" s="471">
        <v>2214.5</v>
      </c>
      <c r="E2212" s="469">
        <v>21.56</v>
      </c>
      <c r="F2212" s="469">
        <v>13.6</v>
      </c>
      <c r="G2212" s="469">
        <v>7.7</v>
      </c>
      <c r="H2212" s="470">
        <v>159</v>
      </c>
      <c r="I2212" s="470">
        <v>713</v>
      </c>
      <c r="J2212" s="470">
        <v>3590</v>
      </c>
      <c r="K2212" s="469">
        <v>1.81</v>
      </c>
    </row>
    <row r="2213" spans="2:11" x14ac:dyDescent="0.35">
      <c r="B2213" s="62">
        <v>12.25</v>
      </c>
      <c r="C2213" s="471">
        <v>2229</v>
      </c>
      <c r="D2213" s="471">
        <v>2215.5</v>
      </c>
      <c r="E2213" s="469">
        <v>10.79</v>
      </c>
      <c r="F2213" s="469">
        <v>14.5</v>
      </c>
      <c r="G2213" s="469">
        <v>6.9</v>
      </c>
      <c r="H2213" s="470">
        <v>159</v>
      </c>
      <c r="I2213" s="470">
        <v>714</v>
      </c>
      <c r="J2213" s="470">
        <v>3581</v>
      </c>
      <c r="K2213" s="469">
        <v>1.81</v>
      </c>
    </row>
    <row r="2214" spans="2:11" x14ac:dyDescent="0.35">
      <c r="B2214" s="62">
        <v>12.25</v>
      </c>
      <c r="C2214" s="471">
        <v>2230</v>
      </c>
      <c r="D2214" s="471">
        <v>2216.6</v>
      </c>
      <c r="E2214" s="469">
        <v>6.45</v>
      </c>
      <c r="F2214" s="469">
        <v>16.2</v>
      </c>
      <c r="G2214" s="469">
        <v>6.2</v>
      </c>
      <c r="H2214" s="470">
        <v>158</v>
      </c>
      <c r="I2214" s="470">
        <v>707</v>
      </c>
      <c r="J2214" s="470">
        <v>3735</v>
      </c>
      <c r="K2214" s="469">
        <v>1.81</v>
      </c>
    </row>
    <row r="2215" spans="2:11" x14ac:dyDescent="0.35">
      <c r="B2215" s="62">
        <v>12.25</v>
      </c>
      <c r="C2215" s="471">
        <v>2231</v>
      </c>
      <c r="D2215" s="471">
        <v>2217.6</v>
      </c>
      <c r="E2215" s="469">
        <v>17.54</v>
      </c>
      <c r="F2215" s="469">
        <v>11.9</v>
      </c>
      <c r="G2215" s="469">
        <v>7.4</v>
      </c>
      <c r="H2215" s="470">
        <v>158</v>
      </c>
      <c r="I2215" s="470">
        <v>708</v>
      </c>
      <c r="J2215" s="470">
        <v>3835</v>
      </c>
      <c r="K2215" s="469">
        <v>1.81</v>
      </c>
    </row>
    <row r="2216" spans="2:11" x14ac:dyDescent="0.35">
      <c r="B2216" s="62">
        <v>12.25</v>
      </c>
      <c r="C2216" s="471">
        <v>2232</v>
      </c>
      <c r="D2216" s="471">
        <v>2218.5</v>
      </c>
      <c r="E2216" s="469">
        <v>26.41</v>
      </c>
      <c r="F2216" s="469">
        <v>13.4</v>
      </c>
      <c r="G2216" s="469">
        <v>8.8000000000000007</v>
      </c>
      <c r="H2216" s="470">
        <v>157</v>
      </c>
      <c r="I2216" s="470">
        <v>705</v>
      </c>
      <c r="J2216" s="470">
        <v>3836</v>
      </c>
      <c r="K2216" s="469">
        <v>1.81</v>
      </c>
    </row>
    <row r="2217" spans="2:11" x14ac:dyDescent="0.35">
      <c r="B2217" s="62">
        <v>12.25</v>
      </c>
      <c r="C2217" s="471">
        <v>2233</v>
      </c>
      <c r="D2217" s="471">
        <v>2219.5</v>
      </c>
      <c r="E2217" s="469">
        <v>29.75</v>
      </c>
      <c r="F2217" s="469">
        <v>12.8</v>
      </c>
      <c r="G2217" s="469">
        <v>8.9</v>
      </c>
      <c r="H2217" s="470">
        <v>157</v>
      </c>
      <c r="I2217" s="470">
        <v>707</v>
      </c>
      <c r="J2217" s="470">
        <v>3811</v>
      </c>
      <c r="K2217" s="469">
        <v>1.81</v>
      </c>
    </row>
    <row r="2218" spans="2:11" x14ac:dyDescent="0.35">
      <c r="B2218" s="62">
        <v>12.25</v>
      </c>
      <c r="C2218" s="471">
        <v>2234</v>
      </c>
      <c r="D2218" s="471">
        <v>2220.6</v>
      </c>
      <c r="E2218" s="469">
        <v>29</v>
      </c>
      <c r="F2218" s="469">
        <v>13.9</v>
      </c>
      <c r="G2218" s="469">
        <v>8.4</v>
      </c>
      <c r="H2218" s="470">
        <v>157</v>
      </c>
      <c r="I2218" s="470">
        <v>706</v>
      </c>
      <c r="J2218" s="470">
        <v>3834</v>
      </c>
      <c r="K2218" s="469">
        <v>1.81</v>
      </c>
    </row>
    <row r="2219" spans="2:11" x14ac:dyDescent="0.35">
      <c r="B2219" s="62">
        <v>12.25</v>
      </c>
      <c r="C2219" s="471">
        <v>2235</v>
      </c>
      <c r="D2219" s="471">
        <v>2221.5</v>
      </c>
      <c r="E2219" s="469">
        <v>31.85</v>
      </c>
      <c r="F2219" s="469">
        <v>14.5</v>
      </c>
      <c r="G2219" s="469">
        <v>9.4</v>
      </c>
      <c r="H2219" s="470">
        <v>158</v>
      </c>
      <c r="I2219" s="470">
        <v>706</v>
      </c>
      <c r="J2219" s="470">
        <v>3816</v>
      </c>
      <c r="K2219" s="469">
        <v>1.81</v>
      </c>
    </row>
    <row r="2220" spans="2:11" x14ac:dyDescent="0.35">
      <c r="B2220" s="62">
        <v>12.25</v>
      </c>
      <c r="C2220" s="471">
        <v>2236</v>
      </c>
      <c r="D2220" s="471">
        <v>2222.5</v>
      </c>
      <c r="E2220" s="469">
        <v>38.15</v>
      </c>
      <c r="F2220" s="469">
        <v>14.2</v>
      </c>
      <c r="G2220" s="469">
        <v>7.8</v>
      </c>
      <c r="H2220" s="470">
        <v>157</v>
      </c>
      <c r="I2220" s="470">
        <v>705</v>
      </c>
      <c r="J2220" s="470">
        <v>3861</v>
      </c>
      <c r="K2220" s="469">
        <v>1.81</v>
      </c>
    </row>
    <row r="2221" spans="2:11" x14ac:dyDescent="0.35">
      <c r="B2221" s="62">
        <v>12.25</v>
      </c>
      <c r="C2221" s="471">
        <v>2237</v>
      </c>
      <c r="D2221" s="471">
        <v>2223.5</v>
      </c>
      <c r="E2221" s="469">
        <v>23.12</v>
      </c>
      <c r="F2221" s="469">
        <v>14.7</v>
      </c>
      <c r="G2221" s="469">
        <v>5.5</v>
      </c>
      <c r="H2221" s="470">
        <v>157</v>
      </c>
      <c r="I2221" s="470">
        <v>700</v>
      </c>
      <c r="J2221" s="470">
        <v>3820</v>
      </c>
      <c r="K2221" s="469">
        <v>1.81</v>
      </c>
    </row>
    <row r="2222" spans="2:11" x14ac:dyDescent="0.35">
      <c r="B2222" s="62">
        <v>12.25</v>
      </c>
      <c r="C2222" s="471">
        <v>2238</v>
      </c>
      <c r="D2222" s="471">
        <v>2224.5</v>
      </c>
      <c r="E2222" s="469">
        <v>17.350000000000001</v>
      </c>
      <c r="F2222" s="469">
        <v>15.2</v>
      </c>
      <c r="G2222" s="469">
        <v>8.4</v>
      </c>
      <c r="H2222" s="470">
        <v>157</v>
      </c>
      <c r="I2222" s="470">
        <v>699</v>
      </c>
      <c r="J2222" s="470">
        <v>3755</v>
      </c>
      <c r="K2222" s="469">
        <v>1.81</v>
      </c>
    </row>
    <row r="2223" spans="2:11" x14ac:dyDescent="0.35">
      <c r="B2223" s="62">
        <v>12.25</v>
      </c>
      <c r="C2223" s="471">
        <v>2239</v>
      </c>
      <c r="D2223" s="471">
        <v>2225.5</v>
      </c>
      <c r="E2223" s="469">
        <v>34.369999999999997</v>
      </c>
      <c r="F2223" s="469">
        <v>14.6</v>
      </c>
      <c r="G2223" s="469">
        <v>9.4</v>
      </c>
      <c r="H2223" s="470">
        <v>157</v>
      </c>
      <c r="I2223" s="470">
        <v>701</v>
      </c>
      <c r="J2223" s="470">
        <v>3814</v>
      </c>
      <c r="K2223" s="469">
        <v>1.81</v>
      </c>
    </row>
    <row r="2224" spans="2:11" x14ac:dyDescent="0.35">
      <c r="B2224" s="62">
        <v>12.25</v>
      </c>
      <c r="C2224" s="471">
        <v>2240</v>
      </c>
      <c r="D2224" s="471">
        <v>2226.5</v>
      </c>
      <c r="E2224" s="469">
        <v>45.4</v>
      </c>
      <c r="F2224" s="469">
        <v>14.1</v>
      </c>
      <c r="G2224" s="469">
        <v>7.8</v>
      </c>
      <c r="H2224" s="470">
        <v>157</v>
      </c>
      <c r="I2224" s="470">
        <v>705</v>
      </c>
      <c r="J2224" s="470">
        <v>3829</v>
      </c>
      <c r="K2224" s="469">
        <v>1.81</v>
      </c>
    </row>
    <row r="2225" spans="2:11" x14ac:dyDescent="0.35">
      <c r="B2225" s="62">
        <v>12.25</v>
      </c>
      <c r="C2225" s="471">
        <v>2241</v>
      </c>
      <c r="D2225" s="471">
        <v>2227.5</v>
      </c>
      <c r="E2225" s="469">
        <v>33.340000000000003</v>
      </c>
      <c r="F2225" s="469">
        <v>14.6</v>
      </c>
      <c r="G2225" s="469">
        <v>9.3000000000000007</v>
      </c>
      <c r="H2225" s="470">
        <v>157</v>
      </c>
      <c r="I2225" s="470">
        <v>702</v>
      </c>
      <c r="J2225" s="470">
        <v>3809</v>
      </c>
      <c r="K2225" s="469">
        <v>1.81</v>
      </c>
    </row>
    <row r="2226" spans="2:11" x14ac:dyDescent="0.35">
      <c r="B2226" s="62">
        <v>12.25</v>
      </c>
      <c r="C2226" s="471">
        <v>2242</v>
      </c>
      <c r="D2226" s="471">
        <v>2228.5</v>
      </c>
      <c r="E2226" s="469">
        <v>41.71</v>
      </c>
      <c r="F2226" s="469">
        <v>14.4</v>
      </c>
      <c r="G2226" s="469">
        <v>7.9</v>
      </c>
      <c r="H2226" s="470">
        <v>157</v>
      </c>
      <c r="I2226" s="470">
        <v>700</v>
      </c>
      <c r="J2226" s="470">
        <v>3817</v>
      </c>
      <c r="K2226" s="469">
        <v>1.81</v>
      </c>
    </row>
    <row r="2227" spans="2:11" x14ac:dyDescent="0.35">
      <c r="B2227" s="62">
        <v>12.25</v>
      </c>
      <c r="C2227" s="471">
        <v>2243</v>
      </c>
      <c r="D2227" s="471">
        <v>2229.5</v>
      </c>
      <c r="E2227" s="469">
        <v>37.24</v>
      </c>
      <c r="F2227" s="469">
        <v>14.7</v>
      </c>
      <c r="G2227" s="469">
        <v>9.6</v>
      </c>
      <c r="H2227" s="470">
        <v>157</v>
      </c>
      <c r="I2227" s="470">
        <v>701</v>
      </c>
      <c r="J2227" s="470">
        <v>3816</v>
      </c>
      <c r="K2227" s="469">
        <v>1.81</v>
      </c>
    </row>
    <row r="2228" spans="2:11" x14ac:dyDescent="0.35">
      <c r="B2228" s="62">
        <v>12.25</v>
      </c>
      <c r="C2228" s="471">
        <v>2244</v>
      </c>
      <c r="D2228" s="471">
        <v>2230.5</v>
      </c>
      <c r="E2228" s="469">
        <v>28.61</v>
      </c>
      <c r="F2228" s="469">
        <v>15.3</v>
      </c>
      <c r="G2228" s="469">
        <v>7.7</v>
      </c>
      <c r="H2228" s="470">
        <v>157</v>
      </c>
      <c r="I2228" s="470">
        <v>699</v>
      </c>
      <c r="J2228" s="470">
        <v>3767</v>
      </c>
      <c r="K2228" s="469">
        <v>1.81</v>
      </c>
    </row>
    <row r="2229" spans="2:11" x14ac:dyDescent="0.35">
      <c r="B2229" s="62">
        <v>12.25</v>
      </c>
      <c r="C2229" s="471">
        <v>2245</v>
      </c>
      <c r="D2229" s="471">
        <v>2231.5</v>
      </c>
      <c r="E2229" s="469">
        <v>28.4</v>
      </c>
      <c r="F2229" s="469">
        <v>15.6</v>
      </c>
      <c r="G2229" s="469">
        <v>8.5</v>
      </c>
      <c r="H2229" s="470">
        <v>157</v>
      </c>
      <c r="I2229" s="470">
        <v>700</v>
      </c>
      <c r="J2229" s="470">
        <v>3771</v>
      </c>
      <c r="K2229" s="469">
        <v>1.81</v>
      </c>
    </row>
    <row r="2230" spans="2:11" x14ac:dyDescent="0.35">
      <c r="B2230" s="62">
        <v>12.25</v>
      </c>
      <c r="C2230" s="471">
        <v>2246</v>
      </c>
      <c r="D2230" s="471">
        <v>2232.5</v>
      </c>
      <c r="E2230" s="469">
        <v>36.630000000000003</v>
      </c>
      <c r="F2230" s="469">
        <v>14.7</v>
      </c>
      <c r="G2230" s="469">
        <v>9.6999999999999993</v>
      </c>
      <c r="H2230" s="470">
        <v>157</v>
      </c>
      <c r="I2230" s="470">
        <v>699</v>
      </c>
      <c r="J2230" s="470">
        <v>3812</v>
      </c>
      <c r="K2230" s="469">
        <v>1.81</v>
      </c>
    </row>
    <row r="2231" spans="2:11" x14ac:dyDescent="0.35">
      <c r="B2231" s="62">
        <v>12.25</v>
      </c>
      <c r="C2231" s="471">
        <v>2247</v>
      </c>
      <c r="D2231" s="471">
        <v>2233.5</v>
      </c>
      <c r="E2231" s="469">
        <v>42.01</v>
      </c>
      <c r="F2231" s="469">
        <v>14.5</v>
      </c>
      <c r="G2231" s="469">
        <v>8.3000000000000007</v>
      </c>
      <c r="H2231" s="470">
        <v>157</v>
      </c>
      <c r="I2231" s="470">
        <v>700</v>
      </c>
      <c r="J2231" s="470">
        <v>3836</v>
      </c>
      <c r="K2231" s="469">
        <v>1.81</v>
      </c>
    </row>
    <row r="2232" spans="2:11" x14ac:dyDescent="0.35">
      <c r="B2232" s="62">
        <v>12.25</v>
      </c>
      <c r="C2232" s="471">
        <v>2248</v>
      </c>
      <c r="D2232" s="471">
        <v>2234.5</v>
      </c>
      <c r="E2232" s="469">
        <v>6.81</v>
      </c>
      <c r="F2232" s="469">
        <v>11.1</v>
      </c>
      <c r="G2232" s="469">
        <v>7.3</v>
      </c>
      <c r="H2232" s="470">
        <v>157</v>
      </c>
      <c r="I2232" s="470">
        <v>701</v>
      </c>
      <c r="J2232" s="470">
        <v>3781</v>
      </c>
      <c r="K2232" s="469">
        <v>1.81</v>
      </c>
    </row>
    <row r="2233" spans="2:11" x14ac:dyDescent="0.35">
      <c r="B2233" s="62">
        <v>12.25</v>
      </c>
      <c r="C2233" s="471">
        <v>2249</v>
      </c>
      <c r="D2233" s="471">
        <v>2235.5</v>
      </c>
      <c r="E2233" s="469">
        <v>47.45</v>
      </c>
      <c r="F2233" s="469">
        <v>10.8</v>
      </c>
      <c r="G2233" s="469">
        <v>10.8</v>
      </c>
      <c r="H2233" s="470">
        <v>158</v>
      </c>
      <c r="I2233" s="470">
        <v>709</v>
      </c>
      <c r="J2233" s="470">
        <v>3940</v>
      </c>
      <c r="K2233" s="469">
        <v>1.81</v>
      </c>
    </row>
    <row r="2234" spans="2:11" x14ac:dyDescent="0.35">
      <c r="B2234" s="62">
        <v>12.25</v>
      </c>
      <c r="C2234" s="471">
        <v>2250</v>
      </c>
      <c r="D2234" s="471">
        <v>2236.6</v>
      </c>
      <c r="E2234" s="469">
        <v>15.29</v>
      </c>
      <c r="F2234" s="469">
        <v>6.8</v>
      </c>
      <c r="G2234" s="469">
        <v>8.1999999999999993</v>
      </c>
      <c r="H2234" s="470">
        <v>156</v>
      </c>
      <c r="I2234" s="470">
        <v>697</v>
      </c>
      <c r="J2234" s="470">
        <v>3748</v>
      </c>
      <c r="K2234" s="469">
        <v>1.81</v>
      </c>
    </row>
    <row r="2235" spans="2:11" x14ac:dyDescent="0.35">
      <c r="B2235" s="62">
        <v>12.25</v>
      </c>
      <c r="C2235" s="471">
        <v>2251</v>
      </c>
      <c r="D2235" s="471">
        <v>2237.5</v>
      </c>
      <c r="E2235" s="469">
        <v>25.95</v>
      </c>
      <c r="F2235" s="469">
        <v>9.9</v>
      </c>
      <c r="G2235" s="469">
        <v>8.1</v>
      </c>
      <c r="H2235" s="470">
        <v>155</v>
      </c>
      <c r="I2235" s="470">
        <v>692</v>
      </c>
      <c r="J2235" s="470">
        <v>3763</v>
      </c>
      <c r="K2235" s="469">
        <v>1.81</v>
      </c>
    </row>
    <row r="2236" spans="2:11" x14ac:dyDescent="0.35">
      <c r="B2236" s="62">
        <v>12.25</v>
      </c>
      <c r="C2236" s="471">
        <v>2252</v>
      </c>
      <c r="D2236" s="471">
        <v>2238.5</v>
      </c>
      <c r="E2236" s="469">
        <v>7.16</v>
      </c>
      <c r="F2236" s="469">
        <v>13.8</v>
      </c>
      <c r="G2236" s="469">
        <v>4.8</v>
      </c>
      <c r="H2236" s="470">
        <v>157</v>
      </c>
      <c r="I2236" s="470">
        <v>705</v>
      </c>
      <c r="J2236" s="470">
        <v>3796</v>
      </c>
      <c r="K2236" s="469">
        <v>1.81</v>
      </c>
    </row>
    <row r="2237" spans="2:11" x14ac:dyDescent="0.35">
      <c r="B2237" s="62">
        <v>12.25</v>
      </c>
      <c r="C2237" s="471">
        <v>2253</v>
      </c>
      <c r="D2237" s="471">
        <v>2239.5</v>
      </c>
      <c r="E2237" s="469">
        <v>9.64</v>
      </c>
      <c r="F2237" s="469">
        <v>14.7</v>
      </c>
      <c r="G2237" s="469">
        <v>7.4</v>
      </c>
      <c r="H2237" s="470">
        <v>154</v>
      </c>
      <c r="I2237" s="470">
        <v>681</v>
      </c>
      <c r="J2237" s="470">
        <v>3664</v>
      </c>
      <c r="K2237" s="469">
        <v>1.81</v>
      </c>
    </row>
    <row r="2238" spans="2:11" x14ac:dyDescent="0.35">
      <c r="B2238" s="62">
        <v>12.25</v>
      </c>
      <c r="C2238" s="471">
        <v>2254</v>
      </c>
      <c r="D2238" s="471">
        <v>2240.5</v>
      </c>
      <c r="E2238" s="469">
        <v>7.16</v>
      </c>
      <c r="F2238" s="469">
        <v>14.5</v>
      </c>
      <c r="G2238" s="469">
        <v>5.2</v>
      </c>
      <c r="H2238" s="470">
        <v>148</v>
      </c>
      <c r="I2238" s="470">
        <v>625</v>
      </c>
      <c r="J2238" s="470">
        <v>3233</v>
      </c>
      <c r="K2238" s="469">
        <v>1.81</v>
      </c>
    </row>
    <row r="2239" spans="2:11" x14ac:dyDescent="0.35">
      <c r="B2239" s="62">
        <v>12.25</v>
      </c>
      <c r="C2239" s="471">
        <v>2255</v>
      </c>
      <c r="D2239" s="471">
        <v>2241.5</v>
      </c>
      <c r="E2239" s="469">
        <v>14.39</v>
      </c>
      <c r="F2239" s="469">
        <v>14.9</v>
      </c>
      <c r="G2239" s="469">
        <v>6.9</v>
      </c>
      <c r="H2239" s="470">
        <v>155</v>
      </c>
      <c r="I2239" s="470">
        <v>689</v>
      </c>
      <c r="J2239" s="470">
        <v>3711</v>
      </c>
      <c r="K2239" s="469">
        <v>1.81</v>
      </c>
    </row>
    <row r="2240" spans="2:11" x14ac:dyDescent="0.35">
      <c r="B2240" s="62">
        <v>12.25</v>
      </c>
      <c r="C2240" s="471">
        <v>2256</v>
      </c>
      <c r="D2240" s="471">
        <v>2242.5</v>
      </c>
      <c r="E2240" s="469">
        <v>4.68</v>
      </c>
      <c r="F2240" s="469">
        <v>15.6</v>
      </c>
      <c r="G2240" s="469">
        <v>5.8</v>
      </c>
      <c r="H2240" s="470">
        <v>157</v>
      </c>
      <c r="I2240" s="470">
        <v>706</v>
      </c>
      <c r="J2240" s="470">
        <v>3768</v>
      </c>
      <c r="K2240" s="469">
        <v>1.81</v>
      </c>
    </row>
    <row r="2241" spans="2:11" x14ac:dyDescent="0.35">
      <c r="B2241" s="62">
        <v>12.25</v>
      </c>
      <c r="C2241" s="471">
        <v>2257</v>
      </c>
      <c r="D2241" s="471">
        <v>2243.5</v>
      </c>
      <c r="E2241" s="469">
        <v>2.6</v>
      </c>
      <c r="F2241" s="469">
        <v>16.3</v>
      </c>
      <c r="G2241" s="469">
        <v>3.9</v>
      </c>
      <c r="H2241" s="470">
        <v>160</v>
      </c>
      <c r="I2241" s="470">
        <v>707</v>
      </c>
      <c r="J2241" s="470">
        <v>3715</v>
      </c>
      <c r="K2241" s="469">
        <v>1.81</v>
      </c>
    </row>
    <row r="2242" spans="2:11" x14ac:dyDescent="0.35">
      <c r="B2242" s="62">
        <v>12.25</v>
      </c>
      <c r="C2242" s="471">
        <v>2258</v>
      </c>
      <c r="D2242" s="471">
        <v>2244.5</v>
      </c>
      <c r="E2242" s="469">
        <v>4.24</v>
      </c>
      <c r="F2242" s="469">
        <v>17</v>
      </c>
      <c r="G2242" s="469">
        <v>4.7</v>
      </c>
      <c r="H2242" s="470">
        <v>160</v>
      </c>
      <c r="I2242" s="470">
        <v>708</v>
      </c>
      <c r="J2242" s="470">
        <v>3731</v>
      </c>
      <c r="K2242" s="469">
        <v>1.81</v>
      </c>
    </row>
    <row r="2243" spans="2:11" x14ac:dyDescent="0.35">
      <c r="B2243" s="62">
        <v>12.25</v>
      </c>
      <c r="C2243" s="471">
        <v>2259</v>
      </c>
      <c r="D2243" s="471">
        <v>2245.5</v>
      </c>
      <c r="E2243" s="469">
        <v>6.89</v>
      </c>
      <c r="F2243" s="469">
        <v>16.8</v>
      </c>
      <c r="G2243" s="469">
        <v>6.3</v>
      </c>
      <c r="H2243" s="470">
        <v>160</v>
      </c>
      <c r="I2243" s="470">
        <v>708</v>
      </c>
      <c r="J2243" s="470">
        <v>3763</v>
      </c>
      <c r="K2243" s="469">
        <v>1.81</v>
      </c>
    </row>
    <row r="2244" spans="2:11" x14ac:dyDescent="0.35">
      <c r="B2244" s="62">
        <v>12.25</v>
      </c>
      <c r="C2244" s="471">
        <v>2260</v>
      </c>
      <c r="D2244" s="471">
        <v>2246.5</v>
      </c>
      <c r="E2244" s="469">
        <v>7.84</v>
      </c>
      <c r="F2244" s="469">
        <v>17.2</v>
      </c>
      <c r="G2244" s="469">
        <v>7.5</v>
      </c>
      <c r="H2244" s="470">
        <v>160</v>
      </c>
      <c r="I2244" s="470">
        <v>708</v>
      </c>
      <c r="J2244" s="470">
        <v>3755</v>
      </c>
      <c r="K2244" s="469">
        <v>1.81</v>
      </c>
    </row>
    <row r="2245" spans="2:11" x14ac:dyDescent="0.35">
      <c r="B2245" s="62">
        <v>12.25</v>
      </c>
      <c r="C2245" s="471">
        <v>2261</v>
      </c>
      <c r="D2245" s="471">
        <v>2247.5</v>
      </c>
      <c r="E2245" s="469">
        <v>8.32</v>
      </c>
      <c r="F2245" s="469">
        <v>17.399999999999999</v>
      </c>
      <c r="G2245" s="469">
        <v>6.6</v>
      </c>
      <c r="H2245" s="470">
        <v>164</v>
      </c>
      <c r="I2245" s="470">
        <v>709</v>
      </c>
      <c r="J2245" s="470">
        <v>3756</v>
      </c>
      <c r="K2245" s="469">
        <v>1.81</v>
      </c>
    </row>
    <row r="2246" spans="2:11" x14ac:dyDescent="0.35">
      <c r="B2246" s="62">
        <v>12.25</v>
      </c>
      <c r="C2246" s="471">
        <v>2262</v>
      </c>
      <c r="D2246" s="471">
        <v>2248.4</v>
      </c>
      <c r="E2246" s="469">
        <v>7.29</v>
      </c>
      <c r="F2246" s="469">
        <v>16</v>
      </c>
      <c r="G2246" s="469">
        <v>6.4</v>
      </c>
      <c r="H2246" s="470">
        <v>176</v>
      </c>
      <c r="I2246" s="470">
        <v>708</v>
      </c>
      <c r="J2246" s="470">
        <v>3732</v>
      </c>
      <c r="K2246" s="469">
        <v>1.81</v>
      </c>
    </row>
    <row r="2247" spans="2:11" x14ac:dyDescent="0.35">
      <c r="B2247" s="62">
        <v>12.25</v>
      </c>
      <c r="C2247" s="471">
        <v>2263</v>
      </c>
      <c r="D2247" s="471">
        <v>2249.4</v>
      </c>
      <c r="E2247" s="469">
        <v>9.64</v>
      </c>
      <c r="F2247" s="469">
        <v>15.5</v>
      </c>
      <c r="G2247" s="469">
        <v>6.2</v>
      </c>
      <c r="H2247" s="470">
        <v>176</v>
      </c>
      <c r="I2247" s="470">
        <v>707</v>
      </c>
      <c r="J2247" s="470">
        <v>3744</v>
      </c>
      <c r="K2247" s="469">
        <v>1.81</v>
      </c>
    </row>
    <row r="2248" spans="2:11" x14ac:dyDescent="0.35">
      <c r="B2248" s="62">
        <v>12.25</v>
      </c>
      <c r="C2248" s="471">
        <v>2264</v>
      </c>
      <c r="D2248" s="471">
        <v>2250.5</v>
      </c>
      <c r="E2248" s="469">
        <v>7.98</v>
      </c>
      <c r="F2248" s="469">
        <v>15.2</v>
      </c>
      <c r="G2248" s="469">
        <v>6.2</v>
      </c>
      <c r="H2248" s="470">
        <v>176</v>
      </c>
      <c r="I2248" s="470">
        <v>708</v>
      </c>
      <c r="J2248" s="470">
        <v>3727</v>
      </c>
      <c r="K2248" s="469">
        <v>1.81</v>
      </c>
    </row>
    <row r="2249" spans="2:11" x14ac:dyDescent="0.35">
      <c r="B2249" s="62">
        <v>12.25</v>
      </c>
      <c r="C2249" s="471">
        <v>2265</v>
      </c>
      <c r="D2249" s="471">
        <v>2251.4</v>
      </c>
      <c r="E2249" s="469">
        <v>8.3800000000000008</v>
      </c>
      <c r="F2249" s="469">
        <v>15</v>
      </c>
      <c r="G2249" s="469">
        <v>6.1</v>
      </c>
      <c r="H2249" s="470">
        <v>176</v>
      </c>
      <c r="I2249" s="470">
        <v>706</v>
      </c>
      <c r="J2249" s="470">
        <v>3716</v>
      </c>
      <c r="K2249" s="469">
        <v>1.81</v>
      </c>
    </row>
    <row r="2250" spans="2:11" x14ac:dyDescent="0.35">
      <c r="B2250" s="62">
        <v>12.25</v>
      </c>
      <c r="C2250" s="471">
        <v>2266</v>
      </c>
      <c r="D2250" s="471">
        <v>2252.5</v>
      </c>
      <c r="E2250" s="469">
        <v>10.51</v>
      </c>
      <c r="F2250" s="469">
        <v>15.6</v>
      </c>
      <c r="G2250" s="469">
        <v>7.6</v>
      </c>
      <c r="H2250" s="470">
        <v>176</v>
      </c>
      <c r="I2250" s="470">
        <v>707</v>
      </c>
      <c r="J2250" s="470">
        <v>3746</v>
      </c>
      <c r="K2250" s="469">
        <v>1.81</v>
      </c>
    </row>
    <row r="2251" spans="2:11" x14ac:dyDescent="0.35">
      <c r="B2251" s="62">
        <v>12.25</v>
      </c>
      <c r="C2251" s="471">
        <v>2267</v>
      </c>
      <c r="D2251" s="471">
        <v>2253.4</v>
      </c>
      <c r="E2251" s="469">
        <v>7.52</v>
      </c>
      <c r="F2251" s="469">
        <v>15.6</v>
      </c>
      <c r="G2251" s="469">
        <v>6.7</v>
      </c>
      <c r="H2251" s="470">
        <v>176</v>
      </c>
      <c r="I2251" s="470">
        <v>708</v>
      </c>
      <c r="J2251" s="470">
        <v>3721</v>
      </c>
      <c r="K2251" s="469">
        <v>1.81</v>
      </c>
    </row>
    <row r="2252" spans="2:11" x14ac:dyDescent="0.35">
      <c r="B2252" s="62">
        <v>12.25</v>
      </c>
      <c r="C2252" s="471">
        <v>2268</v>
      </c>
      <c r="D2252" s="471">
        <v>2254.4</v>
      </c>
      <c r="E2252" s="469">
        <v>21.07</v>
      </c>
      <c r="F2252" s="469">
        <v>14.7</v>
      </c>
      <c r="G2252" s="469">
        <v>9.8000000000000007</v>
      </c>
      <c r="H2252" s="470">
        <v>176</v>
      </c>
      <c r="I2252" s="470">
        <v>708</v>
      </c>
      <c r="J2252" s="470">
        <v>3811</v>
      </c>
      <c r="K2252" s="469">
        <v>1.81</v>
      </c>
    </row>
    <row r="2253" spans="2:11" x14ac:dyDescent="0.35">
      <c r="B2253" s="62">
        <v>12.25</v>
      </c>
      <c r="C2253" s="471">
        <v>2269</v>
      </c>
      <c r="D2253" s="471">
        <v>2255.4</v>
      </c>
      <c r="E2253" s="469">
        <v>78.790000000000006</v>
      </c>
      <c r="F2253" s="469">
        <v>12.9</v>
      </c>
      <c r="G2253" s="469">
        <v>11.7</v>
      </c>
      <c r="H2253" s="470">
        <v>176</v>
      </c>
      <c r="I2253" s="470">
        <v>707</v>
      </c>
      <c r="J2253" s="470">
        <v>3892</v>
      </c>
      <c r="K2253" s="469">
        <v>1.81</v>
      </c>
    </row>
    <row r="2254" spans="2:11" x14ac:dyDescent="0.35">
      <c r="B2254" s="62">
        <v>12.25</v>
      </c>
      <c r="C2254" s="471">
        <v>2270</v>
      </c>
      <c r="D2254" s="471">
        <v>2256.4</v>
      </c>
      <c r="E2254" s="469">
        <v>42.61</v>
      </c>
      <c r="F2254" s="469">
        <v>14.2</v>
      </c>
      <c r="G2254" s="469">
        <v>9.8000000000000007</v>
      </c>
      <c r="H2254" s="470">
        <v>176</v>
      </c>
      <c r="I2254" s="470">
        <v>710</v>
      </c>
      <c r="J2254" s="470">
        <v>3856</v>
      </c>
      <c r="K2254" s="469">
        <v>1.81</v>
      </c>
    </row>
    <row r="2255" spans="2:11" x14ac:dyDescent="0.35">
      <c r="B2255" s="62">
        <v>12.25</v>
      </c>
      <c r="C2255" s="471">
        <v>2271</v>
      </c>
      <c r="D2255" s="471">
        <v>2257.3000000000002</v>
      </c>
      <c r="E2255" s="469">
        <v>49.46</v>
      </c>
      <c r="F2255" s="469">
        <v>13.9</v>
      </c>
      <c r="G2255" s="469">
        <v>9.8000000000000007</v>
      </c>
      <c r="H2255" s="470">
        <v>176</v>
      </c>
      <c r="I2255" s="470">
        <v>708</v>
      </c>
      <c r="J2255" s="470">
        <v>3835</v>
      </c>
      <c r="K2255" s="469">
        <v>1.81</v>
      </c>
    </row>
    <row r="2256" spans="2:11" x14ac:dyDescent="0.35">
      <c r="B2256" s="62">
        <v>12.25</v>
      </c>
      <c r="C2256" s="471">
        <v>2272</v>
      </c>
      <c r="D2256" s="471">
        <v>2258.4</v>
      </c>
      <c r="E2256" s="469">
        <v>50.48</v>
      </c>
      <c r="F2256" s="469">
        <v>13.3</v>
      </c>
      <c r="G2256" s="469">
        <v>9.9</v>
      </c>
      <c r="H2256" s="470">
        <v>176</v>
      </c>
      <c r="I2256" s="470">
        <v>709</v>
      </c>
      <c r="J2256" s="470">
        <v>3840</v>
      </c>
      <c r="K2256" s="469">
        <v>1.81</v>
      </c>
    </row>
    <row r="2257" spans="2:11" x14ac:dyDescent="0.35">
      <c r="B2257" s="62">
        <v>12.25</v>
      </c>
      <c r="C2257" s="471">
        <v>2273</v>
      </c>
      <c r="D2257" s="471">
        <v>2259.4</v>
      </c>
      <c r="E2257" s="469">
        <v>37.76</v>
      </c>
      <c r="F2257" s="469">
        <v>13.2</v>
      </c>
      <c r="G2257" s="469">
        <v>9.5</v>
      </c>
      <c r="H2257" s="470">
        <v>176</v>
      </c>
      <c r="I2257" s="470">
        <v>709</v>
      </c>
      <c r="J2257" s="470">
        <v>3817</v>
      </c>
      <c r="K2257" s="469">
        <v>1.81</v>
      </c>
    </row>
    <row r="2258" spans="2:11" x14ac:dyDescent="0.35">
      <c r="B2258" s="62">
        <v>12.25</v>
      </c>
      <c r="C2258" s="471">
        <v>2274</v>
      </c>
      <c r="D2258" s="471">
        <v>2260.4</v>
      </c>
      <c r="E2258" s="469">
        <v>16.809999999999999</v>
      </c>
      <c r="F2258" s="469">
        <v>5.5</v>
      </c>
      <c r="G2258" s="469">
        <v>6.7</v>
      </c>
      <c r="H2258" s="470">
        <v>175</v>
      </c>
      <c r="I2258" s="470">
        <v>702</v>
      </c>
      <c r="J2258" s="470">
        <v>3662</v>
      </c>
      <c r="K2258" s="469">
        <v>1.81</v>
      </c>
    </row>
    <row r="2259" spans="2:11" x14ac:dyDescent="0.35">
      <c r="B2259" s="62">
        <v>12.25</v>
      </c>
      <c r="C2259" s="471">
        <v>2275</v>
      </c>
      <c r="D2259" s="471">
        <v>2261.3000000000002</v>
      </c>
      <c r="E2259" s="469">
        <v>38.909999999999997</v>
      </c>
      <c r="F2259" s="469">
        <v>8.6999999999999993</v>
      </c>
      <c r="G2259" s="469">
        <v>7.8</v>
      </c>
      <c r="H2259" s="470">
        <v>174</v>
      </c>
      <c r="I2259" s="470">
        <v>693</v>
      </c>
      <c r="J2259" s="470">
        <v>3744</v>
      </c>
      <c r="K2259" s="469">
        <v>1.81</v>
      </c>
    </row>
    <row r="2260" spans="2:11" x14ac:dyDescent="0.35">
      <c r="B2260" s="62">
        <v>12.25</v>
      </c>
      <c r="C2260" s="471">
        <v>2276</v>
      </c>
      <c r="D2260" s="471">
        <v>2262.4</v>
      </c>
      <c r="E2260" s="469">
        <v>22.3</v>
      </c>
      <c r="F2260" s="469">
        <v>12</v>
      </c>
      <c r="G2260" s="469">
        <v>8.4</v>
      </c>
      <c r="H2260" s="470">
        <v>174</v>
      </c>
      <c r="I2260" s="470">
        <v>694</v>
      </c>
      <c r="J2260" s="470">
        <v>3734</v>
      </c>
      <c r="K2260" s="469">
        <v>1.81</v>
      </c>
    </row>
    <row r="2261" spans="2:11" x14ac:dyDescent="0.35">
      <c r="B2261" s="62">
        <v>12.25</v>
      </c>
      <c r="C2261" s="471">
        <v>2277</v>
      </c>
      <c r="D2261" s="471">
        <v>2263.4</v>
      </c>
      <c r="E2261" s="469">
        <v>37.57</v>
      </c>
      <c r="F2261" s="469">
        <v>13.1</v>
      </c>
      <c r="G2261" s="469">
        <v>11.1</v>
      </c>
      <c r="H2261" s="470">
        <v>175</v>
      </c>
      <c r="I2261" s="470">
        <v>706</v>
      </c>
      <c r="J2261" s="470">
        <v>3839</v>
      </c>
      <c r="K2261" s="469">
        <v>1.81</v>
      </c>
    </row>
    <row r="2262" spans="2:11" x14ac:dyDescent="0.35">
      <c r="B2262" s="62">
        <v>12.25</v>
      </c>
      <c r="C2262" s="471">
        <v>2278</v>
      </c>
      <c r="D2262" s="471">
        <v>2264.3000000000002</v>
      </c>
      <c r="E2262" s="469">
        <v>58.38</v>
      </c>
      <c r="F2262" s="469">
        <v>13.5</v>
      </c>
      <c r="G2262" s="469">
        <v>10.7</v>
      </c>
      <c r="H2262" s="470">
        <v>175</v>
      </c>
      <c r="I2262" s="470">
        <v>704</v>
      </c>
      <c r="J2262" s="470">
        <v>3889</v>
      </c>
      <c r="K2262" s="469">
        <v>1.81</v>
      </c>
    </row>
    <row r="2263" spans="2:11" x14ac:dyDescent="0.35">
      <c r="B2263" s="62">
        <v>12.25</v>
      </c>
      <c r="C2263" s="471">
        <v>2279</v>
      </c>
      <c r="D2263" s="471">
        <v>2265.4</v>
      </c>
      <c r="E2263" s="469">
        <v>23.77</v>
      </c>
      <c r="F2263" s="469">
        <v>12.7</v>
      </c>
      <c r="G2263" s="469">
        <v>9</v>
      </c>
      <c r="H2263" s="470">
        <v>175</v>
      </c>
      <c r="I2263" s="470">
        <v>704</v>
      </c>
      <c r="J2263" s="470">
        <v>3818</v>
      </c>
      <c r="K2263" s="469">
        <v>1.81</v>
      </c>
    </row>
    <row r="2264" spans="2:11" x14ac:dyDescent="0.35">
      <c r="B2264" s="62">
        <v>12.25</v>
      </c>
      <c r="C2264" s="471">
        <v>2280</v>
      </c>
      <c r="D2264" s="471">
        <v>2266.3000000000002</v>
      </c>
      <c r="E2264" s="469">
        <v>31.66</v>
      </c>
      <c r="F2264" s="469">
        <v>11.2</v>
      </c>
      <c r="G2264" s="469">
        <v>8.6999999999999993</v>
      </c>
      <c r="H2264" s="470">
        <v>176</v>
      </c>
      <c r="I2264" s="470">
        <v>706</v>
      </c>
      <c r="J2264" s="470">
        <v>3829</v>
      </c>
      <c r="K2264" s="469">
        <v>1.81</v>
      </c>
    </row>
    <row r="2265" spans="2:11" x14ac:dyDescent="0.35">
      <c r="B2265" s="62">
        <v>12.25</v>
      </c>
      <c r="C2265" s="471">
        <v>2281</v>
      </c>
      <c r="D2265" s="471">
        <v>2267.3000000000002</v>
      </c>
      <c r="E2265" s="469">
        <v>25.77</v>
      </c>
      <c r="F2265" s="469">
        <v>12.6</v>
      </c>
      <c r="G2265" s="469">
        <v>9.4</v>
      </c>
      <c r="H2265" s="470">
        <v>175</v>
      </c>
      <c r="I2265" s="470">
        <v>706</v>
      </c>
      <c r="J2265" s="470">
        <v>3804</v>
      </c>
      <c r="K2265" s="469">
        <v>1.81</v>
      </c>
    </row>
    <row r="2266" spans="2:11" x14ac:dyDescent="0.35">
      <c r="B2266" s="62">
        <v>12.25</v>
      </c>
      <c r="C2266" s="471">
        <v>2282</v>
      </c>
      <c r="D2266" s="471">
        <v>2268.3000000000002</v>
      </c>
      <c r="E2266" s="469">
        <v>31.62</v>
      </c>
      <c r="F2266" s="469">
        <v>13.2</v>
      </c>
      <c r="G2266" s="469">
        <v>10.3</v>
      </c>
      <c r="H2266" s="470">
        <v>176</v>
      </c>
      <c r="I2266" s="470">
        <v>707</v>
      </c>
      <c r="J2266" s="470">
        <v>3823</v>
      </c>
      <c r="K2266" s="469">
        <v>1.81</v>
      </c>
    </row>
    <row r="2267" spans="2:11" x14ac:dyDescent="0.35">
      <c r="B2267" s="62">
        <v>12.25</v>
      </c>
      <c r="C2267" s="471">
        <v>2283</v>
      </c>
      <c r="D2267" s="471">
        <v>2269.4</v>
      </c>
      <c r="E2267" s="469">
        <v>53.21</v>
      </c>
      <c r="F2267" s="469">
        <v>13.9</v>
      </c>
      <c r="G2267" s="469">
        <v>10.3</v>
      </c>
      <c r="H2267" s="470">
        <v>175</v>
      </c>
      <c r="I2267" s="470">
        <v>701</v>
      </c>
      <c r="J2267" s="470">
        <v>3897</v>
      </c>
      <c r="K2267" s="469">
        <v>1.81</v>
      </c>
    </row>
    <row r="2268" spans="2:11" x14ac:dyDescent="0.35">
      <c r="B2268" s="62">
        <v>12.25</v>
      </c>
      <c r="C2268" s="471">
        <v>2284</v>
      </c>
      <c r="D2268" s="471">
        <v>2270.3000000000002</v>
      </c>
      <c r="E2268" s="469">
        <v>29.4</v>
      </c>
      <c r="F2268" s="469">
        <v>15.1</v>
      </c>
      <c r="G2268" s="469">
        <v>8.6</v>
      </c>
      <c r="H2268" s="470">
        <v>175</v>
      </c>
      <c r="I2268" s="470">
        <v>700</v>
      </c>
      <c r="J2268" s="470">
        <v>3884</v>
      </c>
      <c r="K2268" s="469">
        <v>1.81</v>
      </c>
    </row>
    <row r="2269" spans="2:11" x14ac:dyDescent="0.35">
      <c r="B2269" s="62">
        <v>12.25</v>
      </c>
      <c r="C2269" s="471">
        <v>2285</v>
      </c>
      <c r="D2269" s="471">
        <v>2271.1999999999998</v>
      </c>
      <c r="E2269" s="469">
        <v>38.49</v>
      </c>
      <c r="F2269" s="469">
        <v>15.5</v>
      </c>
      <c r="G2269" s="469">
        <v>9.6</v>
      </c>
      <c r="H2269" s="470">
        <v>176</v>
      </c>
      <c r="I2269" s="470">
        <v>706</v>
      </c>
      <c r="J2269" s="470">
        <v>3877</v>
      </c>
      <c r="K2269" s="469">
        <v>1.81</v>
      </c>
    </row>
    <row r="2270" spans="2:11" x14ac:dyDescent="0.35">
      <c r="B2270" s="62">
        <v>12.25</v>
      </c>
      <c r="C2270" s="471">
        <v>2286</v>
      </c>
      <c r="D2270" s="471">
        <v>2272.3000000000002</v>
      </c>
      <c r="E2270" s="469">
        <v>41.52</v>
      </c>
      <c r="F2270" s="469">
        <v>14.9</v>
      </c>
      <c r="G2270" s="469">
        <v>10.6</v>
      </c>
      <c r="H2270" s="470">
        <v>176</v>
      </c>
      <c r="I2270" s="470">
        <v>707</v>
      </c>
      <c r="J2270" s="470">
        <v>3916</v>
      </c>
      <c r="K2270" s="469">
        <v>1.81</v>
      </c>
    </row>
    <row r="2271" spans="2:11" x14ac:dyDescent="0.35">
      <c r="B2271" s="62">
        <v>12.25</v>
      </c>
      <c r="C2271" s="471">
        <v>2287</v>
      </c>
      <c r="D2271" s="471">
        <v>2273.3000000000002</v>
      </c>
      <c r="E2271" s="469">
        <v>29.1</v>
      </c>
      <c r="F2271" s="469">
        <v>14.3</v>
      </c>
      <c r="G2271" s="469">
        <v>9.6</v>
      </c>
      <c r="H2271" s="470">
        <v>176</v>
      </c>
      <c r="I2271" s="470">
        <v>708</v>
      </c>
      <c r="J2271" s="470">
        <v>3848</v>
      </c>
      <c r="K2271" s="469">
        <v>1.81</v>
      </c>
    </row>
    <row r="2272" spans="2:11" x14ac:dyDescent="0.35">
      <c r="B2272" s="62">
        <v>12.25</v>
      </c>
      <c r="C2272" s="471">
        <v>2288</v>
      </c>
      <c r="D2272" s="471">
        <v>2274.3000000000002</v>
      </c>
      <c r="E2272" s="469">
        <v>44.99</v>
      </c>
      <c r="F2272" s="469">
        <v>13.5</v>
      </c>
      <c r="G2272" s="469">
        <v>9</v>
      </c>
      <c r="H2272" s="470">
        <v>175</v>
      </c>
      <c r="I2272" s="470">
        <v>707</v>
      </c>
      <c r="J2272" s="470">
        <v>3891</v>
      </c>
      <c r="K2272" s="469">
        <v>1.81</v>
      </c>
    </row>
    <row r="2273" spans="2:11" x14ac:dyDescent="0.35">
      <c r="B2273" s="62">
        <v>12.25</v>
      </c>
      <c r="C2273" s="471">
        <v>2289</v>
      </c>
      <c r="D2273" s="471">
        <v>2275.3000000000002</v>
      </c>
      <c r="E2273" s="469">
        <v>43.99</v>
      </c>
      <c r="F2273" s="469">
        <v>14.8</v>
      </c>
      <c r="G2273" s="469">
        <v>10.5</v>
      </c>
      <c r="H2273" s="470">
        <v>175</v>
      </c>
      <c r="I2273" s="470">
        <v>705</v>
      </c>
      <c r="J2273" s="470">
        <v>3916</v>
      </c>
      <c r="K2273" s="469">
        <v>1.81</v>
      </c>
    </row>
    <row r="2274" spans="2:11" x14ac:dyDescent="0.35">
      <c r="B2274" s="62">
        <v>12.25</v>
      </c>
      <c r="C2274" s="471">
        <v>2290</v>
      </c>
      <c r="D2274" s="471">
        <v>2276.3000000000002</v>
      </c>
      <c r="E2274" s="469">
        <v>37.729999999999997</v>
      </c>
      <c r="F2274" s="469">
        <v>14.9</v>
      </c>
      <c r="G2274" s="469">
        <v>10.3</v>
      </c>
      <c r="H2274" s="470">
        <v>176</v>
      </c>
      <c r="I2274" s="470">
        <v>707</v>
      </c>
      <c r="J2274" s="470">
        <v>3873</v>
      </c>
      <c r="K2274" s="469">
        <v>1.81</v>
      </c>
    </row>
    <row r="2275" spans="2:11" x14ac:dyDescent="0.35">
      <c r="B2275" s="62">
        <v>12.25</v>
      </c>
      <c r="C2275" s="471">
        <v>2291</v>
      </c>
      <c r="D2275" s="471">
        <v>2277.3000000000002</v>
      </c>
      <c r="E2275" s="469">
        <v>45.06</v>
      </c>
      <c r="F2275" s="469">
        <v>13.9</v>
      </c>
      <c r="G2275" s="469">
        <v>10</v>
      </c>
      <c r="H2275" s="470">
        <v>176</v>
      </c>
      <c r="I2275" s="470">
        <v>708</v>
      </c>
      <c r="J2275" s="470">
        <v>3877</v>
      </c>
      <c r="K2275" s="469">
        <v>1.81</v>
      </c>
    </row>
    <row r="2276" spans="2:11" x14ac:dyDescent="0.35">
      <c r="B2276" s="62">
        <v>12.25</v>
      </c>
      <c r="C2276" s="471">
        <v>2292</v>
      </c>
      <c r="D2276" s="471">
        <v>2278.1999999999998</v>
      </c>
      <c r="E2276" s="469">
        <v>47.1</v>
      </c>
      <c r="F2276" s="469">
        <v>14.6</v>
      </c>
      <c r="G2276" s="469">
        <v>10.7</v>
      </c>
      <c r="H2276" s="470">
        <v>176</v>
      </c>
      <c r="I2276" s="470">
        <v>707</v>
      </c>
      <c r="J2276" s="470">
        <v>3890</v>
      </c>
      <c r="K2276" s="469">
        <v>1.81</v>
      </c>
    </row>
    <row r="2277" spans="2:11" x14ac:dyDescent="0.35">
      <c r="B2277" s="62">
        <v>12.25</v>
      </c>
      <c r="C2277" s="471">
        <v>2293</v>
      </c>
      <c r="D2277" s="471">
        <v>2279.1999999999998</v>
      </c>
      <c r="E2277" s="469">
        <v>51.32</v>
      </c>
      <c r="F2277" s="469">
        <v>13.6</v>
      </c>
      <c r="G2277" s="469">
        <v>10.8</v>
      </c>
      <c r="H2277" s="470">
        <v>176</v>
      </c>
      <c r="I2277" s="470">
        <v>708</v>
      </c>
      <c r="J2277" s="470">
        <v>3887</v>
      </c>
      <c r="K2277" s="469">
        <v>1.81</v>
      </c>
    </row>
    <row r="2278" spans="2:11" x14ac:dyDescent="0.35">
      <c r="B2278" s="62">
        <v>12.25</v>
      </c>
      <c r="C2278" s="471">
        <v>2294</v>
      </c>
      <c r="D2278" s="471">
        <v>2280.3000000000002</v>
      </c>
      <c r="E2278" s="469">
        <v>28.45</v>
      </c>
      <c r="F2278" s="469">
        <v>12.5</v>
      </c>
      <c r="G2278" s="469">
        <v>7.8</v>
      </c>
      <c r="H2278" s="470">
        <v>176</v>
      </c>
      <c r="I2278" s="470">
        <v>708</v>
      </c>
      <c r="J2278" s="470">
        <v>3835</v>
      </c>
      <c r="K2278" s="469">
        <v>1.82</v>
      </c>
    </row>
    <row r="2279" spans="2:11" x14ac:dyDescent="0.35">
      <c r="B2279" s="62">
        <v>12.25</v>
      </c>
      <c r="C2279" s="471">
        <v>2295</v>
      </c>
      <c r="D2279" s="471">
        <v>2281.1999999999998</v>
      </c>
      <c r="E2279" s="469">
        <v>30.66</v>
      </c>
      <c r="F2279" s="469">
        <v>13</v>
      </c>
      <c r="G2279" s="469">
        <v>8.1999999999999993</v>
      </c>
      <c r="H2279" s="470">
        <v>176</v>
      </c>
      <c r="I2279" s="470">
        <v>708</v>
      </c>
      <c r="J2279" s="470">
        <v>3856</v>
      </c>
      <c r="K2279" s="469">
        <v>1.82</v>
      </c>
    </row>
    <row r="2280" spans="2:11" x14ac:dyDescent="0.35">
      <c r="B2280" s="62">
        <v>12.25</v>
      </c>
      <c r="C2280" s="471">
        <v>2296</v>
      </c>
      <c r="D2280" s="471">
        <v>2282.1999999999998</v>
      </c>
      <c r="E2280" s="469">
        <v>28.96</v>
      </c>
      <c r="F2280" s="469">
        <v>14.3</v>
      </c>
      <c r="G2280" s="469">
        <v>8.5</v>
      </c>
      <c r="H2280" s="470">
        <v>176</v>
      </c>
      <c r="I2280" s="470">
        <v>706</v>
      </c>
      <c r="J2280" s="470">
        <v>3808</v>
      </c>
      <c r="K2280" s="469">
        <v>1.82</v>
      </c>
    </row>
    <row r="2281" spans="2:11" x14ac:dyDescent="0.35">
      <c r="B2281" s="62">
        <v>12.25</v>
      </c>
      <c r="C2281" s="471">
        <v>2297</v>
      </c>
      <c r="D2281" s="471">
        <v>2283.1999999999998</v>
      </c>
      <c r="E2281" s="469">
        <v>38.49</v>
      </c>
      <c r="F2281" s="469">
        <v>14.7</v>
      </c>
      <c r="G2281" s="469">
        <v>9</v>
      </c>
      <c r="H2281" s="470">
        <v>176</v>
      </c>
      <c r="I2281" s="470">
        <v>708</v>
      </c>
      <c r="J2281" s="470">
        <v>3841</v>
      </c>
      <c r="K2281" s="469">
        <v>1.82</v>
      </c>
    </row>
    <row r="2282" spans="2:11" x14ac:dyDescent="0.35">
      <c r="B2282" s="62">
        <v>12.25</v>
      </c>
      <c r="C2282" s="471">
        <v>2298</v>
      </c>
      <c r="D2282" s="471">
        <v>2284.3000000000002</v>
      </c>
      <c r="E2282" s="469">
        <v>47.49</v>
      </c>
      <c r="F2282" s="469">
        <v>13.5</v>
      </c>
      <c r="G2282" s="469">
        <v>8.8000000000000007</v>
      </c>
      <c r="H2282" s="470">
        <v>176</v>
      </c>
      <c r="I2282" s="470">
        <v>706</v>
      </c>
      <c r="J2282" s="470">
        <v>3851</v>
      </c>
      <c r="K2282" s="469">
        <v>1.82</v>
      </c>
    </row>
    <row r="2283" spans="2:11" x14ac:dyDescent="0.35">
      <c r="B2283" s="62">
        <v>12.25</v>
      </c>
      <c r="C2283" s="471">
        <v>2299</v>
      </c>
      <c r="D2283" s="471">
        <v>2285.1999999999998</v>
      </c>
      <c r="E2283" s="469">
        <v>18.86</v>
      </c>
      <c r="F2283" s="469">
        <v>15.2</v>
      </c>
      <c r="G2283" s="469">
        <v>5.5</v>
      </c>
      <c r="H2283" s="470">
        <v>176</v>
      </c>
      <c r="I2283" s="470">
        <v>706</v>
      </c>
      <c r="J2283" s="470">
        <v>3821</v>
      </c>
      <c r="K2283" s="469">
        <v>1.82</v>
      </c>
    </row>
    <row r="2284" spans="2:11" x14ac:dyDescent="0.35">
      <c r="B2284" s="62">
        <v>12.25</v>
      </c>
      <c r="C2284" s="471">
        <v>2300</v>
      </c>
      <c r="D2284" s="471">
        <v>2286.1999999999998</v>
      </c>
      <c r="E2284" s="469">
        <v>14.74</v>
      </c>
      <c r="F2284" s="469">
        <v>14.3</v>
      </c>
      <c r="G2284" s="469">
        <v>5.8</v>
      </c>
      <c r="H2284" s="470">
        <v>176</v>
      </c>
      <c r="I2284" s="470">
        <v>707</v>
      </c>
      <c r="J2284" s="470">
        <v>3792</v>
      </c>
      <c r="K2284" s="469">
        <v>1.82</v>
      </c>
    </row>
    <row r="2285" spans="2:11" x14ac:dyDescent="0.35">
      <c r="B2285" s="62">
        <v>12.25</v>
      </c>
      <c r="C2285" s="471">
        <v>2301</v>
      </c>
      <c r="D2285" s="471">
        <v>2287.1999999999998</v>
      </c>
      <c r="E2285" s="469">
        <v>26.62</v>
      </c>
      <c r="F2285" s="469">
        <v>12.6</v>
      </c>
      <c r="G2285" s="469">
        <v>6.7</v>
      </c>
      <c r="H2285" s="470">
        <v>176</v>
      </c>
      <c r="I2285" s="470">
        <v>707</v>
      </c>
      <c r="J2285" s="470">
        <v>3795</v>
      </c>
      <c r="K2285" s="469">
        <v>1.82</v>
      </c>
    </row>
    <row r="2286" spans="2:11" x14ac:dyDescent="0.35">
      <c r="B2286" s="62">
        <v>12.25</v>
      </c>
      <c r="C2286" s="471">
        <v>2302</v>
      </c>
      <c r="D2286" s="471">
        <v>2288.1999999999998</v>
      </c>
      <c r="E2286" s="469">
        <v>18.64</v>
      </c>
      <c r="F2286" s="469">
        <v>13.6</v>
      </c>
      <c r="G2286" s="469">
        <v>7.1</v>
      </c>
      <c r="H2286" s="470">
        <v>176</v>
      </c>
      <c r="I2286" s="470">
        <v>704</v>
      </c>
      <c r="J2286" s="470">
        <v>3759</v>
      </c>
      <c r="K2286" s="469">
        <v>1.82</v>
      </c>
    </row>
    <row r="2287" spans="2:11" x14ac:dyDescent="0.35">
      <c r="B2287" s="62">
        <v>12.25</v>
      </c>
      <c r="C2287" s="471">
        <v>2303</v>
      </c>
      <c r="D2287" s="471">
        <v>2289.1999999999998</v>
      </c>
      <c r="E2287" s="469">
        <v>20.059999999999999</v>
      </c>
      <c r="F2287" s="469">
        <v>9.1</v>
      </c>
      <c r="G2287" s="469">
        <v>4.7</v>
      </c>
      <c r="H2287" s="470">
        <v>163</v>
      </c>
      <c r="I2287" s="470">
        <v>701</v>
      </c>
      <c r="J2287" s="470">
        <v>3631</v>
      </c>
      <c r="K2287" s="469">
        <v>1.82</v>
      </c>
    </row>
    <row r="2288" spans="2:11" x14ac:dyDescent="0.35">
      <c r="B2288" s="62">
        <v>12.25</v>
      </c>
      <c r="C2288" s="471">
        <v>2304</v>
      </c>
      <c r="D2288" s="471">
        <v>2290.1999999999998</v>
      </c>
      <c r="E2288" s="469">
        <v>13.19</v>
      </c>
      <c r="F2288" s="469">
        <v>13.8</v>
      </c>
      <c r="G2288" s="469">
        <v>8.1999999999999993</v>
      </c>
      <c r="H2288" s="470">
        <v>174</v>
      </c>
      <c r="I2288" s="470">
        <v>691</v>
      </c>
      <c r="J2288" s="470">
        <v>3688</v>
      </c>
      <c r="K2288" s="469">
        <v>1.82</v>
      </c>
    </row>
    <row r="2289" spans="2:11" x14ac:dyDescent="0.35">
      <c r="B2289" s="62">
        <v>12.25</v>
      </c>
      <c r="C2289" s="471">
        <v>2305</v>
      </c>
      <c r="D2289" s="471">
        <v>2291.1999999999998</v>
      </c>
      <c r="E2289" s="469">
        <v>46.13</v>
      </c>
      <c r="F2289" s="469">
        <v>13.7</v>
      </c>
      <c r="G2289" s="469">
        <v>10.7</v>
      </c>
      <c r="H2289" s="470">
        <v>174</v>
      </c>
      <c r="I2289" s="470">
        <v>692</v>
      </c>
      <c r="J2289" s="470">
        <v>3775</v>
      </c>
      <c r="K2289" s="469">
        <v>1.82</v>
      </c>
    </row>
    <row r="2290" spans="2:11" x14ac:dyDescent="0.35">
      <c r="B2290" s="62">
        <v>12.25</v>
      </c>
      <c r="C2290" s="471">
        <v>2306</v>
      </c>
      <c r="D2290" s="471">
        <v>2292.1999999999998</v>
      </c>
      <c r="E2290" s="469">
        <v>63.5</v>
      </c>
      <c r="F2290" s="469">
        <v>14.6</v>
      </c>
      <c r="G2290" s="469">
        <v>10.4</v>
      </c>
      <c r="H2290" s="470">
        <v>175</v>
      </c>
      <c r="I2290" s="470">
        <v>692</v>
      </c>
      <c r="J2290" s="470">
        <v>3815</v>
      </c>
      <c r="K2290" s="469">
        <v>1.82</v>
      </c>
    </row>
    <row r="2291" spans="2:11" x14ac:dyDescent="0.35">
      <c r="B2291" s="62">
        <v>12.25</v>
      </c>
      <c r="C2291" s="471">
        <v>2307</v>
      </c>
      <c r="D2291" s="471">
        <v>2293.1999999999998</v>
      </c>
      <c r="E2291" s="469">
        <v>6.56</v>
      </c>
      <c r="F2291" s="469">
        <v>11.7</v>
      </c>
      <c r="G2291" s="469">
        <v>5.5</v>
      </c>
      <c r="H2291" s="470">
        <v>170</v>
      </c>
      <c r="I2291" s="470">
        <v>651</v>
      </c>
      <c r="J2291" s="470">
        <v>3264</v>
      </c>
      <c r="K2291" s="469">
        <v>1.82</v>
      </c>
    </row>
    <row r="2292" spans="2:11" x14ac:dyDescent="0.35">
      <c r="B2292" s="62">
        <v>12.25</v>
      </c>
      <c r="C2292" s="471">
        <v>2308</v>
      </c>
      <c r="D2292" s="471">
        <v>2294.1999999999998</v>
      </c>
      <c r="E2292" s="469">
        <v>9.76</v>
      </c>
      <c r="F2292" s="469">
        <v>8.8000000000000007</v>
      </c>
      <c r="G2292" s="469">
        <v>5.4</v>
      </c>
      <c r="H2292" s="470">
        <v>171</v>
      </c>
      <c r="I2292" s="470">
        <v>657</v>
      </c>
      <c r="J2292" s="470">
        <v>3382</v>
      </c>
      <c r="K2292" s="469">
        <v>1.82</v>
      </c>
    </row>
    <row r="2293" spans="2:11" x14ac:dyDescent="0.35">
      <c r="B2293" s="62">
        <v>12.25</v>
      </c>
      <c r="C2293" s="471">
        <v>2309</v>
      </c>
      <c r="D2293" s="471">
        <v>2295.1</v>
      </c>
      <c r="E2293" s="469">
        <v>14.36</v>
      </c>
      <c r="F2293" s="469">
        <v>8.5</v>
      </c>
      <c r="G2293" s="469">
        <v>4.3</v>
      </c>
      <c r="H2293" s="470">
        <v>176</v>
      </c>
      <c r="I2293" s="470">
        <v>705</v>
      </c>
      <c r="J2293" s="470">
        <v>3696</v>
      </c>
      <c r="K2293" s="469">
        <v>1.82</v>
      </c>
    </row>
    <row r="2294" spans="2:11" x14ac:dyDescent="0.35">
      <c r="B2294" s="62">
        <v>12.25</v>
      </c>
      <c r="C2294" s="471">
        <v>2310</v>
      </c>
      <c r="D2294" s="471">
        <v>2296.1999999999998</v>
      </c>
      <c r="E2294" s="469">
        <v>41.13</v>
      </c>
      <c r="F2294" s="469">
        <v>11.6</v>
      </c>
      <c r="G2294" s="469">
        <v>9</v>
      </c>
      <c r="H2294" s="470">
        <v>175</v>
      </c>
      <c r="I2294" s="470">
        <v>699</v>
      </c>
      <c r="J2294" s="470">
        <v>3776</v>
      </c>
      <c r="K2294" s="469">
        <v>1.82</v>
      </c>
    </row>
    <row r="2295" spans="2:11" x14ac:dyDescent="0.35">
      <c r="B2295" s="62">
        <v>12.25</v>
      </c>
      <c r="C2295" s="471">
        <v>2311</v>
      </c>
      <c r="D2295" s="471">
        <v>2297.1999999999998</v>
      </c>
      <c r="E2295" s="469">
        <v>59.12</v>
      </c>
      <c r="F2295" s="469">
        <v>14.1</v>
      </c>
      <c r="G2295" s="469">
        <v>10.8</v>
      </c>
      <c r="H2295" s="470">
        <v>175</v>
      </c>
      <c r="I2295" s="470">
        <v>695</v>
      </c>
      <c r="J2295" s="470">
        <v>3881</v>
      </c>
      <c r="K2295" s="469">
        <v>1.82</v>
      </c>
    </row>
    <row r="2296" spans="2:11" x14ac:dyDescent="0.35">
      <c r="B2296" s="62">
        <v>12.25</v>
      </c>
      <c r="C2296" s="471">
        <v>2312</v>
      </c>
      <c r="D2296" s="471">
        <v>2298.1999999999998</v>
      </c>
      <c r="E2296" s="469">
        <v>43.62</v>
      </c>
      <c r="F2296" s="469">
        <v>12.7</v>
      </c>
      <c r="G2296" s="469">
        <v>10</v>
      </c>
      <c r="H2296" s="470">
        <v>175</v>
      </c>
      <c r="I2296" s="470">
        <v>699</v>
      </c>
      <c r="J2296" s="470">
        <v>3820</v>
      </c>
      <c r="K2296" s="469">
        <v>1.82</v>
      </c>
    </row>
    <row r="2297" spans="2:11" x14ac:dyDescent="0.35">
      <c r="B2297" s="62">
        <v>12.25</v>
      </c>
      <c r="C2297" s="471">
        <v>2313</v>
      </c>
      <c r="D2297" s="471">
        <v>2299.1</v>
      </c>
      <c r="E2297" s="469">
        <v>49.86</v>
      </c>
      <c r="F2297" s="469">
        <v>13.4</v>
      </c>
      <c r="G2297" s="469">
        <v>9.6</v>
      </c>
      <c r="H2297" s="470">
        <v>176</v>
      </c>
      <c r="I2297" s="470">
        <v>701</v>
      </c>
      <c r="J2297" s="470">
        <v>3832</v>
      </c>
      <c r="K2297" s="469">
        <v>1.82</v>
      </c>
    </row>
    <row r="2298" spans="2:11" x14ac:dyDescent="0.35">
      <c r="B2298" s="62">
        <v>12.25</v>
      </c>
      <c r="C2298" s="471">
        <v>2314</v>
      </c>
      <c r="D2298" s="471">
        <v>2300.1999999999998</v>
      </c>
      <c r="E2298" s="469">
        <v>64.48</v>
      </c>
      <c r="F2298" s="469">
        <v>12.8</v>
      </c>
      <c r="G2298" s="469">
        <v>11.4</v>
      </c>
      <c r="H2298" s="470">
        <v>175</v>
      </c>
      <c r="I2298" s="470">
        <v>696</v>
      </c>
      <c r="J2298" s="470">
        <v>3853</v>
      </c>
      <c r="K2298" s="469">
        <v>1.82</v>
      </c>
    </row>
    <row r="2299" spans="2:11" x14ac:dyDescent="0.35">
      <c r="B2299" s="62">
        <v>12.25</v>
      </c>
      <c r="C2299" s="471">
        <v>2315</v>
      </c>
      <c r="D2299" s="471">
        <v>2301.1</v>
      </c>
      <c r="E2299" s="469">
        <v>54.02</v>
      </c>
      <c r="F2299" s="469">
        <v>13.9</v>
      </c>
      <c r="G2299" s="469">
        <v>10.9</v>
      </c>
      <c r="H2299" s="470">
        <v>175</v>
      </c>
      <c r="I2299" s="470">
        <v>695</v>
      </c>
      <c r="J2299" s="470">
        <v>3874</v>
      </c>
      <c r="K2299" s="469">
        <v>1.82</v>
      </c>
    </row>
    <row r="2300" spans="2:11" x14ac:dyDescent="0.35">
      <c r="B2300" s="62">
        <v>12.25</v>
      </c>
      <c r="C2300" s="471">
        <v>2316</v>
      </c>
      <c r="D2300" s="471">
        <v>2302.1999999999998</v>
      </c>
      <c r="E2300" s="469">
        <v>62.43</v>
      </c>
      <c r="F2300" s="469">
        <v>14</v>
      </c>
      <c r="G2300" s="469">
        <v>11.4</v>
      </c>
      <c r="H2300" s="470">
        <v>175</v>
      </c>
      <c r="I2300" s="470">
        <v>692</v>
      </c>
      <c r="J2300" s="470">
        <v>3872</v>
      </c>
      <c r="K2300" s="469">
        <v>1.82</v>
      </c>
    </row>
    <row r="2301" spans="2:11" x14ac:dyDescent="0.35">
      <c r="B2301" s="62">
        <v>12.25</v>
      </c>
      <c r="C2301" s="471">
        <v>2317</v>
      </c>
      <c r="D2301" s="471">
        <v>2303.1</v>
      </c>
      <c r="E2301" s="469">
        <v>51.78</v>
      </c>
      <c r="F2301" s="469">
        <v>13.6</v>
      </c>
      <c r="G2301" s="469">
        <v>10.7</v>
      </c>
      <c r="H2301" s="470">
        <v>175</v>
      </c>
      <c r="I2301" s="470">
        <v>695</v>
      </c>
      <c r="J2301" s="470">
        <v>3868</v>
      </c>
      <c r="K2301" s="469">
        <v>1.82</v>
      </c>
    </row>
    <row r="2302" spans="2:11" x14ac:dyDescent="0.35">
      <c r="B2302" s="62">
        <v>12.25</v>
      </c>
      <c r="C2302" s="471">
        <v>2318</v>
      </c>
      <c r="D2302" s="471">
        <v>2304.1</v>
      </c>
      <c r="E2302" s="469">
        <v>64.69</v>
      </c>
      <c r="F2302" s="469">
        <v>13.4</v>
      </c>
      <c r="G2302" s="469">
        <v>10.5</v>
      </c>
      <c r="H2302" s="470">
        <v>175</v>
      </c>
      <c r="I2302" s="470">
        <v>693</v>
      </c>
      <c r="J2302" s="470">
        <v>3873</v>
      </c>
      <c r="K2302" s="469">
        <v>1.82</v>
      </c>
    </row>
    <row r="2303" spans="2:11" x14ac:dyDescent="0.35">
      <c r="B2303" s="62">
        <v>12.25</v>
      </c>
      <c r="C2303" s="471">
        <v>2319</v>
      </c>
      <c r="D2303" s="471">
        <v>2305.1</v>
      </c>
      <c r="E2303" s="469">
        <v>58.18</v>
      </c>
      <c r="F2303" s="469">
        <v>13.2</v>
      </c>
      <c r="G2303" s="469">
        <v>11.4</v>
      </c>
      <c r="H2303" s="470">
        <v>175</v>
      </c>
      <c r="I2303" s="470">
        <v>695</v>
      </c>
      <c r="J2303" s="470">
        <v>3874</v>
      </c>
      <c r="K2303" s="469">
        <v>1.82</v>
      </c>
    </row>
    <row r="2304" spans="2:11" x14ac:dyDescent="0.35">
      <c r="B2304" s="62">
        <v>12.25</v>
      </c>
      <c r="C2304" s="471">
        <v>2320</v>
      </c>
      <c r="D2304" s="471">
        <v>2306.1</v>
      </c>
      <c r="E2304" s="469">
        <v>39.22</v>
      </c>
      <c r="F2304" s="469">
        <v>14.5</v>
      </c>
      <c r="G2304" s="469">
        <v>9.9</v>
      </c>
      <c r="H2304" s="470">
        <v>175</v>
      </c>
      <c r="I2304" s="470">
        <v>701</v>
      </c>
      <c r="J2304" s="470">
        <v>3831</v>
      </c>
      <c r="K2304" s="469">
        <v>1.82</v>
      </c>
    </row>
    <row r="2305" spans="2:11" x14ac:dyDescent="0.35">
      <c r="B2305" s="62">
        <v>12.25</v>
      </c>
      <c r="C2305" s="471">
        <v>2321</v>
      </c>
      <c r="D2305" s="471">
        <v>2307.1</v>
      </c>
      <c r="E2305" s="469">
        <v>33.96</v>
      </c>
      <c r="F2305" s="469">
        <v>14.1</v>
      </c>
      <c r="G2305" s="469">
        <v>10.5</v>
      </c>
      <c r="H2305" s="470">
        <v>175</v>
      </c>
      <c r="I2305" s="470">
        <v>700</v>
      </c>
      <c r="J2305" s="470">
        <v>3823</v>
      </c>
      <c r="K2305" s="469">
        <v>1.82</v>
      </c>
    </row>
    <row r="2306" spans="2:11" x14ac:dyDescent="0.35">
      <c r="B2306" s="62">
        <v>12.25</v>
      </c>
      <c r="C2306" s="471">
        <v>2322</v>
      </c>
      <c r="D2306" s="471">
        <v>2308</v>
      </c>
      <c r="E2306" s="469">
        <v>31.07</v>
      </c>
      <c r="F2306" s="469">
        <v>13.5</v>
      </c>
      <c r="G2306" s="469">
        <v>8.4</v>
      </c>
      <c r="H2306" s="470">
        <v>175</v>
      </c>
      <c r="I2306" s="470">
        <v>695</v>
      </c>
      <c r="J2306" s="470">
        <v>3838</v>
      </c>
      <c r="K2306" s="469">
        <v>1.82</v>
      </c>
    </row>
    <row r="2307" spans="2:11" x14ac:dyDescent="0.35">
      <c r="B2307" s="62">
        <v>12.25</v>
      </c>
      <c r="C2307" s="471">
        <v>2323</v>
      </c>
      <c r="D2307" s="471">
        <v>2309.1</v>
      </c>
      <c r="E2307" s="469">
        <v>6.76</v>
      </c>
      <c r="F2307" s="469">
        <v>14.8</v>
      </c>
      <c r="G2307" s="469">
        <v>7.2</v>
      </c>
      <c r="H2307" s="470">
        <v>177</v>
      </c>
      <c r="I2307" s="470">
        <v>709</v>
      </c>
      <c r="J2307" s="470">
        <v>3755</v>
      </c>
      <c r="K2307" s="469">
        <v>1.82</v>
      </c>
    </row>
    <row r="2308" spans="2:11" x14ac:dyDescent="0.35">
      <c r="B2308" s="62">
        <v>12.25</v>
      </c>
      <c r="C2308" s="471">
        <v>2324</v>
      </c>
      <c r="D2308" s="471">
        <v>2310.1</v>
      </c>
      <c r="E2308" s="469">
        <v>14.7</v>
      </c>
      <c r="F2308" s="469">
        <v>15</v>
      </c>
      <c r="G2308" s="469">
        <v>7.4</v>
      </c>
      <c r="H2308" s="470">
        <v>175</v>
      </c>
      <c r="I2308" s="470">
        <v>700</v>
      </c>
      <c r="J2308" s="470">
        <v>3789</v>
      </c>
      <c r="K2308" s="469">
        <v>1.82</v>
      </c>
    </row>
    <row r="2309" spans="2:11" x14ac:dyDescent="0.35">
      <c r="B2309" s="62">
        <v>12.25</v>
      </c>
      <c r="C2309" s="471">
        <v>2325</v>
      </c>
      <c r="D2309" s="471">
        <v>2311</v>
      </c>
      <c r="E2309" s="469">
        <v>14.96</v>
      </c>
      <c r="F2309" s="469">
        <v>15</v>
      </c>
      <c r="G2309" s="469">
        <v>7.2</v>
      </c>
      <c r="H2309" s="470">
        <v>176</v>
      </c>
      <c r="I2309" s="470">
        <v>701</v>
      </c>
      <c r="J2309" s="470">
        <v>3792</v>
      </c>
      <c r="K2309" s="469">
        <v>1.82</v>
      </c>
    </row>
    <row r="2310" spans="2:11" x14ac:dyDescent="0.35">
      <c r="B2310" s="62">
        <v>12.25</v>
      </c>
      <c r="C2310" s="471">
        <v>2326</v>
      </c>
      <c r="D2310" s="471">
        <v>2312.1</v>
      </c>
      <c r="E2310" s="469">
        <v>18.079999999999998</v>
      </c>
      <c r="F2310" s="469">
        <v>14.2</v>
      </c>
      <c r="G2310" s="469">
        <v>7.1</v>
      </c>
      <c r="H2310" s="470">
        <v>176</v>
      </c>
      <c r="I2310" s="470">
        <v>699</v>
      </c>
      <c r="J2310" s="470">
        <v>3789</v>
      </c>
      <c r="K2310" s="469">
        <v>1.82</v>
      </c>
    </row>
    <row r="2311" spans="2:11" x14ac:dyDescent="0.35">
      <c r="B2311" s="62">
        <v>12.25</v>
      </c>
      <c r="C2311" s="471">
        <v>2327</v>
      </c>
      <c r="D2311" s="471">
        <v>2313</v>
      </c>
      <c r="E2311" s="469">
        <v>19.100000000000001</v>
      </c>
      <c r="F2311" s="469">
        <v>14.4</v>
      </c>
      <c r="G2311" s="469">
        <v>7.7</v>
      </c>
      <c r="H2311" s="470">
        <v>175</v>
      </c>
      <c r="I2311" s="470">
        <v>699</v>
      </c>
      <c r="J2311" s="470">
        <v>3786</v>
      </c>
      <c r="K2311" s="469">
        <v>1.82</v>
      </c>
    </row>
    <row r="2312" spans="2:11" x14ac:dyDescent="0.35">
      <c r="B2312" s="62">
        <v>12.25</v>
      </c>
      <c r="C2312" s="471">
        <v>2328</v>
      </c>
      <c r="D2312" s="471">
        <v>2314</v>
      </c>
      <c r="E2312" s="469">
        <v>21.74</v>
      </c>
      <c r="F2312" s="469">
        <v>14.7</v>
      </c>
      <c r="G2312" s="469">
        <v>8.1</v>
      </c>
      <c r="H2312" s="470">
        <v>176</v>
      </c>
      <c r="I2312" s="470">
        <v>702</v>
      </c>
      <c r="J2312" s="470">
        <v>3788</v>
      </c>
      <c r="K2312" s="469">
        <v>1.82</v>
      </c>
    </row>
    <row r="2313" spans="2:11" x14ac:dyDescent="0.35">
      <c r="B2313" s="62">
        <v>12.25</v>
      </c>
      <c r="C2313" s="471">
        <v>2329</v>
      </c>
      <c r="D2313" s="471">
        <v>2315</v>
      </c>
      <c r="E2313" s="469">
        <v>10.44</v>
      </c>
      <c r="F2313" s="469">
        <v>14.6</v>
      </c>
      <c r="G2313" s="469">
        <v>6.1</v>
      </c>
      <c r="H2313" s="470">
        <v>175</v>
      </c>
      <c r="I2313" s="470">
        <v>700</v>
      </c>
      <c r="J2313" s="470">
        <v>3736</v>
      </c>
      <c r="K2313" s="469">
        <v>1.82</v>
      </c>
    </row>
    <row r="2314" spans="2:11" x14ac:dyDescent="0.35">
      <c r="B2314" s="62">
        <v>12.25</v>
      </c>
      <c r="C2314" s="471">
        <v>2330</v>
      </c>
      <c r="D2314" s="471">
        <v>2316</v>
      </c>
      <c r="E2314" s="469">
        <v>26.37</v>
      </c>
      <c r="F2314" s="469">
        <v>13.4</v>
      </c>
      <c r="G2314" s="469">
        <v>7.5</v>
      </c>
      <c r="H2314" s="470">
        <v>175</v>
      </c>
      <c r="I2314" s="470">
        <v>700</v>
      </c>
      <c r="J2314" s="470">
        <v>3779</v>
      </c>
      <c r="K2314" s="469">
        <v>1.82</v>
      </c>
    </row>
    <row r="2315" spans="2:11" x14ac:dyDescent="0.35">
      <c r="B2315" s="62">
        <v>12.25</v>
      </c>
      <c r="C2315" s="471">
        <v>2331</v>
      </c>
      <c r="D2315" s="471">
        <v>2317</v>
      </c>
      <c r="E2315" s="469">
        <v>25.8</v>
      </c>
      <c r="F2315" s="469">
        <v>13.7</v>
      </c>
      <c r="G2315" s="469">
        <v>8.5</v>
      </c>
      <c r="H2315" s="470">
        <v>175</v>
      </c>
      <c r="I2315" s="470">
        <v>700</v>
      </c>
      <c r="J2315" s="470">
        <v>3812</v>
      </c>
      <c r="K2315" s="469">
        <v>1.82</v>
      </c>
    </row>
    <row r="2316" spans="2:11" x14ac:dyDescent="0.35">
      <c r="B2316" s="62">
        <v>12.25</v>
      </c>
      <c r="C2316" s="471">
        <v>2332</v>
      </c>
      <c r="D2316" s="471">
        <v>2318</v>
      </c>
      <c r="E2316" s="469">
        <v>10.56</v>
      </c>
      <c r="F2316" s="469">
        <v>6.2</v>
      </c>
      <c r="G2316" s="469">
        <v>5</v>
      </c>
      <c r="H2316" s="470">
        <v>176</v>
      </c>
      <c r="I2316" s="470">
        <v>698</v>
      </c>
      <c r="J2316" s="470">
        <v>3696</v>
      </c>
      <c r="K2316" s="469">
        <v>1.82</v>
      </c>
    </row>
    <row r="2317" spans="2:11" x14ac:dyDescent="0.35">
      <c r="B2317" s="62">
        <v>12.25</v>
      </c>
      <c r="C2317" s="471">
        <v>2333</v>
      </c>
      <c r="D2317" s="471">
        <v>2319</v>
      </c>
      <c r="E2317" s="469">
        <v>27.64</v>
      </c>
      <c r="F2317" s="469">
        <v>8.8000000000000007</v>
      </c>
      <c r="G2317" s="469">
        <v>7.9</v>
      </c>
      <c r="H2317" s="470">
        <v>176</v>
      </c>
      <c r="I2317" s="470">
        <v>693</v>
      </c>
      <c r="J2317" s="470">
        <v>3773</v>
      </c>
      <c r="K2317" s="469">
        <v>1.82</v>
      </c>
    </row>
    <row r="2318" spans="2:11" x14ac:dyDescent="0.35">
      <c r="B2318" s="62">
        <v>12.25</v>
      </c>
      <c r="C2318" s="471">
        <v>2334</v>
      </c>
      <c r="D2318" s="471">
        <v>2320</v>
      </c>
      <c r="E2318" s="469">
        <v>28.33</v>
      </c>
      <c r="F2318" s="469">
        <v>10.3</v>
      </c>
      <c r="G2318" s="469">
        <v>7.9</v>
      </c>
      <c r="H2318" s="470">
        <v>177</v>
      </c>
      <c r="I2318" s="470">
        <v>697</v>
      </c>
      <c r="J2318" s="470">
        <v>3875</v>
      </c>
      <c r="K2318" s="469">
        <v>1.82</v>
      </c>
    </row>
    <row r="2319" spans="2:11" x14ac:dyDescent="0.35">
      <c r="B2319" s="62">
        <v>12.25</v>
      </c>
      <c r="C2319" s="471">
        <v>2335</v>
      </c>
      <c r="D2319" s="471">
        <v>2321</v>
      </c>
      <c r="E2319" s="469">
        <v>32.01</v>
      </c>
      <c r="F2319" s="469">
        <v>10.5</v>
      </c>
      <c r="G2319" s="469">
        <v>7</v>
      </c>
      <c r="H2319" s="470">
        <v>176</v>
      </c>
      <c r="I2319" s="470">
        <v>694</v>
      </c>
      <c r="J2319" s="470">
        <v>3853</v>
      </c>
      <c r="K2319" s="469">
        <v>1.82</v>
      </c>
    </row>
    <row r="2320" spans="2:11" x14ac:dyDescent="0.35">
      <c r="B2320" s="62">
        <v>12.25</v>
      </c>
      <c r="C2320" s="471">
        <v>2336</v>
      </c>
      <c r="D2320" s="471">
        <v>2322</v>
      </c>
      <c r="E2320" s="469">
        <v>9.6999999999999993</v>
      </c>
      <c r="F2320" s="469">
        <v>10.4</v>
      </c>
      <c r="G2320" s="469">
        <v>7.2</v>
      </c>
      <c r="H2320" s="470">
        <v>177</v>
      </c>
      <c r="I2320" s="470">
        <v>697</v>
      </c>
      <c r="J2320" s="470">
        <v>3806</v>
      </c>
      <c r="K2320" s="469">
        <v>1.82</v>
      </c>
    </row>
    <row r="2321" spans="2:11" x14ac:dyDescent="0.35">
      <c r="B2321" s="62">
        <v>12.25</v>
      </c>
      <c r="C2321" s="471">
        <v>2337</v>
      </c>
      <c r="D2321" s="471">
        <v>2323</v>
      </c>
      <c r="E2321" s="469">
        <v>5.67</v>
      </c>
      <c r="F2321" s="469">
        <v>7.8</v>
      </c>
      <c r="G2321" s="469">
        <v>5.3</v>
      </c>
      <c r="H2321" s="470">
        <v>172</v>
      </c>
      <c r="I2321" s="470">
        <v>656</v>
      </c>
      <c r="J2321" s="470">
        <v>3507</v>
      </c>
      <c r="K2321" s="469">
        <v>1.82</v>
      </c>
    </row>
    <row r="2322" spans="2:11" x14ac:dyDescent="0.35">
      <c r="B2322" s="62">
        <v>12.25</v>
      </c>
      <c r="C2322" s="471">
        <v>2338</v>
      </c>
      <c r="D2322" s="471">
        <v>2324</v>
      </c>
      <c r="E2322" s="469">
        <v>7.14</v>
      </c>
      <c r="F2322" s="469">
        <v>7.4</v>
      </c>
      <c r="G2322" s="469">
        <v>4.5</v>
      </c>
      <c r="H2322" s="470">
        <v>175</v>
      </c>
      <c r="I2322" s="470">
        <v>679</v>
      </c>
      <c r="J2322" s="470">
        <v>3417</v>
      </c>
      <c r="K2322" s="469">
        <v>1.82</v>
      </c>
    </row>
    <row r="2323" spans="2:11" x14ac:dyDescent="0.35">
      <c r="B2323" s="62">
        <v>12.25</v>
      </c>
      <c r="C2323" s="471">
        <v>2339</v>
      </c>
      <c r="D2323" s="471">
        <v>2324.9</v>
      </c>
      <c r="E2323" s="469">
        <v>38.1</v>
      </c>
      <c r="F2323" s="469">
        <v>11.9</v>
      </c>
      <c r="G2323" s="469">
        <v>8.8000000000000007</v>
      </c>
      <c r="H2323" s="470">
        <v>176</v>
      </c>
      <c r="I2323" s="470">
        <v>688</v>
      </c>
      <c r="J2323" s="470">
        <v>3707</v>
      </c>
      <c r="K2323" s="469">
        <v>1.82</v>
      </c>
    </row>
    <row r="2324" spans="2:11" x14ac:dyDescent="0.35">
      <c r="B2324" s="62">
        <v>12.25</v>
      </c>
      <c r="C2324" s="471">
        <v>2340</v>
      </c>
      <c r="D2324" s="471">
        <v>2325.9</v>
      </c>
      <c r="E2324" s="469">
        <v>8.84</v>
      </c>
      <c r="F2324" s="469">
        <v>9.8000000000000007</v>
      </c>
      <c r="G2324" s="469">
        <v>7.2</v>
      </c>
      <c r="H2324" s="470">
        <v>175</v>
      </c>
      <c r="I2324" s="470">
        <v>694</v>
      </c>
      <c r="J2324" s="470">
        <v>3202</v>
      </c>
      <c r="K2324" s="469">
        <v>1.82</v>
      </c>
    </row>
    <row r="2325" spans="2:11" x14ac:dyDescent="0.35">
      <c r="B2325" s="62">
        <v>12.25</v>
      </c>
      <c r="C2325" s="471">
        <v>2341</v>
      </c>
      <c r="D2325" s="471">
        <v>2326.9</v>
      </c>
      <c r="E2325" s="469">
        <v>27.6</v>
      </c>
      <c r="F2325" s="469">
        <v>12</v>
      </c>
      <c r="G2325" s="469">
        <v>7.9</v>
      </c>
      <c r="H2325" s="470">
        <v>173</v>
      </c>
      <c r="I2325" s="470">
        <v>701</v>
      </c>
      <c r="J2325" s="470">
        <v>3795</v>
      </c>
      <c r="K2325" s="469">
        <v>1.82</v>
      </c>
    </row>
    <row r="2326" spans="2:11" x14ac:dyDescent="0.35">
      <c r="B2326" s="62">
        <v>12.25</v>
      </c>
      <c r="C2326" s="471">
        <v>2342</v>
      </c>
      <c r="D2326" s="471">
        <v>2327.9</v>
      </c>
      <c r="E2326" s="469">
        <v>54.53</v>
      </c>
      <c r="F2326" s="469">
        <v>12.5</v>
      </c>
      <c r="G2326" s="469">
        <v>9.4</v>
      </c>
      <c r="H2326" s="470">
        <v>172</v>
      </c>
      <c r="I2326" s="470">
        <v>696</v>
      </c>
      <c r="J2326" s="470">
        <v>3880</v>
      </c>
      <c r="K2326" s="469">
        <v>1.82</v>
      </c>
    </row>
    <row r="2327" spans="2:11" x14ac:dyDescent="0.35">
      <c r="B2327" s="62">
        <v>12.25</v>
      </c>
      <c r="C2327" s="471">
        <v>2343</v>
      </c>
      <c r="D2327" s="471">
        <v>2329</v>
      </c>
      <c r="E2327" s="469">
        <v>12.8</v>
      </c>
      <c r="F2327" s="469">
        <v>13.8</v>
      </c>
      <c r="G2327" s="469">
        <v>8.1</v>
      </c>
      <c r="H2327" s="470">
        <v>169</v>
      </c>
      <c r="I2327" s="470">
        <v>699</v>
      </c>
      <c r="J2327" s="470">
        <v>3819</v>
      </c>
      <c r="K2327" s="469">
        <v>1.82</v>
      </c>
    </row>
    <row r="2328" spans="2:11" x14ac:dyDescent="0.35">
      <c r="B2328" s="62">
        <v>12.25</v>
      </c>
      <c r="C2328" s="471">
        <v>2344</v>
      </c>
      <c r="D2328" s="471">
        <v>2329.9</v>
      </c>
      <c r="E2328" s="469">
        <v>11.39</v>
      </c>
      <c r="F2328" s="469">
        <v>14.3</v>
      </c>
      <c r="G2328" s="469">
        <v>6.2</v>
      </c>
      <c r="H2328" s="470">
        <v>172</v>
      </c>
      <c r="I2328" s="470">
        <v>695</v>
      </c>
      <c r="J2328" s="470">
        <v>3751</v>
      </c>
      <c r="K2328" s="469">
        <v>1.82</v>
      </c>
    </row>
    <row r="2329" spans="2:11" x14ac:dyDescent="0.35">
      <c r="B2329" s="62">
        <v>12.25</v>
      </c>
      <c r="C2329" s="471">
        <v>2345</v>
      </c>
      <c r="D2329" s="471">
        <v>2330.9</v>
      </c>
      <c r="E2329" s="469">
        <v>15.93</v>
      </c>
      <c r="F2329" s="469">
        <v>14.8</v>
      </c>
      <c r="G2329" s="469">
        <v>7.2</v>
      </c>
      <c r="H2329" s="470">
        <v>172</v>
      </c>
      <c r="I2329" s="470">
        <v>695</v>
      </c>
      <c r="J2329" s="470">
        <v>3751</v>
      </c>
      <c r="K2329" s="469">
        <v>1.82</v>
      </c>
    </row>
    <row r="2330" spans="2:11" x14ac:dyDescent="0.35">
      <c r="B2330" s="62">
        <v>12.25</v>
      </c>
      <c r="C2330" s="471">
        <v>2346</v>
      </c>
      <c r="D2330" s="471">
        <v>2331.9</v>
      </c>
      <c r="E2330" s="469">
        <v>32.65</v>
      </c>
      <c r="F2330" s="469">
        <v>14.7</v>
      </c>
      <c r="G2330" s="469">
        <v>9.1</v>
      </c>
      <c r="H2330" s="470">
        <v>172</v>
      </c>
      <c r="I2330" s="470">
        <v>692</v>
      </c>
      <c r="J2330" s="470">
        <v>3809</v>
      </c>
      <c r="K2330" s="469">
        <v>1.82</v>
      </c>
    </row>
    <row r="2331" spans="2:11" x14ac:dyDescent="0.35">
      <c r="B2331" s="62">
        <v>12.25</v>
      </c>
      <c r="C2331" s="471">
        <v>2347</v>
      </c>
      <c r="D2331" s="471">
        <v>2332.9</v>
      </c>
      <c r="E2331" s="469">
        <v>18.21</v>
      </c>
      <c r="F2331" s="469">
        <v>15</v>
      </c>
      <c r="G2331" s="469">
        <v>8</v>
      </c>
      <c r="H2331" s="470">
        <v>172</v>
      </c>
      <c r="I2331" s="470">
        <v>691</v>
      </c>
      <c r="J2331" s="470">
        <v>3784</v>
      </c>
      <c r="K2331" s="469">
        <v>1.82</v>
      </c>
    </row>
    <row r="2332" spans="2:11" x14ac:dyDescent="0.35">
      <c r="B2332" s="62">
        <v>12.25</v>
      </c>
      <c r="C2332" s="471">
        <v>2348</v>
      </c>
      <c r="D2332" s="471">
        <v>2333.9</v>
      </c>
      <c r="E2332" s="469">
        <v>23.45</v>
      </c>
      <c r="F2332" s="469">
        <v>13.8</v>
      </c>
      <c r="G2332" s="469">
        <v>8</v>
      </c>
      <c r="H2332" s="470">
        <v>172</v>
      </c>
      <c r="I2332" s="470">
        <v>693</v>
      </c>
      <c r="J2332" s="470">
        <v>3791</v>
      </c>
      <c r="K2332" s="469">
        <v>1.82</v>
      </c>
    </row>
    <row r="2333" spans="2:11" x14ac:dyDescent="0.35">
      <c r="B2333" s="62">
        <v>12.25</v>
      </c>
      <c r="C2333" s="471">
        <v>2349</v>
      </c>
      <c r="D2333" s="471">
        <v>2334.9</v>
      </c>
      <c r="E2333" s="469">
        <v>32.79</v>
      </c>
      <c r="F2333" s="469">
        <v>14.6</v>
      </c>
      <c r="G2333" s="469">
        <v>9.3000000000000007</v>
      </c>
      <c r="H2333" s="470">
        <v>172</v>
      </c>
      <c r="I2333" s="470">
        <v>693</v>
      </c>
      <c r="J2333" s="470">
        <v>3838</v>
      </c>
      <c r="K2333" s="469">
        <v>1.82</v>
      </c>
    </row>
    <row r="2334" spans="2:11" x14ac:dyDescent="0.35">
      <c r="B2334" s="62">
        <v>12.25</v>
      </c>
      <c r="C2334" s="471">
        <v>2350</v>
      </c>
      <c r="D2334" s="471">
        <v>2335.9</v>
      </c>
      <c r="E2334" s="469">
        <v>19.649999999999999</v>
      </c>
      <c r="F2334" s="469">
        <v>14.6</v>
      </c>
      <c r="G2334" s="469">
        <v>8.6999999999999993</v>
      </c>
      <c r="H2334" s="470">
        <v>172</v>
      </c>
      <c r="I2334" s="470">
        <v>692</v>
      </c>
      <c r="J2334" s="470">
        <v>3812</v>
      </c>
      <c r="K2334" s="469">
        <v>1.82</v>
      </c>
    </row>
    <row r="2335" spans="2:11" x14ac:dyDescent="0.35">
      <c r="B2335" s="62">
        <v>12.25</v>
      </c>
      <c r="C2335" s="471">
        <v>2351</v>
      </c>
      <c r="D2335" s="471">
        <v>2336.9</v>
      </c>
      <c r="E2335" s="469">
        <v>63.29</v>
      </c>
      <c r="F2335" s="469">
        <v>14.4</v>
      </c>
      <c r="G2335" s="469">
        <v>10.9</v>
      </c>
      <c r="H2335" s="470">
        <v>170</v>
      </c>
      <c r="I2335" s="470">
        <v>680</v>
      </c>
      <c r="J2335" s="470">
        <v>3897</v>
      </c>
      <c r="K2335" s="469">
        <v>1.82</v>
      </c>
    </row>
    <row r="2336" spans="2:11" x14ac:dyDescent="0.35">
      <c r="B2336" s="62">
        <v>12.25</v>
      </c>
      <c r="C2336" s="471">
        <v>2352</v>
      </c>
      <c r="D2336" s="471">
        <v>2337.9</v>
      </c>
      <c r="E2336" s="469">
        <v>55.61</v>
      </c>
      <c r="F2336" s="469">
        <v>14.6</v>
      </c>
      <c r="G2336" s="469">
        <v>11.4</v>
      </c>
      <c r="H2336" s="470">
        <v>171</v>
      </c>
      <c r="I2336" s="470">
        <v>683</v>
      </c>
      <c r="J2336" s="470">
        <v>3948</v>
      </c>
      <c r="K2336" s="469">
        <v>1.82</v>
      </c>
    </row>
    <row r="2337" spans="2:11" x14ac:dyDescent="0.35">
      <c r="B2337" s="62">
        <v>12.25</v>
      </c>
      <c r="C2337" s="471">
        <v>2353</v>
      </c>
      <c r="D2337" s="471">
        <v>2338.9</v>
      </c>
      <c r="E2337" s="469">
        <v>64.09</v>
      </c>
      <c r="F2337" s="469">
        <v>14.4</v>
      </c>
      <c r="G2337" s="469">
        <v>12.7</v>
      </c>
      <c r="H2337" s="470">
        <v>170</v>
      </c>
      <c r="I2337" s="470">
        <v>679</v>
      </c>
      <c r="J2337" s="470">
        <v>3972</v>
      </c>
      <c r="K2337" s="469">
        <v>1.82</v>
      </c>
    </row>
    <row r="2338" spans="2:11" x14ac:dyDescent="0.35">
      <c r="B2338" s="62">
        <v>12.25</v>
      </c>
      <c r="C2338" s="471">
        <v>2354</v>
      </c>
      <c r="D2338" s="471">
        <v>2339.9</v>
      </c>
      <c r="E2338" s="469">
        <v>12.98</v>
      </c>
      <c r="F2338" s="469">
        <v>12.4</v>
      </c>
      <c r="G2338" s="469">
        <v>6.7</v>
      </c>
      <c r="H2338" s="470">
        <v>171</v>
      </c>
      <c r="I2338" s="470">
        <v>684</v>
      </c>
      <c r="J2338" s="470">
        <v>3774</v>
      </c>
      <c r="K2338" s="469">
        <v>1.82</v>
      </c>
    </row>
    <row r="2339" spans="2:11" x14ac:dyDescent="0.35">
      <c r="B2339" s="62">
        <v>12.25</v>
      </c>
      <c r="C2339" s="471">
        <v>2355</v>
      </c>
      <c r="D2339" s="471">
        <v>2340.8000000000002</v>
      </c>
      <c r="E2339" s="469">
        <v>82.99</v>
      </c>
      <c r="F2339" s="469">
        <v>13.2</v>
      </c>
      <c r="G2339" s="469">
        <v>13.1</v>
      </c>
      <c r="H2339" s="470">
        <v>170</v>
      </c>
      <c r="I2339" s="470">
        <v>676</v>
      </c>
      <c r="J2339" s="470">
        <v>3892</v>
      </c>
      <c r="K2339" s="469">
        <v>1.82</v>
      </c>
    </row>
    <row r="2340" spans="2:11" x14ac:dyDescent="0.35">
      <c r="B2340" s="62">
        <v>12.25</v>
      </c>
      <c r="C2340" s="471">
        <v>2356</v>
      </c>
      <c r="D2340" s="471">
        <v>2341.8000000000002</v>
      </c>
      <c r="E2340" s="469">
        <v>64.09</v>
      </c>
      <c r="F2340" s="469">
        <v>13.1</v>
      </c>
      <c r="G2340" s="469">
        <v>12.3</v>
      </c>
      <c r="H2340" s="470">
        <v>170</v>
      </c>
      <c r="I2340" s="470">
        <v>678</v>
      </c>
      <c r="J2340" s="470">
        <v>3868</v>
      </c>
      <c r="K2340" s="469">
        <v>1.82</v>
      </c>
    </row>
    <row r="2341" spans="2:11" x14ac:dyDescent="0.35">
      <c r="B2341" s="62">
        <v>12.25</v>
      </c>
      <c r="C2341" s="471">
        <v>2357</v>
      </c>
      <c r="D2341" s="471">
        <v>2342.9</v>
      </c>
      <c r="E2341" s="469">
        <v>89.38</v>
      </c>
      <c r="F2341" s="469">
        <v>14.2</v>
      </c>
      <c r="G2341" s="469">
        <v>11.2</v>
      </c>
      <c r="H2341" s="470">
        <v>170</v>
      </c>
      <c r="I2341" s="470">
        <v>676</v>
      </c>
      <c r="J2341" s="470">
        <v>3901</v>
      </c>
      <c r="K2341" s="469">
        <v>1.82</v>
      </c>
    </row>
    <row r="2342" spans="2:11" x14ac:dyDescent="0.35">
      <c r="B2342" s="62">
        <v>12.25</v>
      </c>
      <c r="C2342" s="471">
        <v>2358</v>
      </c>
      <c r="D2342" s="471">
        <v>2343.9</v>
      </c>
      <c r="E2342" s="469">
        <v>45.92</v>
      </c>
      <c r="F2342" s="469">
        <v>11.6</v>
      </c>
      <c r="G2342" s="469">
        <v>9.1</v>
      </c>
      <c r="H2342" s="470">
        <v>171</v>
      </c>
      <c r="I2342" s="470">
        <v>681</v>
      </c>
      <c r="J2342" s="470">
        <v>3809</v>
      </c>
      <c r="K2342" s="469">
        <v>1.82</v>
      </c>
    </row>
    <row r="2343" spans="2:11" x14ac:dyDescent="0.35">
      <c r="B2343" s="62">
        <v>12.25</v>
      </c>
      <c r="C2343" s="471">
        <v>2359</v>
      </c>
      <c r="D2343" s="471">
        <v>2344.9</v>
      </c>
      <c r="E2343" s="469">
        <v>44.24</v>
      </c>
      <c r="F2343" s="469">
        <v>12.2</v>
      </c>
      <c r="G2343" s="469">
        <v>10.6</v>
      </c>
      <c r="H2343" s="470">
        <v>170</v>
      </c>
      <c r="I2343" s="470">
        <v>679</v>
      </c>
      <c r="J2343" s="470">
        <v>3818</v>
      </c>
      <c r="K2343" s="469">
        <v>1.82</v>
      </c>
    </row>
    <row r="2344" spans="2:11" x14ac:dyDescent="0.35">
      <c r="B2344" s="62">
        <v>12.25</v>
      </c>
      <c r="C2344" s="471">
        <v>2360</v>
      </c>
      <c r="D2344" s="471">
        <v>2345.8000000000002</v>
      </c>
      <c r="E2344" s="469">
        <v>32.96</v>
      </c>
      <c r="F2344" s="469">
        <v>11.7</v>
      </c>
      <c r="G2344" s="469">
        <v>9.1</v>
      </c>
      <c r="H2344" s="470">
        <v>171</v>
      </c>
      <c r="I2344" s="470">
        <v>683</v>
      </c>
      <c r="J2344" s="470">
        <v>3791</v>
      </c>
      <c r="K2344" s="469">
        <v>1.82</v>
      </c>
    </row>
    <row r="2345" spans="2:11" x14ac:dyDescent="0.35">
      <c r="B2345" s="62">
        <v>12.25</v>
      </c>
      <c r="C2345" s="471">
        <v>2361</v>
      </c>
      <c r="D2345" s="471">
        <v>2346.8000000000002</v>
      </c>
      <c r="E2345" s="469">
        <v>17.57</v>
      </c>
      <c r="F2345" s="469">
        <v>7.5</v>
      </c>
      <c r="G2345" s="469">
        <v>6.1</v>
      </c>
      <c r="H2345" s="470">
        <v>173</v>
      </c>
      <c r="I2345" s="470">
        <v>684</v>
      </c>
      <c r="J2345" s="470">
        <v>3688</v>
      </c>
      <c r="K2345" s="469">
        <v>1.82</v>
      </c>
    </row>
    <row r="2346" spans="2:11" x14ac:dyDescent="0.35">
      <c r="B2346" s="62">
        <v>12.25</v>
      </c>
      <c r="C2346" s="471">
        <v>2362</v>
      </c>
      <c r="D2346" s="471">
        <v>2347.8000000000002</v>
      </c>
      <c r="E2346" s="469">
        <v>28.29</v>
      </c>
      <c r="F2346" s="469">
        <v>9.6999999999999993</v>
      </c>
      <c r="G2346" s="469">
        <v>7.8</v>
      </c>
      <c r="H2346" s="470">
        <v>174</v>
      </c>
      <c r="I2346" s="470">
        <v>682</v>
      </c>
      <c r="J2346" s="470">
        <v>3715</v>
      </c>
      <c r="K2346" s="469">
        <v>1.82</v>
      </c>
    </row>
    <row r="2347" spans="2:11" x14ac:dyDescent="0.35">
      <c r="B2347" s="62">
        <v>12.25</v>
      </c>
      <c r="C2347" s="471">
        <v>2363</v>
      </c>
      <c r="D2347" s="471">
        <v>2348.8000000000002</v>
      </c>
      <c r="E2347" s="469">
        <v>12.97</v>
      </c>
      <c r="F2347" s="469">
        <v>13.2</v>
      </c>
      <c r="G2347" s="469">
        <v>8.3000000000000007</v>
      </c>
      <c r="H2347" s="470">
        <v>174</v>
      </c>
      <c r="I2347" s="470">
        <v>687</v>
      </c>
      <c r="J2347" s="470">
        <v>3625</v>
      </c>
      <c r="K2347" s="469">
        <v>1.82</v>
      </c>
    </row>
    <row r="2348" spans="2:11" x14ac:dyDescent="0.35">
      <c r="B2348" s="62">
        <v>12.25</v>
      </c>
      <c r="C2348" s="471">
        <v>2364</v>
      </c>
      <c r="D2348" s="471">
        <v>2349.8000000000002</v>
      </c>
      <c r="E2348" s="469">
        <v>45.21</v>
      </c>
      <c r="F2348" s="469">
        <v>13</v>
      </c>
      <c r="G2348" s="469">
        <v>10.8</v>
      </c>
      <c r="H2348" s="470">
        <v>174</v>
      </c>
      <c r="I2348" s="470">
        <v>690</v>
      </c>
      <c r="J2348" s="470">
        <v>3538</v>
      </c>
      <c r="K2348" s="469">
        <v>1.82</v>
      </c>
    </row>
    <row r="2349" spans="2:11" x14ac:dyDescent="0.35">
      <c r="B2349" s="62">
        <v>12.25</v>
      </c>
      <c r="C2349" s="471">
        <v>2365</v>
      </c>
      <c r="D2349" s="471">
        <v>2350.8000000000002</v>
      </c>
      <c r="E2349" s="469">
        <v>8.17</v>
      </c>
      <c r="F2349" s="469">
        <v>13.1</v>
      </c>
      <c r="G2349" s="469">
        <v>5.8</v>
      </c>
      <c r="H2349" s="470">
        <v>176</v>
      </c>
      <c r="I2349" s="470">
        <v>702</v>
      </c>
      <c r="J2349" s="470">
        <v>3508</v>
      </c>
      <c r="K2349" s="469">
        <v>1.82</v>
      </c>
    </row>
    <row r="2350" spans="2:11" x14ac:dyDescent="0.35">
      <c r="B2350" s="62">
        <v>12.25</v>
      </c>
      <c r="C2350" s="471">
        <v>2366</v>
      </c>
      <c r="D2350" s="471">
        <v>2351.8000000000002</v>
      </c>
      <c r="E2350" s="469">
        <v>16.45</v>
      </c>
      <c r="F2350" s="469">
        <v>11.6</v>
      </c>
      <c r="G2350" s="469">
        <v>8.6</v>
      </c>
      <c r="H2350" s="470">
        <v>176</v>
      </c>
      <c r="I2350" s="470">
        <v>706</v>
      </c>
      <c r="J2350" s="470">
        <v>3586</v>
      </c>
      <c r="K2350" s="469">
        <v>1.82</v>
      </c>
    </row>
    <row r="2351" spans="2:11" x14ac:dyDescent="0.35">
      <c r="B2351" s="62">
        <v>12.25</v>
      </c>
      <c r="C2351" s="471">
        <v>2367</v>
      </c>
      <c r="D2351" s="471">
        <v>2352.8000000000002</v>
      </c>
      <c r="E2351" s="469">
        <v>25.58</v>
      </c>
      <c r="F2351" s="469">
        <v>13.9</v>
      </c>
      <c r="G2351" s="469">
        <v>8.8000000000000007</v>
      </c>
      <c r="H2351" s="470">
        <v>175</v>
      </c>
      <c r="I2351" s="470">
        <v>698</v>
      </c>
      <c r="J2351" s="470">
        <v>3628</v>
      </c>
      <c r="K2351" s="469">
        <v>1.82</v>
      </c>
    </row>
    <row r="2352" spans="2:11" x14ac:dyDescent="0.35">
      <c r="B2352" s="62">
        <v>12.25</v>
      </c>
      <c r="C2352" s="471">
        <v>2368</v>
      </c>
      <c r="D2352" s="471">
        <v>2353.8000000000002</v>
      </c>
      <c r="E2352" s="469">
        <v>17.079999999999998</v>
      </c>
      <c r="F2352" s="469">
        <v>13.2</v>
      </c>
      <c r="G2352" s="469">
        <v>7.6</v>
      </c>
      <c r="H2352" s="470">
        <v>175</v>
      </c>
      <c r="I2352" s="470">
        <v>700</v>
      </c>
      <c r="J2352" s="470">
        <v>3561</v>
      </c>
      <c r="K2352" s="469">
        <v>1.82</v>
      </c>
    </row>
    <row r="2353" spans="2:11" x14ac:dyDescent="0.35">
      <c r="B2353" s="62">
        <v>12.25</v>
      </c>
      <c r="C2353" s="471">
        <v>2369</v>
      </c>
      <c r="D2353" s="471">
        <v>2354.8000000000002</v>
      </c>
      <c r="E2353" s="469">
        <v>29.21</v>
      </c>
      <c r="F2353" s="469">
        <v>14.2</v>
      </c>
      <c r="G2353" s="469">
        <v>10</v>
      </c>
      <c r="H2353" s="470">
        <v>174</v>
      </c>
      <c r="I2353" s="470">
        <v>693</v>
      </c>
      <c r="J2353" s="470">
        <v>3601</v>
      </c>
      <c r="K2353" s="469">
        <v>1.82</v>
      </c>
    </row>
    <row r="2354" spans="2:11" x14ac:dyDescent="0.35">
      <c r="B2354" s="62">
        <v>12.25</v>
      </c>
      <c r="C2354" s="471">
        <v>2370</v>
      </c>
      <c r="D2354" s="471">
        <v>2355.8000000000002</v>
      </c>
      <c r="E2354" s="469">
        <v>38.380000000000003</v>
      </c>
      <c r="F2354" s="469">
        <v>14.1</v>
      </c>
      <c r="G2354" s="469">
        <v>10</v>
      </c>
      <c r="H2354" s="470">
        <v>174</v>
      </c>
      <c r="I2354" s="470">
        <v>692</v>
      </c>
      <c r="J2354" s="470">
        <v>3631</v>
      </c>
      <c r="K2354" s="469">
        <v>1.82</v>
      </c>
    </row>
    <row r="2355" spans="2:11" x14ac:dyDescent="0.35">
      <c r="B2355" s="62">
        <v>12.25</v>
      </c>
      <c r="C2355" s="471">
        <v>2371</v>
      </c>
      <c r="D2355" s="471">
        <v>2356.8000000000002</v>
      </c>
      <c r="E2355" s="469">
        <v>47.86</v>
      </c>
      <c r="F2355" s="469">
        <v>12.3</v>
      </c>
      <c r="G2355" s="469">
        <v>9.1</v>
      </c>
      <c r="H2355" s="470">
        <v>175</v>
      </c>
      <c r="I2355" s="470">
        <v>693</v>
      </c>
      <c r="J2355" s="470">
        <v>3616</v>
      </c>
      <c r="K2355" s="469">
        <v>1.82</v>
      </c>
    </row>
    <row r="2356" spans="2:11" x14ac:dyDescent="0.35">
      <c r="B2356" s="62">
        <v>12.25</v>
      </c>
      <c r="C2356" s="471">
        <v>2372</v>
      </c>
      <c r="D2356" s="471">
        <v>2357.8000000000002</v>
      </c>
      <c r="E2356" s="469">
        <v>53.27</v>
      </c>
      <c r="F2356" s="469">
        <v>14.5</v>
      </c>
      <c r="G2356" s="469">
        <v>11.5</v>
      </c>
      <c r="H2356" s="470">
        <v>174</v>
      </c>
      <c r="I2356" s="470">
        <v>692</v>
      </c>
      <c r="J2356" s="470">
        <v>3677</v>
      </c>
      <c r="K2356" s="469">
        <v>1.82</v>
      </c>
    </row>
    <row r="2357" spans="2:11" x14ac:dyDescent="0.35">
      <c r="B2357" s="62">
        <v>12.25</v>
      </c>
      <c r="C2357" s="471">
        <v>2373</v>
      </c>
      <c r="D2357" s="471">
        <v>2358.8000000000002</v>
      </c>
      <c r="E2357" s="469">
        <v>29.7</v>
      </c>
      <c r="F2357" s="469">
        <v>14.2</v>
      </c>
      <c r="G2357" s="469">
        <v>9.4</v>
      </c>
      <c r="H2357" s="470">
        <v>174</v>
      </c>
      <c r="I2357" s="470">
        <v>691</v>
      </c>
      <c r="J2357" s="470">
        <v>3645</v>
      </c>
      <c r="K2357" s="469">
        <v>1.82</v>
      </c>
    </row>
    <row r="2358" spans="2:11" x14ac:dyDescent="0.35">
      <c r="B2358" s="62">
        <v>12.25</v>
      </c>
      <c r="C2358" s="471">
        <v>2374</v>
      </c>
      <c r="D2358" s="471">
        <v>2359.6999999999998</v>
      </c>
      <c r="E2358" s="469">
        <v>15.69</v>
      </c>
      <c r="F2358" s="469">
        <v>13.5</v>
      </c>
      <c r="G2358" s="469">
        <v>3.6</v>
      </c>
      <c r="H2358" s="470">
        <v>176</v>
      </c>
      <c r="I2358" s="470">
        <v>702</v>
      </c>
      <c r="J2358" s="470">
        <v>3609</v>
      </c>
      <c r="K2358" s="469">
        <v>1.82</v>
      </c>
    </row>
    <row r="2359" spans="2:11" x14ac:dyDescent="0.35">
      <c r="B2359" s="62">
        <v>12.25</v>
      </c>
      <c r="C2359" s="471">
        <v>2375</v>
      </c>
      <c r="D2359" s="471">
        <v>2360.6999999999998</v>
      </c>
      <c r="E2359" s="469">
        <v>22.74</v>
      </c>
      <c r="F2359" s="469">
        <v>13.5</v>
      </c>
      <c r="G2359" s="469">
        <v>8.8000000000000007</v>
      </c>
      <c r="H2359" s="470">
        <v>175</v>
      </c>
      <c r="I2359" s="470">
        <v>699</v>
      </c>
      <c r="J2359" s="470">
        <v>3618</v>
      </c>
      <c r="K2359" s="469">
        <v>1.82</v>
      </c>
    </row>
    <row r="2360" spans="2:11" x14ac:dyDescent="0.35">
      <c r="B2360" s="62">
        <v>12.25</v>
      </c>
      <c r="C2360" s="471">
        <v>2376</v>
      </c>
      <c r="D2360" s="471">
        <v>2361.6999999999998</v>
      </c>
      <c r="E2360" s="469">
        <v>23.96</v>
      </c>
      <c r="F2360" s="469">
        <v>14.1</v>
      </c>
      <c r="G2360" s="469">
        <v>9.1</v>
      </c>
      <c r="H2360" s="470">
        <v>175</v>
      </c>
      <c r="I2360" s="470">
        <v>696</v>
      </c>
      <c r="J2360" s="470">
        <v>3629</v>
      </c>
      <c r="K2360" s="469">
        <v>1.82</v>
      </c>
    </row>
    <row r="2361" spans="2:11" x14ac:dyDescent="0.35">
      <c r="B2361" s="62">
        <v>12.25</v>
      </c>
      <c r="C2361" s="471">
        <v>2377</v>
      </c>
      <c r="D2361" s="471">
        <v>2362.8000000000002</v>
      </c>
      <c r="E2361" s="469">
        <v>22.31</v>
      </c>
      <c r="F2361" s="469">
        <v>13.6</v>
      </c>
      <c r="G2361" s="469">
        <v>8.6999999999999993</v>
      </c>
      <c r="H2361" s="470">
        <v>175</v>
      </c>
      <c r="I2361" s="470">
        <v>697</v>
      </c>
      <c r="J2361" s="470">
        <v>3655</v>
      </c>
      <c r="K2361" s="469">
        <v>1.82</v>
      </c>
    </row>
    <row r="2362" spans="2:11" x14ac:dyDescent="0.35">
      <c r="B2362" s="62">
        <v>12.25</v>
      </c>
      <c r="C2362" s="471">
        <v>2378</v>
      </c>
      <c r="D2362" s="471">
        <v>2363.6999999999998</v>
      </c>
      <c r="E2362" s="469">
        <v>23.33</v>
      </c>
      <c r="F2362" s="469">
        <v>13.3</v>
      </c>
      <c r="G2362" s="469">
        <v>8.1</v>
      </c>
      <c r="H2362" s="470">
        <v>176</v>
      </c>
      <c r="I2362" s="470">
        <v>703</v>
      </c>
      <c r="J2362" s="470">
        <v>3665</v>
      </c>
      <c r="K2362" s="469">
        <v>1.82</v>
      </c>
    </row>
    <row r="2363" spans="2:11" x14ac:dyDescent="0.35">
      <c r="B2363" s="62">
        <v>12.25</v>
      </c>
      <c r="C2363" s="471">
        <v>2379</v>
      </c>
      <c r="D2363" s="471">
        <v>2364.6999999999998</v>
      </c>
      <c r="E2363" s="469">
        <v>28.71</v>
      </c>
      <c r="F2363" s="469">
        <v>14.3</v>
      </c>
      <c r="G2363" s="469">
        <v>9.4</v>
      </c>
      <c r="H2363" s="470">
        <v>175</v>
      </c>
      <c r="I2363" s="470">
        <v>699</v>
      </c>
      <c r="J2363" s="470">
        <v>3710</v>
      </c>
      <c r="K2363" s="469">
        <v>1.82</v>
      </c>
    </row>
    <row r="2364" spans="2:11" x14ac:dyDescent="0.35">
      <c r="B2364" s="62">
        <v>12.25</v>
      </c>
      <c r="C2364" s="471">
        <v>2380</v>
      </c>
      <c r="D2364" s="471">
        <v>2365.6999999999998</v>
      </c>
      <c r="E2364" s="469">
        <v>22.74</v>
      </c>
      <c r="F2364" s="469">
        <v>14.3</v>
      </c>
      <c r="G2364" s="469">
        <v>8.6999999999999993</v>
      </c>
      <c r="H2364" s="470">
        <v>175</v>
      </c>
      <c r="I2364" s="470">
        <v>704</v>
      </c>
      <c r="J2364" s="470">
        <v>3699</v>
      </c>
      <c r="K2364" s="469">
        <v>1.82</v>
      </c>
    </row>
    <row r="2365" spans="2:11" x14ac:dyDescent="0.35">
      <c r="B2365" s="62">
        <v>12.25</v>
      </c>
      <c r="C2365" s="471">
        <v>2381</v>
      </c>
      <c r="D2365" s="471">
        <v>2366.6999999999998</v>
      </c>
      <c r="E2365" s="469">
        <v>30.06</v>
      </c>
      <c r="F2365" s="469">
        <v>14.1</v>
      </c>
      <c r="G2365" s="469">
        <v>10.6</v>
      </c>
      <c r="H2365" s="470">
        <v>175</v>
      </c>
      <c r="I2365" s="470">
        <v>699</v>
      </c>
      <c r="J2365" s="470">
        <v>3739</v>
      </c>
      <c r="K2365" s="469">
        <v>1.82</v>
      </c>
    </row>
    <row r="2366" spans="2:11" x14ac:dyDescent="0.35">
      <c r="B2366" s="62">
        <v>12.25</v>
      </c>
      <c r="C2366" s="471">
        <v>2382</v>
      </c>
      <c r="D2366" s="471">
        <v>2367.6999999999998</v>
      </c>
      <c r="E2366" s="469">
        <v>28.61</v>
      </c>
      <c r="F2366" s="469">
        <v>13.4</v>
      </c>
      <c r="G2366" s="469">
        <v>7.7</v>
      </c>
      <c r="H2366" s="470">
        <v>175</v>
      </c>
      <c r="I2366" s="470">
        <v>698</v>
      </c>
      <c r="J2366" s="470">
        <v>3730</v>
      </c>
      <c r="K2366" s="469">
        <v>1.82</v>
      </c>
    </row>
    <row r="2367" spans="2:11" x14ac:dyDescent="0.35">
      <c r="B2367" s="62">
        <v>12.25</v>
      </c>
      <c r="C2367" s="471">
        <v>2383</v>
      </c>
      <c r="D2367" s="471">
        <v>2368.6999999999998</v>
      </c>
      <c r="E2367" s="469">
        <v>48.86</v>
      </c>
      <c r="F2367" s="469">
        <v>14.2</v>
      </c>
      <c r="G2367" s="469">
        <v>7.8</v>
      </c>
      <c r="H2367" s="470">
        <v>175</v>
      </c>
      <c r="I2367" s="470">
        <v>699</v>
      </c>
      <c r="J2367" s="470">
        <v>3774</v>
      </c>
      <c r="K2367" s="469">
        <v>1.82</v>
      </c>
    </row>
    <row r="2368" spans="2:11" x14ac:dyDescent="0.35">
      <c r="B2368" s="62">
        <v>12.25</v>
      </c>
      <c r="C2368" s="471">
        <v>2384</v>
      </c>
      <c r="D2368" s="471">
        <v>2369.6999999999998</v>
      </c>
      <c r="E2368" s="469">
        <v>28.36</v>
      </c>
      <c r="F2368" s="469">
        <v>15.1</v>
      </c>
      <c r="G2368" s="469">
        <v>8.3000000000000007</v>
      </c>
      <c r="H2368" s="470">
        <v>175</v>
      </c>
      <c r="I2368" s="470">
        <v>700</v>
      </c>
      <c r="J2368" s="470">
        <v>3758</v>
      </c>
      <c r="K2368" s="469">
        <v>1.82</v>
      </c>
    </row>
    <row r="2369" spans="2:11" x14ac:dyDescent="0.35">
      <c r="B2369" s="62">
        <v>12.25</v>
      </c>
      <c r="C2369" s="471">
        <v>2385</v>
      </c>
      <c r="D2369" s="471">
        <v>2370.6999999999998</v>
      </c>
      <c r="E2369" s="469">
        <v>26.64</v>
      </c>
      <c r="F2369" s="469">
        <v>14.5</v>
      </c>
      <c r="G2369" s="469">
        <v>8.9</v>
      </c>
      <c r="H2369" s="470">
        <v>175</v>
      </c>
      <c r="I2369" s="470">
        <v>701</v>
      </c>
      <c r="J2369" s="470">
        <v>3748</v>
      </c>
      <c r="K2369" s="469">
        <v>1.82</v>
      </c>
    </row>
    <row r="2370" spans="2:11" x14ac:dyDescent="0.35">
      <c r="B2370" s="62">
        <v>12.25</v>
      </c>
      <c r="C2370" s="471">
        <v>2386</v>
      </c>
      <c r="D2370" s="471">
        <v>2371.6999999999998</v>
      </c>
      <c r="E2370" s="469">
        <v>39.89</v>
      </c>
      <c r="F2370" s="469">
        <v>13.8</v>
      </c>
      <c r="G2370" s="469">
        <v>8.6</v>
      </c>
      <c r="H2370" s="470">
        <v>175</v>
      </c>
      <c r="I2370" s="470">
        <v>699</v>
      </c>
      <c r="J2370" s="470">
        <v>3754</v>
      </c>
      <c r="K2370" s="469">
        <v>1.82</v>
      </c>
    </row>
    <row r="2371" spans="2:11" x14ac:dyDescent="0.35">
      <c r="B2371" s="62">
        <v>12.25</v>
      </c>
      <c r="C2371" s="471">
        <v>2387</v>
      </c>
      <c r="D2371" s="471">
        <v>2372.6</v>
      </c>
      <c r="E2371" s="469">
        <v>31.79</v>
      </c>
      <c r="F2371" s="469">
        <v>13.7</v>
      </c>
      <c r="G2371" s="469">
        <v>8.3000000000000007</v>
      </c>
      <c r="H2371" s="470">
        <v>175</v>
      </c>
      <c r="I2371" s="470">
        <v>700</v>
      </c>
      <c r="J2371" s="470">
        <v>3745</v>
      </c>
      <c r="K2371" s="469">
        <v>1.82</v>
      </c>
    </row>
    <row r="2372" spans="2:11" x14ac:dyDescent="0.35">
      <c r="B2372" s="62">
        <v>12.25</v>
      </c>
      <c r="C2372" s="471">
        <v>2388</v>
      </c>
      <c r="D2372" s="471">
        <v>2373.6</v>
      </c>
      <c r="E2372" s="469">
        <v>20.21</v>
      </c>
      <c r="F2372" s="469">
        <v>14.5</v>
      </c>
      <c r="G2372" s="469">
        <v>5.7</v>
      </c>
      <c r="H2372" s="470">
        <v>176</v>
      </c>
      <c r="I2372" s="470">
        <v>705</v>
      </c>
      <c r="J2372" s="470">
        <v>3728</v>
      </c>
      <c r="K2372" s="469">
        <v>1.82</v>
      </c>
    </row>
    <row r="2373" spans="2:11" x14ac:dyDescent="0.35">
      <c r="B2373" s="62">
        <v>12.25</v>
      </c>
      <c r="C2373" s="471">
        <v>2389</v>
      </c>
      <c r="D2373" s="471">
        <v>2374.6999999999998</v>
      </c>
      <c r="E2373" s="469">
        <v>15.71</v>
      </c>
      <c r="F2373" s="469">
        <v>13.8</v>
      </c>
      <c r="G2373" s="469">
        <v>7.5</v>
      </c>
      <c r="H2373" s="470">
        <v>176</v>
      </c>
      <c r="I2373" s="470">
        <v>712</v>
      </c>
      <c r="J2373" s="470">
        <v>3702</v>
      </c>
      <c r="K2373" s="469">
        <v>1.82</v>
      </c>
    </row>
    <row r="2374" spans="2:11" x14ac:dyDescent="0.35">
      <c r="B2374" s="62">
        <v>12.25</v>
      </c>
      <c r="C2374" s="471">
        <v>2390</v>
      </c>
      <c r="D2374" s="471">
        <v>2375.6999999999998</v>
      </c>
      <c r="E2374" s="469">
        <v>8.4600000000000009</v>
      </c>
      <c r="F2374" s="469">
        <v>7.1</v>
      </c>
      <c r="G2374" s="469">
        <v>5.5</v>
      </c>
      <c r="H2374" s="470">
        <v>176</v>
      </c>
      <c r="I2374" s="470">
        <v>708</v>
      </c>
      <c r="J2374" s="470">
        <v>3577</v>
      </c>
      <c r="K2374" s="469">
        <v>1.82</v>
      </c>
    </row>
    <row r="2375" spans="2:11" x14ac:dyDescent="0.35">
      <c r="B2375" s="62">
        <v>12.25</v>
      </c>
      <c r="C2375" s="471">
        <v>2391</v>
      </c>
      <c r="D2375" s="471">
        <v>2376.6999999999998</v>
      </c>
      <c r="E2375" s="469">
        <v>15.42</v>
      </c>
      <c r="F2375" s="469">
        <v>8.1999999999999993</v>
      </c>
      <c r="G2375" s="469">
        <v>6.6</v>
      </c>
      <c r="H2375" s="470">
        <v>177</v>
      </c>
      <c r="I2375" s="470">
        <v>714</v>
      </c>
      <c r="J2375" s="470">
        <v>3527</v>
      </c>
      <c r="K2375" s="469">
        <v>1.82</v>
      </c>
    </row>
    <row r="2376" spans="2:11" x14ac:dyDescent="0.35">
      <c r="B2376" s="62">
        <v>12.25</v>
      </c>
      <c r="C2376" s="471">
        <v>2392</v>
      </c>
      <c r="D2376" s="471">
        <v>2377.6999999999998</v>
      </c>
      <c r="E2376" s="469">
        <v>15.83</v>
      </c>
      <c r="F2376" s="469">
        <v>8.9</v>
      </c>
      <c r="G2376" s="469">
        <v>6.1</v>
      </c>
      <c r="H2376" s="470">
        <v>178</v>
      </c>
      <c r="I2376" s="470">
        <v>713</v>
      </c>
      <c r="J2376" s="470">
        <v>3236</v>
      </c>
      <c r="K2376" s="469">
        <v>1.82</v>
      </c>
    </row>
    <row r="2377" spans="2:11" x14ac:dyDescent="0.35">
      <c r="B2377" s="62">
        <v>12.25</v>
      </c>
      <c r="C2377" s="471">
        <v>2393</v>
      </c>
      <c r="D2377" s="471">
        <v>2378.6</v>
      </c>
      <c r="E2377" s="469">
        <v>15.87</v>
      </c>
      <c r="F2377" s="469">
        <v>8.9</v>
      </c>
      <c r="G2377" s="469">
        <v>5.4</v>
      </c>
      <c r="H2377" s="470">
        <v>174</v>
      </c>
      <c r="I2377" s="470">
        <v>674</v>
      </c>
      <c r="J2377" s="470">
        <v>2989</v>
      </c>
      <c r="K2377" s="469">
        <v>1.82</v>
      </c>
    </row>
    <row r="2378" spans="2:11" x14ac:dyDescent="0.35">
      <c r="B2378" s="62">
        <v>12.25</v>
      </c>
      <c r="C2378" s="471">
        <v>2394</v>
      </c>
      <c r="D2378" s="471">
        <v>2379.6</v>
      </c>
      <c r="E2378" s="469">
        <v>29.62</v>
      </c>
      <c r="F2378" s="469">
        <v>10.8</v>
      </c>
      <c r="G2378" s="469">
        <v>8.6</v>
      </c>
      <c r="H2378" s="470">
        <v>173</v>
      </c>
      <c r="I2378" s="470">
        <v>666</v>
      </c>
      <c r="J2378" s="470">
        <v>2993</v>
      </c>
      <c r="K2378" s="469">
        <v>1.82</v>
      </c>
    </row>
    <row r="2379" spans="2:11" x14ac:dyDescent="0.35">
      <c r="B2379" s="62">
        <v>12.25</v>
      </c>
      <c r="C2379" s="471">
        <v>2395</v>
      </c>
      <c r="D2379" s="471">
        <v>2380.6</v>
      </c>
      <c r="E2379" s="469">
        <v>30.92</v>
      </c>
      <c r="F2379" s="469">
        <v>12</v>
      </c>
      <c r="G2379" s="469">
        <v>8.6999999999999993</v>
      </c>
      <c r="H2379" s="470">
        <v>174</v>
      </c>
      <c r="I2379" s="470">
        <v>682</v>
      </c>
      <c r="J2379" s="470">
        <v>3424</v>
      </c>
      <c r="K2379" s="469">
        <v>1.82</v>
      </c>
    </row>
    <row r="2380" spans="2:11" x14ac:dyDescent="0.35">
      <c r="B2380" s="62">
        <v>12.25</v>
      </c>
      <c r="C2380" s="471">
        <v>2396</v>
      </c>
      <c r="D2380" s="471">
        <v>2381.6</v>
      </c>
      <c r="E2380" s="469">
        <v>11.15</v>
      </c>
      <c r="F2380" s="469">
        <v>12.2</v>
      </c>
      <c r="G2380" s="469">
        <v>6.5</v>
      </c>
      <c r="H2380" s="470">
        <v>165</v>
      </c>
      <c r="I2380" s="470">
        <v>599</v>
      </c>
      <c r="J2380" s="470">
        <v>3053</v>
      </c>
      <c r="K2380" s="469">
        <v>1.82</v>
      </c>
    </row>
    <row r="2381" spans="2:11" x14ac:dyDescent="0.35">
      <c r="B2381" s="62">
        <v>12.25</v>
      </c>
      <c r="C2381" s="471">
        <v>2397</v>
      </c>
      <c r="D2381" s="471">
        <v>2382.6</v>
      </c>
      <c r="E2381" s="469">
        <v>18.649999999999999</v>
      </c>
      <c r="F2381" s="469">
        <v>13.3</v>
      </c>
      <c r="G2381" s="469">
        <v>8.1</v>
      </c>
      <c r="H2381" s="470">
        <v>175</v>
      </c>
      <c r="I2381" s="470">
        <v>691</v>
      </c>
      <c r="J2381" s="470">
        <v>3788</v>
      </c>
      <c r="K2381" s="469">
        <v>1.82</v>
      </c>
    </row>
    <row r="2382" spans="2:11" x14ac:dyDescent="0.35">
      <c r="B2382" s="62">
        <v>12.25</v>
      </c>
      <c r="C2382" s="471">
        <v>2398</v>
      </c>
      <c r="D2382" s="471">
        <v>2383.6</v>
      </c>
      <c r="E2382" s="469">
        <v>33.99</v>
      </c>
      <c r="F2382" s="469">
        <v>13.2</v>
      </c>
      <c r="G2382" s="469">
        <v>10.3</v>
      </c>
      <c r="H2382" s="470">
        <v>176</v>
      </c>
      <c r="I2382" s="470">
        <v>695</v>
      </c>
      <c r="J2382" s="470">
        <v>3861</v>
      </c>
      <c r="K2382" s="469">
        <v>1.82</v>
      </c>
    </row>
    <row r="2383" spans="2:11" x14ac:dyDescent="0.35">
      <c r="B2383" s="62">
        <v>12.25</v>
      </c>
      <c r="C2383" s="471">
        <v>2399</v>
      </c>
      <c r="D2383" s="471">
        <v>2384.6</v>
      </c>
      <c r="E2383" s="469">
        <v>32.590000000000003</v>
      </c>
      <c r="F2383" s="469">
        <v>12</v>
      </c>
      <c r="G2383" s="469">
        <v>9.1999999999999993</v>
      </c>
      <c r="H2383" s="470">
        <v>176</v>
      </c>
      <c r="I2383" s="470">
        <v>698</v>
      </c>
      <c r="J2383" s="470">
        <v>3856</v>
      </c>
      <c r="K2383" s="469">
        <v>1.82</v>
      </c>
    </row>
    <row r="2384" spans="2:11" x14ac:dyDescent="0.35">
      <c r="B2384" s="62">
        <v>12.25</v>
      </c>
      <c r="C2384" s="471">
        <v>2400</v>
      </c>
      <c r="D2384" s="471">
        <v>2385.6</v>
      </c>
      <c r="E2384" s="469">
        <v>21.6</v>
      </c>
      <c r="F2384" s="469">
        <v>12.6</v>
      </c>
      <c r="G2384" s="469">
        <v>8</v>
      </c>
      <c r="H2384" s="470">
        <v>177</v>
      </c>
      <c r="I2384" s="470">
        <v>702</v>
      </c>
      <c r="J2384" s="470">
        <v>3855</v>
      </c>
      <c r="K2384" s="469">
        <v>1.83</v>
      </c>
    </row>
    <row r="2385" spans="2:11" x14ac:dyDescent="0.35">
      <c r="B2385" s="62">
        <v>12.25</v>
      </c>
      <c r="C2385" s="471">
        <v>2401</v>
      </c>
      <c r="D2385" s="471">
        <v>2386.5</v>
      </c>
      <c r="E2385" s="469">
        <v>28.48</v>
      </c>
      <c r="F2385" s="469">
        <v>13.3</v>
      </c>
      <c r="G2385" s="469">
        <v>7.4</v>
      </c>
      <c r="H2385" s="470">
        <v>177</v>
      </c>
      <c r="I2385" s="470">
        <v>702</v>
      </c>
      <c r="J2385" s="470">
        <v>3899</v>
      </c>
      <c r="K2385" s="469">
        <v>1.83</v>
      </c>
    </row>
    <row r="2386" spans="2:11" x14ac:dyDescent="0.35">
      <c r="B2386" s="62">
        <v>12.25</v>
      </c>
      <c r="C2386" s="471">
        <v>2402</v>
      </c>
      <c r="D2386" s="471">
        <v>2387.6</v>
      </c>
      <c r="E2386" s="469">
        <v>16.02</v>
      </c>
      <c r="F2386" s="469">
        <v>14.5</v>
      </c>
      <c r="G2386" s="469">
        <v>7.8</v>
      </c>
      <c r="H2386" s="470">
        <v>177</v>
      </c>
      <c r="I2386" s="470">
        <v>703</v>
      </c>
      <c r="J2386" s="470">
        <v>3852</v>
      </c>
      <c r="K2386" s="469">
        <v>1.83</v>
      </c>
    </row>
    <row r="2387" spans="2:11" x14ac:dyDescent="0.35">
      <c r="B2387" s="62">
        <v>12.25</v>
      </c>
      <c r="C2387" s="471">
        <v>2403</v>
      </c>
      <c r="D2387" s="471">
        <v>2388.5</v>
      </c>
      <c r="E2387" s="469">
        <v>23.85</v>
      </c>
      <c r="F2387" s="469">
        <v>13.1</v>
      </c>
      <c r="G2387" s="469">
        <v>7.5</v>
      </c>
      <c r="H2387" s="470">
        <v>177</v>
      </c>
      <c r="I2387" s="470">
        <v>705</v>
      </c>
      <c r="J2387" s="470">
        <v>3904</v>
      </c>
      <c r="K2387" s="469">
        <v>1.83</v>
      </c>
    </row>
    <row r="2388" spans="2:11" x14ac:dyDescent="0.35">
      <c r="B2388" s="62">
        <v>12.25</v>
      </c>
      <c r="C2388" s="471">
        <v>2404</v>
      </c>
      <c r="D2388" s="471">
        <v>2389.6</v>
      </c>
      <c r="E2388" s="469">
        <v>11.82</v>
      </c>
      <c r="F2388" s="469">
        <v>14.6</v>
      </c>
      <c r="G2388" s="469">
        <v>7</v>
      </c>
      <c r="H2388" s="470">
        <v>177</v>
      </c>
      <c r="I2388" s="470">
        <v>703</v>
      </c>
      <c r="J2388" s="470">
        <v>3865</v>
      </c>
      <c r="K2388" s="469">
        <v>1.83</v>
      </c>
    </row>
    <row r="2389" spans="2:11" x14ac:dyDescent="0.35">
      <c r="B2389" s="62">
        <v>12.25</v>
      </c>
      <c r="C2389" s="471">
        <v>2405</v>
      </c>
      <c r="D2389" s="471">
        <v>2390.5</v>
      </c>
      <c r="E2389" s="469">
        <v>22.45</v>
      </c>
      <c r="F2389" s="469">
        <v>13.3</v>
      </c>
      <c r="G2389" s="469">
        <v>8.9</v>
      </c>
      <c r="H2389" s="470">
        <v>177</v>
      </c>
      <c r="I2389" s="470">
        <v>703</v>
      </c>
      <c r="J2389" s="470">
        <v>3895</v>
      </c>
      <c r="K2389" s="469">
        <v>1.83</v>
      </c>
    </row>
    <row r="2390" spans="2:11" x14ac:dyDescent="0.35">
      <c r="B2390" s="62">
        <v>12.25</v>
      </c>
      <c r="C2390" s="471">
        <v>2406</v>
      </c>
      <c r="D2390" s="471">
        <v>2391.6</v>
      </c>
      <c r="E2390" s="469">
        <v>31.64</v>
      </c>
      <c r="F2390" s="469">
        <v>14</v>
      </c>
      <c r="G2390" s="469">
        <v>9</v>
      </c>
      <c r="H2390" s="470">
        <v>177</v>
      </c>
      <c r="I2390" s="470">
        <v>702</v>
      </c>
      <c r="J2390" s="470">
        <v>3907</v>
      </c>
      <c r="K2390" s="469">
        <v>1.83</v>
      </c>
    </row>
    <row r="2391" spans="2:11" x14ac:dyDescent="0.35">
      <c r="B2391" s="62">
        <v>12.25</v>
      </c>
      <c r="C2391" s="471">
        <v>2407</v>
      </c>
      <c r="D2391" s="471">
        <v>2392.5</v>
      </c>
      <c r="E2391" s="469">
        <v>44.01</v>
      </c>
      <c r="F2391" s="469">
        <v>13.8</v>
      </c>
      <c r="G2391" s="469">
        <v>9.1999999999999993</v>
      </c>
      <c r="H2391" s="470">
        <v>177</v>
      </c>
      <c r="I2391" s="470">
        <v>701</v>
      </c>
      <c r="J2391" s="470">
        <v>3957</v>
      </c>
      <c r="K2391" s="469">
        <v>1.83</v>
      </c>
    </row>
    <row r="2392" spans="2:11" x14ac:dyDescent="0.35">
      <c r="B2392" s="62">
        <v>12.25</v>
      </c>
      <c r="C2392" s="471">
        <v>2408</v>
      </c>
      <c r="D2392" s="471">
        <v>2393.6</v>
      </c>
      <c r="E2392" s="469">
        <v>33.36</v>
      </c>
      <c r="F2392" s="469">
        <v>14.7</v>
      </c>
      <c r="G2392" s="469">
        <v>10.199999999999999</v>
      </c>
      <c r="H2392" s="470">
        <v>177</v>
      </c>
      <c r="I2392" s="470">
        <v>703</v>
      </c>
      <c r="J2392" s="470">
        <v>3942</v>
      </c>
      <c r="K2392" s="469">
        <v>1.83</v>
      </c>
    </row>
    <row r="2393" spans="2:11" x14ac:dyDescent="0.35">
      <c r="B2393" s="62">
        <v>12.25</v>
      </c>
      <c r="C2393" s="471">
        <v>2409</v>
      </c>
      <c r="D2393" s="471">
        <v>2394.4</v>
      </c>
      <c r="E2393" s="469">
        <v>34.090000000000003</v>
      </c>
      <c r="F2393" s="469">
        <v>14.7</v>
      </c>
      <c r="G2393" s="469">
        <v>9.3000000000000007</v>
      </c>
      <c r="H2393" s="470">
        <v>177</v>
      </c>
      <c r="I2393" s="470">
        <v>701</v>
      </c>
      <c r="J2393" s="470">
        <v>3974</v>
      </c>
      <c r="K2393" s="469">
        <v>1.83</v>
      </c>
    </row>
    <row r="2394" spans="2:11" x14ac:dyDescent="0.35">
      <c r="B2394" s="62">
        <v>12.25</v>
      </c>
      <c r="C2394" s="471">
        <v>2410</v>
      </c>
      <c r="D2394" s="471">
        <v>2395.4</v>
      </c>
      <c r="E2394" s="469">
        <v>37.35</v>
      </c>
      <c r="F2394" s="469">
        <v>14.6</v>
      </c>
      <c r="G2394" s="469">
        <v>9.6999999999999993</v>
      </c>
      <c r="H2394" s="470">
        <v>177</v>
      </c>
      <c r="I2394" s="470">
        <v>703</v>
      </c>
      <c r="J2394" s="470">
        <v>3984</v>
      </c>
      <c r="K2394" s="469">
        <v>1.83</v>
      </c>
    </row>
    <row r="2395" spans="2:11" x14ac:dyDescent="0.35">
      <c r="B2395" s="62">
        <v>12.25</v>
      </c>
      <c r="C2395" s="471">
        <v>2411</v>
      </c>
      <c r="D2395" s="471">
        <v>2396.4</v>
      </c>
      <c r="E2395" s="469">
        <v>29.47</v>
      </c>
      <c r="F2395" s="469">
        <v>14.7</v>
      </c>
      <c r="G2395" s="469">
        <v>6.5</v>
      </c>
      <c r="H2395" s="470">
        <v>177</v>
      </c>
      <c r="I2395" s="470">
        <v>702</v>
      </c>
      <c r="J2395" s="470">
        <v>3999</v>
      </c>
      <c r="K2395" s="469">
        <v>1.83</v>
      </c>
    </row>
    <row r="2396" spans="2:11" x14ac:dyDescent="0.35">
      <c r="B2396" s="62">
        <v>12.25</v>
      </c>
      <c r="C2396" s="471">
        <v>2412</v>
      </c>
      <c r="D2396" s="471">
        <v>2397.4</v>
      </c>
      <c r="E2396" s="469">
        <v>22.01</v>
      </c>
      <c r="F2396" s="469">
        <v>15.3</v>
      </c>
      <c r="G2396" s="469">
        <v>8.6999999999999993</v>
      </c>
      <c r="H2396" s="470">
        <v>177</v>
      </c>
      <c r="I2396" s="470">
        <v>703</v>
      </c>
      <c r="J2396" s="470">
        <v>3970</v>
      </c>
      <c r="K2396" s="469">
        <v>1.83</v>
      </c>
    </row>
    <row r="2397" spans="2:11" x14ac:dyDescent="0.35">
      <c r="B2397" s="62">
        <v>12.25</v>
      </c>
      <c r="C2397" s="471">
        <v>2413</v>
      </c>
      <c r="D2397" s="471">
        <v>2398.4</v>
      </c>
      <c r="E2397" s="469">
        <v>21.35</v>
      </c>
      <c r="F2397" s="469">
        <v>14.9</v>
      </c>
      <c r="G2397" s="469">
        <v>7.2</v>
      </c>
      <c r="H2397" s="470">
        <v>177</v>
      </c>
      <c r="I2397" s="470">
        <v>703</v>
      </c>
      <c r="J2397" s="470">
        <v>3964</v>
      </c>
      <c r="K2397" s="469">
        <v>1.83</v>
      </c>
    </row>
    <row r="2398" spans="2:11" x14ac:dyDescent="0.35">
      <c r="B2398" s="62">
        <v>12.25</v>
      </c>
      <c r="C2398" s="471">
        <v>2414</v>
      </c>
      <c r="D2398" s="471">
        <v>2399.4</v>
      </c>
      <c r="E2398" s="469">
        <v>29.23</v>
      </c>
      <c r="F2398" s="469">
        <v>14.2</v>
      </c>
      <c r="G2398" s="469">
        <v>8.9</v>
      </c>
      <c r="H2398" s="470">
        <v>177</v>
      </c>
      <c r="I2398" s="470">
        <v>702</v>
      </c>
      <c r="J2398" s="470">
        <v>3974</v>
      </c>
      <c r="K2398" s="469">
        <v>1.83</v>
      </c>
    </row>
    <row r="2399" spans="2:11" x14ac:dyDescent="0.35">
      <c r="B2399" s="62">
        <v>12.25</v>
      </c>
      <c r="C2399" s="471">
        <v>2415</v>
      </c>
      <c r="D2399" s="471">
        <v>2400.3000000000002</v>
      </c>
      <c r="E2399" s="469">
        <v>19.86</v>
      </c>
      <c r="F2399" s="469">
        <v>14.7</v>
      </c>
      <c r="G2399" s="469">
        <v>8.1999999999999993</v>
      </c>
      <c r="H2399" s="470">
        <v>177</v>
      </c>
      <c r="I2399" s="470">
        <v>703</v>
      </c>
      <c r="J2399" s="470">
        <v>3961</v>
      </c>
      <c r="K2399" s="469">
        <v>1.83</v>
      </c>
    </row>
    <row r="2400" spans="2:11" x14ac:dyDescent="0.35">
      <c r="B2400" s="62">
        <v>12.25</v>
      </c>
      <c r="C2400" s="471">
        <v>2416</v>
      </c>
      <c r="D2400" s="471">
        <v>2401.4</v>
      </c>
      <c r="E2400" s="469">
        <v>21.41</v>
      </c>
      <c r="F2400" s="469">
        <v>14.2</v>
      </c>
      <c r="G2400" s="469">
        <v>7.4</v>
      </c>
      <c r="H2400" s="470">
        <v>177</v>
      </c>
      <c r="I2400" s="470">
        <v>703</v>
      </c>
      <c r="J2400" s="470">
        <v>3958</v>
      </c>
      <c r="K2400" s="469">
        <v>1.83</v>
      </c>
    </row>
    <row r="2401" spans="2:11" x14ac:dyDescent="0.35">
      <c r="B2401" s="62">
        <v>12.25</v>
      </c>
      <c r="C2401" s="471">
        <v>2417</v>
      </c>
      <c r="D2401" s="471">
        <v>2402.3000000000002</v>
      </c>
      <c r="E2401" s="469">
        <v>12.66</v>
      </c>
      <c r="F2401" s="469">
        <v>14.7</v>
      </c>
      <c r="G2401" s="469">
        <v>6.8</v>
      </c>
      <c r="H2401" s="470">
        <v>177</v>
      </c>
      <c r="I2401" s="470">
        <v>703</v>
      </c>
      <c r="J2401" s="470">
        <v>3965</v>
      </c>
      <c r="K2401" s="469">
        <v>1.83</v>
      </c>
    </row>
    <row r="2402" spans="2:11" x14ac:dyDescent="0.35">
      <c r="B2402" s="62">
        <v>12.25</v>
      </c>
      <c r="C2402" s="471">
        <v>2418</v>
      </c>
      <c r="D2402" s="471">
        <v>2403.3000000000002</v>
      </c>
      <c r="E2402" s="469">
        <v>8.23</v>
      </c>
      <c r="F2402" s="469">
        <v>12</v>
      </c>
      <c r="G2402" s="469">
        <v>5.6</v>
      </c>
      <c r="H2402" s="470">
        <v>177</v>
      </c>
      <c r="I2402" s="470">
        <v>702</v>
      </c>
      <c r="J2402" s="470">
        <v>3913</v>
      </c>
      <c r="K2402" s="469">
        <v>1.83</v>
      </c>
    </row>
    <row r="2403" spans="2:11" x14ac:dyDescent="0.35">
      <c r="B2403" s="62">
        <v>12.25</v>
      </c>
      <c r="C2403" s="471">
        <v>2419</v>
      </c>
      <c r="D2403" s="471">
        <v>2404.4</v>
      </c>
      <c r="E2403" s="469">
        <v>31.29</v>
      </c>
      <c r="F2403" s="469">
        <v>10.4</v>
      </c>
      <c r="G2403" s="469">
        <v>7.8</v>
      </c>
      <c r="H2403" s="470">
        <v>176</v>
      </c>
      <c r="I2403" s="470">
        <v>701</v>
      </c>
      <c r="J2403" s="470">
        <v>3900</v>
      </c>
      <c r="K2403" s="469">
        <v>1.83</v>
      </c>
    </row>
    <row r="2404" spans="2:11" x14ac:dyDescent="0.35">
      <c r="B2404" s="62">
        <v>12.25</v>
      </c>
      <c r="C2404" s="471">
        <v>2420</v>
      </c>
      <c r="D2404" s="471">
        <v>2405.3000000000002</v>
      </c>
      <c r="E2404" s="469">
        <v>31.57</v>
      </c>
      <c r="F2404" s="469">
        <v>13.3</v>
      </c>
      <c r="G2404" s="469">
        <v>10.1</v>
      </c>
      <c r="H2404" s="470">
        <v>177</v>
      </c>
      <c r="I2404" s="470">
        <v>707</v>
      </c>
      <c r="J2404" s="470">
        <v>4017</v>
      </c>
      <c r="K2404" s="469">
        <v>1.83</v>
      </c>
    </row>
    <row r="2405" spans="2:11" x14ac:dyDescent="0.35">
      <c r="B2405" s="62">
        <v>12.25</v>
      </c>
      <c r="C2405" s="471">
        <v>2421</v>
      </c>
      <c r="D2405" s="471">
        <v>2406.3000000000002</v>
      </c>
      <c r="E2405" s="469">
        <v>31.12</v>
      </c>
      <c r="F2405" s="469">
        <v>13.3</v>
      </c>
      <c r="G2405" s="469">
        <v>9.1</v>
      </c>
      <c r="H2405" s="470">
        <v>162</v>
      </c>
      <c r="I2405" s="470">
        <v>707</v>
      </c>
      <c r="J2405" s="470">
        <v>4023</v>
      </c>
      <c r="K2405" s="469">
        <v>1.83</v>
      </c>
    </row>
    <row r="2406" spans="2:11" x14ac:dyDescent="0.35">
      <c r="B2406" s="62">
        <v>12.25</v>
      </c>
      <c r="C2406" s="471">
        <v>2422</v>
      </c>
      <c r="D2406" s="471">
        <v>2407.3000000000002</v>
      </c>
      <c r="E2406" s="469">
        <v>30.93</v>
      </c>
      <c r="F2406" s="469">
        <v>11.7</v>
      </c>
      <c r="G2406" s="469">
        <v>9.8000000000000007</v>
      </c>
      <c r="H2406" s="470">
        <v>141</v>
      </c>
      <c r="I2406" s="470">
        <v>707</v>
      </c>
      <c r="J2406" s="470">
        <v>4021</v>
      </c>
      <c r="K2406" s="469">
        <v>1.83</v>
      </c>
    </row>
    <row r="2407" spans="2:11" x14ac:dyDescent="0.35">
      <c r="B2407" s="62">
        <v>12.25</v>
      </c>
      <c r="C2407" s="471">
        <v>2423</v>
      </c>
      <c r="D2407" s="471">
        <v>2408.3000000000002</v>
      </c>
      <c r="E2407" s="469">
        <v>24.39</v>
      </c>
      <c r="F2407" s="469">
        <v>12.5</v>
      </c>
      <c r="G2407" s="469">
        <v>8.5</v>
      </c>
      <c r="H2407" s="470">
        <v>178</v>
      </c>
      <c r="I2407" s="470">
        <v>721</v>
      </c>
      <c r="J2407" s="470">
        <v>4041</v>
      </c>
      <c r="K2407" s="469">
        <v>1.83</v>
      </c>
    </row>
    <row r="2408" spans="2:11" x14ac:dyDescent="0.35">
      <c r="B2408" s="62">
        <v>12.25</v>
      </c>
      <c r="C2408" s="471">
        <v>2424</v>
      </c>
      <c r="D2408" s="471">
        <v>2409.3000000000002</v>
      </c>
      <c r="E2408" s="469">
        <v>36.04</v>
      </c>
      <c r="F2408" s="469">
        <v>12.9</v>
      </c>
      <c r="G2408" s="469">
        <v>9.1</v>
      </c>
      <c r="H2408" s="470">
        <v>178</v>
      </c>
      <c r="I2408" s="470">
        <v>721</v>
      </c>
      <c r="J2408" s="470">
        <v>4078</v>
      </c>
      <c r="K2408" s="469">
        <v>1.83</v>
      </c>
    </row>
    <row r="2409" spans="2:11" x14ac:dyDescent="0.35">
      <c r="B2409" s="62">
        <v>12.25</v>
      </c>
      <c r="C2409" s="471">
        <v>2425</v>
      </c>
      <c r="D2409" s="471">
        <v>2410.3000000000002</v>
      </c>
      <c r="E2409" s="469">
        <v>21.68</v>
      </c>
      <c r="F2409" s="469">
        <v>13.4</v>
      </c>
      <c r="G2409" s="469">
        <v>7.3</v>
      </c>
      <c r="H2409" s="470">
        <v>178</v>
      </c>
      <c r="I2409" s="470">
        <v>721</v>
      </c>
      <c r="J2409" s="470">
        <v>4018</v>
      </c>
      <c r="K2409" s="469">
        <v>1.83</v>
      </c>
    </row>
    <row r="2410" spans="2:11" x14ac:dyDescent="0.35">
      <c r="B2410" s="62">
        <v>12.25</v>
      </c>
      <c r="C2410" s="471">
        <v>2426</v>
      </c>
      <c r="D2410" s="471">
        <v>2411.3000000000002</v>
      </c>
      <c r="E2410" s="469">
        <v>31.02</v>
      </c>
      <c r="F2410" s="469">
        <v>13.3</v>
      </c>
      <c r="G2410" s="469">
        <v>9.5</v>
      </c>
      <c r="H2410" s="470">
        <v>177</v>
      </c>
      <c r="I2410" s="470">
        <v>716</v>
      </c>
      <c r="J2410" s="470">
        <v>3996</v>
      </c>
      <c r="K2410" s="469">
        <v>1.83</v>
      </c>
    </row>
    <row r="2411" spans="2:11" x14ac:dyDescent="0.35">
      <c r="B2411" s="62">
        <v>12.25</v>
      </c>
      <c r="C2411" s="471">
        <v>2427</v>
      </c>
      <c r="D2411" s="471">
        <v>2412.3000000000002</v>
      </c>
      <c r="E2411" s="469">
        <v>40.64</v>
      </c>
      <c r="F2411" s="469">
        <v>13.2</v>
      </c>
      <c r="G2411" s="469">
        <v>8.3000000000000007</v>
      </c>
      <c r="H2411" s="470">
        <v>178</v>
      </c>
      <c r="I2411" s="470">
        <v>722</v>
      </c>
      <c r="J2411" s="470">
        <v>4132</v>
      </c>
      <c r="K2411" s="469">
        <v>1.83</v>
      </c>
    </row>
    <row r="2412" spans="2:11" x14ac:dyDescent="0.35">
      <c r="B2412" s="62">
        <v>12.25</v>
      </c>
      <c r="C2412" s="471">
        <v>2428</v>
      </c>
      <c r="D2412" s="471">
        <v>2413.3000000000002</v>
      </c>
      <c r="E2412" s="469">
        <v>23.09</v>
      </c>
      <c r="F2412" s="469">
        <v>14.4</v>
      </c>
      <c r="G2412" s="469">
        <v>8.3000000000000007</v>
      </c>
      <c r="H2412" s="470">
        <v>179</v>
      </c>
      <c r="I2412" s="470">
        <v>728</v>
      </c>
      <c r="J2412" s="470">
        <v>4217</v>
      </c>
      <c r="K2412" s="469">
        <v>1.83</v>
      </c>
    </row>
    <row r="2413" spans="2:11" x14ac:dyDescent="0.35">
      <c r="B2413" s="62">
        <v>12.25</v>
      </c>
      <c r="C2413" s="471">
        <v>2429</v>
      </c>
      <c r="D2413" s="471">
        <v>2414.3000000000002</v>
      </c>
      <c r="E2413" s="469">
        <v>13.62</v>
      </c>
      <c r="F2413" s="469">
        <v>13.1</v>
      </c>
      <c r="G2413" s="469">
        <v>6.9</v>
      </c>
      <c r="H2413" s="470">
        <v>180</v>
      </c>
      <c r="I2413" s="470">
        <v>735</v>
      </c>
      <c r="J2413" s="470">
        <v>4207</v>
      </c>
      <c r="K2413" s="469">
        <v>1.83</v>
      </c>
    </row>
    <row r="2414" spans="2:11" x14ac:dyDescent="0.35">
      <c r="B2414" s="62">
        <v>12.25</v>
      </c>
      <c r="C2414" s="471">
        <v>2430</v>
      </c>
      <c r="D2414" s="471">
        <v>2415.1999999999998</v>
      </c>
      <c r="E2414" s="469">
        <v>41.95</v>
      </c>
      <c r="F2414" s="469">
        <v>13.5</v>
      </c>
      <c r="G2414" s="469">
        <v>9.9</v>
      </c>
      <c r="H2414" s="470">
        <v>179</v>
      </c>
      <c r="I2414" s="470">
        <v>732</v>
      </c>
      <c r="J2414" s="470">
        <v>4246</v>
      </c>
      <c r="K2414" s="469">
        <v>1.83</v>
      </c>
    </row>
    <row r="2415" spans="2:11" x14ac:dyDescent="0.35">
      <c r="B2415" s="62">
        <v>12.25</v>
      </c>
      <c r="C2415" s="471">
        <v>2431</v>
      </c>
      <c r="D2415" s="471">
        <v>2416.3000000000002</v>
      </c>
      <c r="E2415" s="469">
        <v>26.25</v>
      </c>
      <c r="F2415" s="469">
        <v>15</v>
      </c>
      <c r="G2415" s="469">
        <v>9.9</v>
      </c>
      <c r="H2415" s="470">
        <v>178</v>
      </c>
      <c r="I2415" s="470">
        <v>729</v>
      </c>
      <c r="J2415" s="470">
        <v>4217</v>
      </c>
      <c r="K2415" s="469">
        <v>1.83</v>
      </c>
    </row>
    <row r="2416" spans="2:11" x14ac:dyDescent="0.35">
      <c r="B2416" s="62">
        <v>12.25</v>
      </c>
      <c r="C2416" s="471">
        <v>2432</v>
      </c>
      <c r="D2416" s="471">
        <v>2417.1999999999998</v>
      </c>
      <c r="E2416" s="469">
        <v>31.17</v>
      </c>
      <c r="F2416" s="469">
        <v>14.7</v>
      </c>
      <c r="G2416" s="469">
        <v>7.5</v>
      </c>
      <c r="H2416" s="470">
        <v>179</v>
      </c>
      <c r="I2416" s="470">
        <v>727</v>
      </c>
      <c r="J2416" s="470">
        <v>4225</v>
      </c>
      <c r="K2416" s="469">
        <v>1.83</v>
      </c>
    </row>
    <row r="2417" spans="2:11" x14ac:dyDescent="0.35">
      <c r="B2417" s="62">
        <v>12.25</v>
      </c>
      <c r="C2417" s="471">
        <v>2433</v>
      </c>
      <c r="D2417" s="471">
        <v>2418.1999999999998</v>
      </c>
      <c r="E2417" s="469">
        <v>20.09</v>
      </c>
      <c r="F2417" s="469">
        <v>14.6</v>
      </c>
      <c r="G2417" s="469">
        <v>7.7</v>
      </c>
      <c r="H2417" s="470">
        <v>178</v>
      </c>
      <c r="I2417" s="470">
        <v>725</v>
      </c>
      <c r="J2417" s="470">
        <v>4194</v>
      </c>
      <c r="K2417" s="469">
        <v>1.83</v>
      </c>
    </row>
    <row r="2418" spans="2:11" x14ac:dyDescent="0.35">
      <c r="B2418" s="62">
        <v>12.25</v>
      </c>
      <c r="C2418" s="471">
        <v>2434</v>
      </c>
      <c r="D2418" s="471">
        <v>2419.3000000000002</v>
      </c>
      <c r="E2418" s="469">
        <v>35.76</v>
      </c>
      <c r="F2418" s="469">
        <v>13.4</v>
      </c>
      <c r="G2418" s="469">
        <v>9.4</v>
      </c>
      <c r="H2418" s="470">
        <v>179</v>
      </c>
      <c r="I2418" s="470">
        <v>724</v>
      </c>
      <c r="J2418" s="470">
        <v>4193</v>
      </c>
      <c r="K2418" s="469">
        <v>1.83</v>
      </c>
    </row>
    <row r="2419" spans="2:11" x14ac:dyDescent="0.35">
      <c r="B2419" s="62">
        <v>12.25</v>
      </c>
      <c r="C2419" s="471">
        <v>2435</v>
      </c>
      <c r="D2419" s="471">
        <v>2420.1999999999998</v>
      </c>
      <c r="E2419" s="469">
        <v>26.85</v>
      </c>
      <c r="F2419" s="469">
        <v>14.4</v>
      </c>
      <c r="G2419" s="469">
        <v>7.5</v>
      </c>
      <c r="H2419" s="470">
        <v>178</v>
      </c>
      <c r="I2419" s="470">
        <v>723</v>
      </c>
      <c r="J2419" s="470">
        <v>4153</v>
      </c>
      <c r="K2419" s="469">
        <v>1.83</v>
      </c>
    </row>
    <row r="2420" spans="2:11" x14ac:dyDescent="0.35">
      <c r="B2420" s="62">
        <v>12.25</v>
      </c>
      <c r="C2420" s="471">
        <v>2436</v>
      </c>
      <c r="D2420" s="471">
        <v>2421.1999999999998</v>
      </c>
      <c r="E2420" s="469">
        <v>14.49</v>
      </c>
      <c r="F2420" s="469">
        <v>15.1</v>
      </c>
      <c r="G2420" s="469">
        <v>8.6999999999999993</v>
      </c>
      <c r="H2420" s="470">
        <v>178</v>
      </c>
      <c r="I2420" s="470">
        <v>723</v>
      </c>
      <c r="J2420" s="470">
        <v>4152</v>
      </c>
      <c r="K2420" s="469">
        <v>1.83</v>
      </c>
    </row>
    <row r="2421" spans="2:11" x14ac:dyDescent="0.35">
      <c r="B2421" s="62">
        <v>12.25</v>
      </c>
      <c r="C2421" s="471">
        <v>2437</v>
      </c>
      <c r="D2421" s="471">
        <v>2422.1999999999998</v>
      </c>
      <c r="E2421" s="469">
        <v>12.66</v>
      </c>
      <c r="F2421" s="469">
        <v>15.8</v>
      </c>
      <c r="G2421" s="469">
        <v>7.4</v>
      </c>
      <c r="H2421" s="470">
        <v>179</v>
      </c>
      <c r="I2421" s="470">
        <v>732</v>
      </c>
      <c r="J2421" s="470">
        <v>4239</v>
      </c>
      <c r="K2421" s="469">
        <v>1.83</v>
      </c>
    </row>
    <row r="2422" spans="2:11" x14ac:dyDescent="0.35">
      <c r="B2422" s="62">
        <v>12.25</v>
      </c>
      <c r="C2422" s="471">
        <v>2438</v>
      </c>
      <c r="D2422" s="471">
        <v>2423.1999999999998</v>
      </c>
      <c r="E2422" s="469">
        <v>14.77</v>
      </c>
      <c r="F2422" s="469">
        <v>14.7</v>
      </c>
      <c r="G2422" s="469">
        <v>6</v>
      </c>
      <c r="H2422" s="470">
        <v>179</v>
      </c>
      <c r="I2422" s="470">
        <v>734</v>
      </c>
      <c r="J2422" s="470">
        <v>4262</v>
      </c>
      <c r="K2422" s="469">
        <v>1.83</v>
      </c>
    </row>
    <row r="2423" spans="2:11" x14ac:dyDescent="0.35">
      <c r="B2423" s="62">
        <v>12.25</v>
      </c>
      <c r="C2423" s="471">
        <v>2439</v>
      </c>
      <c r="D2423" s="471">
        <v>2424</v>
      </c>
      <c r="E2423" s="469">
        <v>12.11</v>
      </c>
      <c r="F2423" s="469">
        <v>15.2</v>
      </c>
      <c r="G2423" s="469">
        <v>6.9</v>
      </c>
      <c r="H2423" s="470">
        <v>180</v>
      </c>
      <c r="I2423" s="470">
        <v>738</v>
      </c>
      <c r="J2423" s="470">
        <v>4228</v>
      </c>
      <c r="K2423" s="469">
        <v>1.83</v>
      </c>
    </row>
    <row r="2424" spans="2:11" x14ac:dyDescent="0.35">
      <c r="B2424" s="62">
        <v>12.25</v>
      </c>
      <c r="C2424" s="471">
        <v>2440</v>
      </c>
      <c r="D2424" s="471">
        <v>2425</v>
      </c>
      <c r="E2424" s="469">
        <v>13.96</v>
      </c>
      <c r="F2424" s="469">
        <v>15.8</v>
      </c>
      <c r="G2424" s="469">
        <v>7.7</v>
      </c>
      <c r="H2424" s="470">
        <v>180</v>
      </c>
      <c r="I2424" s="470">
        <v>737</v>
      </c>
      <c r="J2424" s="470">
        <v>4225</v>
      </c>
      <c r="K2424" s="469">
        <v>1.83</v>
      </c>
    </row>
    <row r="2425" spans="2:11" x14ac:dyDescent="0.35">
      <c r="B2425" s="62">
        <v>12.25</v>
      </c>
      <c r="C2425" s="471">
        <v>2441</v>
      </c>
      <c r="D2425" s="471">
        <v>2426</v>
      </c>
      <c r="E2425" s="469">
        <v>31.48</v>
      </c>
      <c r="F2425" s="469">
        <v>16.2</v>
      </c>
      <c r="G2425" s="469">
        <v>8.6999999999999993</v>
      </c>
      <c r="H2425" s="470">
        <v>180</v>
      </c>
      <c r="I2425" s="470">
        <v>733</v>
      </c>
      <c r="J2425" s="470">
        <v>4285</v>
      </c>
      <c r="K2425" s="469">
        <v>1.83</v>
      </c>
    </row>
    <row r="2426" spans="2:11" x14ac:dyDescent="0.35">
      <c r="B2426" s="62">
        <v>12.25</v>
      </c>
      <c r="C2426" s="471">
        <v>2442</v>
      </c>
      <c r="D2426" s="471">
        <v>2427</v>
      </c>
      <c r="E2426" s="469">
        <v>33.19</v>
      </c>
      <c r="F2426" s="469">
        <v>16.100000000000001</v>
      </c>
      <c r="G2426" s="469">
        <v>9.3000000000000007</v>
      </c>
      <c r="H2426" s="470">
        <v>180</v>
      </c>
      <c r="I2426" s="470">
        <v>730</v>
      </c>
      <c r="J2426" s="470">
        <v>4297</v>
      </c>
      <c r="K2426" s="469">
        <v>1.83</v>
      </c>
    </row>
    <row r="2427" spans="2:11" x14ac:dyDescent="0.35">
      <c r="B2427" s="62">
        <v>12.25</v>
      </c>
      <c r="C2427" s="471">
        <v>2443</v>
      </c>
      <c r="D2427" s="471">
        <v>2428</v>
      </c>
      <c r="E2427" s="469">
        <v>26.75</v>
      </c>
      <c r="F2427" s="469">
        <v>16.3</v>
      </c>
      <c r="G2427" s="469">
        <v>9.3000000000000007</v>
      </c>
      <c r="H2427" s="470">
        <v>180</v>
      </c>
      <c r="I2427" s="470">
        <v>732</v>
      </c>
      <c r="J2427" s="470">
        <v>4305</v>
      </c>
      <c r="K2427" s="469">
        <v>1.83</v>
      </c>
    </row>
    <row r="2428" spans="2:11" x14ac:dyDescent="0.35">
      <c r="B2428" s="62">
        <v>12.25</v>
      </c>
      <c r="C2428" s="471">
        <v>2444</v>
      </c>
      <c r="D2428" s="471">
        <v>2428.9</v>
      </c>
      <c r="E2428" s="469">
        <v>30.92</v>
      </c>
      <c r="F2428" s="469">
        <v>16.5</v>
      </c>
      <c r="G2428" s="469">
        <v>9.9</v>
      </c>
      <c r="H2428" s="470">
        <v>179</v>
      </c>
      <c r="I2428" s="470">
        <v>729</v>
      </c>
      <c r="J2428" s="470">
        <v>4315</v>
      </c>
      <c r="K2428" s="469">
        <v>1.83</v>
      </c>
    </row>
    <row r="2429" spans="2:11" x14ac:dyDescent="0.35">
      <c r="B2429" s="62">
        <v>12.25</v>
      </c>
      <c r="C2429" s="471">
        <v>2445</v>
      </c>
      <c r="D2429" s="471">
        <v>2429.9</v>
      </c>
      <c r="E2429" s="469">
        <v>23.81</v>
      </c>
      <c r="F2429" s="469">
        <v>14.9</v>
      </c>
      <c r="G2429" s="469">
        <v>9.1</v>
      </c>
      <c r="H2429" s="470">
        <v>180</v>
      </c>
      <c r="I2429" s="470">
        <v>736</v>
      </c>
      <c r="J2429" s="470">
        <v>4261</v>
      </c>
      <c r="K2429" s="469">
        <v>1.83</v>
      </c>
    </row>
    <row r="2430" spans="2:11" x14ac:dyDescent="0.35">
      <c r="B2430" s="62">
        <v>12.25</v>
      </c>
      <c r="C2430" s="471">
        <v>2446</v>
      </c>
      <c r="D2430" s="471">
        <v>2430.9</v>
      </c>
      <c r="E2430" s="469">
        <v>40.659999999999997</v>
      </c>
      <c r="F2430" s="469">
        <v>15.5</v>
      </c>
      <c r="G2430" s="469">
        <v>9.3000000000000007</v>
      </c>
      <c r="H2430" s="470">
        <v>180</v>
      </c>
      <c r="I2430" s="470">
        <v>730</v>
      </c>
      <c r="J2430" s="470">
        <v>4318</v>
      </c>
      <c r="K2430" s="469">
        <v>1.83</v>
      </c>
    </row>
    <row r="2431" spans="2:11" x14ac:dyDescent="0.35">
      <c r="B2431" s="62">
        <v>12.25</v>
      </c>
      <c r="C2431" s="471">
        <v>2447</v>
      </c>
      <c r="D2431" s="471">
        <v>2431.9</v>
      </c>
      <c r="E2431" s="469">
        <v>4.72</v>
      </c>
      <c r="F2431" s="469">
        <v>12.5</v>
      </c>
      <c r="G2431" s="469">
        <v>7.5</v>
      </c>
      <c r="H2431" s="470">
        <v>179</v>
      </c>
      <c r="I2431" s="470">
        <v>730</v>
      </c>
      <c r="J2431" s="470">
        <v>4233</v>
      </c>
      <c r="K2431" s="469">
        <v>1.83</v>
      </c>
    </row>
    <row r="2432" spans="2:11" x14ac:dyDescent="0.35">
      <c r="B2432" s="62">
        <v>12.25</v>
      </c>
      <c r="C2432" s="471">
        <v>2448</v>
      </c>
      <c r="D2432" s="471">
        <v>2432.9</v>
      </c>
      <c r="E2432" s="469">
        <v>40.200000000000003</v>
      </c>
      <c r="F2432" s="469">
        <v>9.3000000000000007</v>
      </c>
      <c r="G2432" s="469">
        <v>6.5</v>
      </c>
      <c r="H2432" s="470">
        <v>177</v>
      </c>
      <c r="I2432" s="470">
        <v>702</v>
      </c>
      <c r="J2432" s="470">
        <v>3885</v>
      </c>
      <c r="K2432" s="469">
        <v>1.83</v>
      </c>
    </row>
    <row r="2433" spans="2:11" x14ac:dyDescent="0.35">
      <c r="B2433" s="62">
        <v>12.25</v>
      </c>
      <c r="C2433" s="471">
        <v>2449</v>
      </c>
      <c r="D2433" s="471">
        <v>2433.9</v>
      </c>
      <c r="E2433" s="469">
        <v>28.79</v>
      </c>
      <c r="F2433" s="469">
        <v>14.4</v>
      </c>
      <c r="G2433" s="469">
        <v>10.1</v>
      </c>
      <c r="H2433" s="470">
        <v>177</v>
      </c>
      <c r="I2433" s="470">
        <v>705</v>
      </c>
      <c r="J2433" s="470">
        <v>4009</v>
      </c>
      <c r="K2433" s="469">
        <v>1.83</v>
      </c>
    </row>
    <row r="2434" spans="2:11" x14ac:dyDescent="0.35">
      <c r="B2434" s="62">
        <v>12.25</v>
      </c>
      <c r="C2434" s="471">
        <v>2450</v>
      </c>
      <c r="D2434" s="471">
        <v>2434.9</v>
      </c>
      <c r="E2434" s="469">
        <v>35.56</v>
      </c>
      <c r="F2434" s="469">
        <v>14.9</v>
      </c>
      <c r="G2434" s="469">
        <v>12.9</v>
      </c>
      <c r="H2434" s="470">
        <v>177</v>
      </c>
      <c r="I2434" s="470">
        <v>700</v>
      </c>
      <c r="J2434" s="470">
        <v>4076</v>
      </c>
      <c r="K2434" s="469">
        <v>1.83</v>
      </c>
    </row>
    <row r="2435" spans="2:11" x14ac:dyDescent="0.35">
      <c r="B2435" s="62">
        <v>12.25</v>
      </c>
      <c r="C2435" s="471">
        <v>2451</v>
      </c>
      <c r="D2435" s="471">
        <v>2435.9</v>
      </c>
      <c r="E2435" s="469">
        <v>24.64</v>
      </c>
      <c r="F2435" s="469">
        <v>14.5</v>
      </c>
      <c r="G2435" s="469">
        <v>7.8</v>
      </c>
      <c r="H2435" s="470">
        <v>178</v>
      </c>
      <c r="I2435" s="470">
        <v>707</v>
      </c>
      <c r="J2435" s="470">
        <v>4003</v>
      </c>
      <c r="K2435" s="469">
        <v>1.83</v>
      </c>
    </row>
    <row r="2436" spans="2:11" x14ac:dyDescent="0.35">
      <c r="B2436" s="62">
        <v>12.25</v>
      </c>
      <c r="C2436" s="471">
        <v>2452</v>
      </c>
      <c r="D2436" s="471">
        <v>2436.8000000000002</v>
      </c>
      <c r="E2436" s="469">
        <v>82.21</v>
      </c>
      <c r="F2436" s="469">
        <v>14.5</v>
      </c>
      <c r="G2436" s="469">
        <v>12.8</v>
      </c>
      <c r="H2436" s="470">
        <v>176</v>
      </c>
      <c r="I2436" s="470">
        <v>698</v>
      </c>
      <c r="J2436" s="470">
        <v>4104</v>
      </c>
      <c r="K2436" s="469">
        <v>1.83</v>
      </c>
    </row>
    <row r="2437" spans="2:11" x14ac:dyDescent="0.35">
      <c r="B2437" s="62">
        <v>12.25</v>
      </c>
      <c r="C2437" s="471">
        <v>2453</v>
      </c>
      <c r="D2437" s="471">
        <v>2437.8000000000002</v>
      </c>
      <c r="E2437" s="469">
        <v>24.05</v>
      </c>
      <c r="F2437" s="469">
        <v>14.6</v>
      </c>
      <c r="G2437" s="469">
        <v>10</v>
      </c>
      <c r="H2437" s="470">
        <v>177</v>
      </c>
      <c r="I2437" s="470">
        <v>702</v>
      </c>
      <c r="J2437" s="470">
        <v>3991</v>
      </c>
      <c r="K2437" s="469">
        <v>1.83</v>
      </c>
    </row>
    <row r="2438" spans="2:11" x14ac:dyDescent="0.35">
      <c r="B2438" s="62">
        <v>12.25</v>
      </c>
      <c r="C2438" s="471">
        <v>2454</v>
      </c>
      <c r="D2438" s="471">
        <v>2438.8000000000002</v>
      </c>
      <c r="E2438" s="469">
        <v>45.16</v>
      </c>
      <c r="F2438" s="469">
        <v>11</v>
      </c>
      <c r="G2438" s="469">
        <v>9.6999999999999993</v>
      </c>
      <c r="H2438" s="470">
        <v>178</v>
      </c>
      <c r="I2438" s="470">
        <v>714</v>
      </c>
      <c r="J2438" s="470">
        <v>4029</v>
      </c>
      <c r="K2438" s="469">
        <v>1.83</v>
      </c>
    </row>
    <row r="2439" spans="2:11" x14ac:dyDescent="0.35">
      <c r="B2439" s="62">
        <v>12.25</v>
      </c>
      <c r="C2439" s="471">
        <v>2455</v>
      </c>
      <c r="D2439" s="471">
        <v>2439.8000000000002</v>
      </c>
      <c r="E2439" s="469">
        <v>78.31</v>
      </c>
      <c r="F2439" s="469">
        <v>14.5</v>
      </c>
      <c r="G2439" s="469">
        <v>13.9</v>
      </c>
      <c r="H2439" s="470">
        <v>175</v>
      </c>
      <c r="I2439" s="470">
        <v>707</v>
      </c>
      <c r="J2439" s="470">
        <v>4119</v>
      </c>
      <c r="K2439" s="469">
        <v>1.83</v>
      </c>
    </row>
    <row r="2440" spans="2:11" x14ac:dyDescent="0.35">
      <c r="B2440" s="62">
        <v>12.25</v>
      </c>
      <c r="C2440" s="471">
        <v>2456</v>
      </c>
      <c r="D2440" s="471">
        <v>2440.8000000000002</v>
      </c>
      <c r="E2440" s="469">
        <v>22.03</v>
      </c>
      <c r="F2440" s="469">
        <v>15</v>
      </c>
      <c r="G2440" s="469">
        <v>10.6</v>
      </c>
      <c r="H2440" s="470">
        <v>178</v>
      </c>
      <c r="I2440" s="470">
        <v>712</v>
      </c>
      <c r="J2440" s="470">
        <v>4116</v>
      </c>
      <c r="K2440" s="469">
        <v>1.83</v>
      </c>
    </row>
    <row r="2441" spans="2:11" x14ac:dyDescent="0.35">
      <c r="B2441" s="62">
        <v>12.25</v>
      </c>
      <c r="C2441" s="471">
        <v>2457</v>
      </c>
      <c r="D2441" s="471">
        <v>2441.8000000000002</v>
      </c>
      <c r="E2441" s="469">
        <v>14.72</v>
      </c>
      <c r="F2441" s="469">
        <v>15.5</v>
      </c>
      <c r="G2441" s="469">
        <v>8.6999999999999993</v>
      </c>
      <c r="H2441" s="470">
        <v>177</v>
      </c>
      <c r="I2441" s="470">
        <v>706</v>
      </c>
      <c r="J2441" s="470">
        <v>3993</v>
      </c>
      <c r="K2441" s="469">
        <v>1.83</v>
      </c>
    </row>
    <row r="2442" spans="2:11" x14ac:dyDescent="0.35">
      <c r="B2442" s="62">
        <v>12.25</v>
      </c>
      <c r="C2442" s="471">
        <v>2458</v>
      </c>
      <c r="D2442" s="471">
        <v>2442.8000000000002</v>
      </c>
      <c r="E2442" s="469">
        <v>64.930000000000007</v>
      </c>
      <c r="F2442" s="469">
        <v>13.1</v>
      </c>
      <c r="G2442" s="469">
        <v>11.6</v>
      </c>
      <c r="H2442" s="470">
        <v>175</v>
      </c>
      <c r="I2442" s="470">
        <v>699</v>
      </c>
      <c r="J2442" s="470">
        <v>4089</v>
      </c>
      <c r="K2442" s="469">
        <v>1.83</v>
      </c>
    </row>
    <row r="2443" spans="2:11" x14ac:dyDescent="0.35">
      <c r="B2443" s="62">
        <v>12.25</v>
      </c>
      <c r="C2443" s="471">
        <v>2459</v>
      </c>
      <c r="D2443" s="471">
        <v>2443.8000000000002</v>
      </c>
      <c r="E2443" s="469">
        <v>34.28</v>
      </c>
      <c r="F2443" s="469">
        <v>14.4</v>
      </c>
      <c r="G2443" s="469">
        <v>9.4</v>
      </c>
      <c r="H2443" s="470">
        <v>175</v>
      </c>
      <c r="I2443" s="470">
        <v>701</v>
      </c>
      <c r="J2443" s="470">
        <v>4078</v>
      </c>
      <c r="K2443" s="469">
        <v>1.83</v>
      </c>
    </row>
    <row r="2444" spans="2:11" x14ac:dyDescent="0.35">
      <c r="B2444" s="62">
        <v>12.25</v>
      </c>
      <c r="C2444" s="471">
        <v>2460</v>
      </c>
      <c r="D2444" s="471">
        <v>2444.8000000000002</v>
      </c>
      <c r="E2444" s="469">
        <v>31.25</v>
      </c>
      <c r="F2444" s="469">
        <v>14.9</v>
      </c>
      <c r="G2444" s="469">
        <v>10.1</v>
      </c>
      <c r="H2444" s="470">
        <v>176</v>
      </c>
      <c r="I2444" s="470">
        <v>705</v>
      </c>
      <c r="J2444" s="470">
        <v>4063</v>
      </c>
      <c r="K2444" s="469">
        <v>1.83</v>
      </c>
    </row>
    <row r="2445" spans="2:11" x14ac:dyDescent="0.35">
      <c r="B2445" s="62">
        <v>12.25</v>
      </c>
      <c r="C2445" s="471">
        <v>2461</v>
      </c>
      <c r="D2445" s="471">
        <v>2445.6999999999998</v>
      </c>
      <c r="E2445" s="469">
        <v>14.65</v>
      </c>
      <c r="F2445" s="469">
        <v>14.6</v>
      </c>
      <c r="G2445" s="469">
        <v>10</v>
      </c>
      <c r="H2445" s="470">
        <v>176</v>
      </c>
      <c r="I2445" s="470">
        <v>705</v>
      </c>
      <c r="J2445" s="470">
        <v>4020</v>
      </c>
      <c r="K2445" s="469">
        <v>1.83</v>
      </c>
    </row>
    <row r="2446" spans="2:11" x14ac:dyDescent="0.35">
      <c r="B2446" s="62">
        <v>12.25</v>
      </c>
      <c r="C2446" s="471">
        <v>2462</v>
      </c>
      <c r="D2446" s="471">
        <v>2446.6999999999998</v>
      </c>
      <c r="E2446" s="469">
        <v>43.13</v>
      </c>
      <c r="F2446" s="469">
        <v>12.7</v>
      </c>
      <c r="G2446" s="469">
        <v>11</v>
      </c>
      <c r="H2446" s="470">
        <v>176</v>
      </c>
      <c r="I2446" s="470">
        <v>702</v>
      </c>
      <c r="J2446" s="470">
        <v>4068</v>
      </c>
      <c r="K2446" s="469">
        <v>1.83</v>
      </c>
    </row>
    <row r="2447" spans="2:11" x14ac:dyDescent="0.35">
      <c r="B2447" s="62">
        <v>12.25</v>
      </c>
      <c r="C2447" s="471">
        <v>2463</v>
      </c>
      <c r="D2447" s="471">
        <v>2447.6999999999998</v>
      </c>
      <c r="E2447" s="469">
        <v>18.03</v>
      </c>
      <c r="F2447" s="469">
        <v>13.4</v>
      </c>
      <c r="G2447" s="469">
        <v>10.9</v>
      </c>
      <c r="H2447" s="470">
        <v>176</v>
      </c>
      <c r="I2447" s="470">
        <v>707</v>
      </c>
      <c r="J2447" s="470">
        <v>4053</v>
      </c>
      <c r="K2447" s="469">
        <v>1.83</v>
      </c>
    </row>
    <row r="2448" spans="2:11" x14ac:dyDescent="0.35">
      <c r="B2448" s="62">
        <v>12.25</v>
      </c>
      <c r="C2448" s="471">
        <v>2464</v>
      </c>
      <c r="D2448" s="471">
        <v>2448.8000000000002</v>
      </c>
      <c r="E2448" s="469">
        <v>67.66</v>
      </c>
      <c r="F2448" s="469">
        <v>12.3</v>
      </c>
      <c r="G2448" s="469">
        <v>12.1</v>
      </c>
      <c r="H2448" s="470">
        <v>175</v>
      </c>
      <c r="I2448" s="470">
        <v>699</v>
      </c>
      <c r="J2448" s="470">
        <v>4108</v>
      </c>
      <c r="K2448" s="469">
        <v>1.83</v>
      </c>
    </row>
    <row r="2449" spans="2:11" x14ac:dyDescent="0.35">
      <c r="B2449" s="62">
        <v>12.25</v>
      </c>
      <c r="C2449" s="471">
        <v>2465</v>
      </c>
      <c r="D2449" s="471">
        <v>2449.6999999999998</v>
      </c>
      <c r="E2449" s="469">
        <v>75.94</v>
      </c>
      <c r="F2449" s="469">
        <v>12.2</v>
      </c>
      <c r="G2449" s="469">
        <v>12.3</v>
      </c>
      <c r="H2449" s="470">
        <v>175</v>
      </c>
      <c r="I2449" s="470">
        <v>700</v>
      </c>
      <c r="J2449" s="470">
        <v>4124</v>
      </c>
      <c r="K2449" s="469">
        <v>1.83</v>
      </c>
    </row>
    <row r="2450" spans="2:11" x14ac:dyDescent="0.35">
      <c r="B2450" s="62">
        <v>12.25</v>
      </c>
      <c r="C2450" s="471">
        <v>2466</v>
      </c>
      <c r="D2450" s="471">
        <v>2450.6999999999998</v>
      </c>
      <c r="E2450" s="469">
        <v>33.4</v>
      </c>
      <c r="F2450" s="469">
        <v>12.8</v>
      </c>
      <c r="G2450" s="469">
        <v>9.6</v>
      </c>
      <c r="H2450" s="470">
        <v>176</v>
      </c>
      <c r="I2450" s="470">
        <v>706</v>
      </c>
      <c r="J2450" s="470">
        <v>4093</v>
      </c>
      <c r="K2450" s="469">
        <v>1.83</v>
      </c>
    </row>
    <row r="2451" spans="2:11" x14ac:dyDescent="0.35">
      <c r="B2451" s="62">
        <v>12.25</v>
      </c>
      <c r="C2451" s="471">
        <v>2467</v>
      </c>
      <c r="D2451" s="471">
        <v>2451.6999999999998</v>
      </c>
      <c r="E2451" s="469">
        <v>21.83</v>
      </c>
      <c r="F2451" s="469">
        <v>14</v>
      </c>
      <c r="G2451" s="469">
        <v>10.8</v>
      </c>
      <c r="H2451" s="470">
        <v>176</v>
      </c>
      <c r="I2451" s="470">
        <v>706</v>
      </c>
      <c r="J2451" s="470">
        <v>4098</v>
      </c>
      <c r="K2451" s="469">
        <v>1.83</v>
      </c>
    </row>
    <row r="2452" spans="2:11" x14ac:dyDescent="0.35">
      <c r="B2452" s="62">
        <v>12.25</v>
      </c>
      <c r="C2452" s="471">
        <v>2468</v>
      </c>
      <c r="D2452" s="471">
        <v>2452.6999999999998</v>
      </c>
      <c r="E2452" s="469">
        <v>64.09</v>
      </c>
      <c r="F2452" s="469">
        <v>13.6</v>
      </c>
      <c r="G2452" s="469">
        <v>13.1</v>
      </c>
      <c r="H2452" s="470">
        <v>175</v>
      </c>
      <c r="I2452" s="470">
        <v>700</v>
      </c>
      <c r="J2452" s="470">
        <v>4145</v>
      </c>
      <c r="K2452" s="469">
        <v>1.83</v>
      </c>
    </row>
    <row r="2453" spans="2:11" x14ac:dyDescent="0.35">
      <c r="B2453" s="62">
        <v>12.25</v>
      </c>
      <c r="C2453" s="471">
        <v>2469</v>
      </c>
      <c r="D2453" s="471">
        <v>2453.6999999999998</v>
      </c>
      <c r="E2453" s="469">
        <v>36.68</v>
      </c>
      <c r="F2453" s="469">
        <v>12.7</v>
      </c>
      <c r="G2453" s="469">
        <v>10.4</v>
      </c>
      <c r="H2453" s="470">
        <v>176</v>
      </c>
      <c r="I2453" s="470">
        <v>709</v>
      </c>
      <c r="J2453" s="470">
        <v>4094</v>
      </c>
      <c r="K2453" s="469">
        <v>1.83</v>
      </c>
    </row>
    <row r="2454" spans="2:11" x14ac:dyDescent="0.35">
      <c r="B2454" s="62">
        <v>12.25</v>
      </c>
      <c r="C2454" s="471">
        <v>2470</v>
      </c>
      <c r="D2454" s="471">
        <v>2454.6</v>
      </c>
      <c r="E2454" s="469">
        <v>32.409999999999997</v>
      </c>
      <c r="F2454" s="469">
        <v>13.5</v>
      </c>
      <c r="G2454" s="469">
        <v>10.4</v>
      </c>
      <c r="H2454" s="470">
        <v>176</v>
      </c>
      <c r="I2454" s="470">
        <v>709</v>
      </c>
      <c r="J2454" s="470">
        <v>4104</v>
      </c>
      <c r="K2454" s="469">
        <v>1.83</v>
      </c>
    </row>
    <row r="2455" spans="2:11" x14ac:dyDescent="0.35">
      <c r="B2455" s="62">
        <v>12.25</v>
      </c>
      <c r="C2455" s="471">
        <v>2471</v>
      </c>
      <c r="D2455" s="471">
        <v>2455.6</v>
      </c>
      <c r="E2455" s="469">
        <v>23.42</v>
      </c>
      <c r="F2455" s="469">
        <v>14.1</v>
      </c>
      <c r="G2455" s="469">
        <v>10.3</v>
      </c>
      <c r="H2455" s="470">
        <v>176</v>
      </c>
      <c r="I2455" s="470">
        <v>708</v>
      </c>
      <c r="J2455" s="470">
        <v>4103</v>
      </c>
      <c r="K2455" s="469">
        <v>1.83</v>
      </c>
    </row>
    <row r="2456" spans="2:11" x14ac:dyDescent="0.35">
      <c r="B2456" s="62">
        <v>12.25</v>
      </c>
      <c r="C2456" s="471">
        <v>2472</v>
      </c>
      <c r="D2456" s="471">
        <v>2456.6</v>
      </c>
      <c r="E2456" s="469">
        <v>40.450000000000003</v>
      </c>
      <c r="F2456" s="469">
        <v>13.8</v>
      </c>
      <c r="G2456" s="469">
        <v>10.6</v>
      </c>
      <c r="H2456" s="470">
        <v>176</v>
      </c>
      <c r="I2456" s="470">
        <v>706</v>
      </c>
      <c r="J2456" s="470">
        <v>4115</v>
      </c>
      <c r="K2456" s="469">
        <v>1.83</v>
      </c>
    </row>
    <row r="2457" spans="2:11" x14ac:dyDescent="0.35">
      <c r="B2457" s="62">
        <v>12.25</v>
      </c>
      <c r="C2457" s="471">
        <v>2473</v>
      </c>
      <c r="D2457" s="471">
        <v>2457.6</v>
      </c>
      <c r="E2457" s="469">
        <v>50.53</v>
      </c>
      <c r="F2457" s="469">
        <v>13.1</v>
      </c>
      <c r="G2457" s="469">
        <v>10.7</v>
      </c>
      <c r="H2457" s="470">
        <v>176</v>
      </c>
      <c r="I2457" s="470">
        <v>709</v>
      </c>
      <c r="J2457" s="470">
        <v>4127</v>
      </c>
      <c r="K2457" s="469">
        <v>1.83</v>
      </c>
    </row>
    <row r="2458" spans="2:11" x14ac:dyDescent="0.35">
      <c r="B2458" s="62">
        <v>12.25</v>
      </c>
      <c r="C2458" s="471">
        <v>2474</v>
      </c>
      <c r="D2458" s="471">
        <v>2458.6</v>
      </c>
      <c r="E2458" s="469">
        <v>28.04</v>
      </c>
      <c r="F2458" s="469">
        <v>11.3</v>
      </c>
      <c r="G2458" s="469">
        <v>7.8</v>
      </c>
      <c r="H2458" s="470">
        <v>176</v>
      </c>
      <c r="I2458" s="470">
        <v>709</v>
      </c>
      <c r="J2458" s="470">
        <v>4052</v>
      </c>
      <c r="K2458" s="469">
        <v>1.83</v>
      </c>
    </row>
    <row r="2459" spans="2:11" x14ac:dyDescent="0.35">
      <c r="B2459" s="62">
        <v>12.25</v>
      </c>
      <c r="C2459" s="471">
        <v>2475</v>
      </c>
      <c r="D2459" s="471">
        <v>2459.6</v>
      </c>
      <c r="E2459" s="469">
        <v>37.049999999999997</v>
      </c>
      <c r="F2459" s="469">
        <v>12.2</v>
      </c>
      <c r="G2459" s="469">
        <v>8.8000000000000007</v>
      </c>
      <c r="H2459" s="470">
        <v>176</v>
      </c>
      <c r="I2459" s="470">
        <v>708</v>
      </c>
      <c r="J2459" s="470">
        <v>4097</v>
      </c>
      <c r="K2459" s="469">
        <v>1.83</v>
      </c>
    </row>
    <row r="2460" spans="2:11" x14ac:dyDescent="0.35">
      <c r="B2460" s="62">
        <v>12.25</v>
      </c>
      <c r="C2460" s="471">
        <v>2476</v>
      </c>
      <c r="D2460" s="471">
        <v>2460.6</v>
      </c>
      <c r="E2460" s="469">
        <v>24.65</v>
      </c>
      <c r="F2460" s="469">
        <v>13.3</v>
      </c>
      <c r="G2460" s="469">
        <v>10.5</v>
      </c>
      <c r="H2460" s="470">
        <v>176</v>
      </c>
      <c r="I2460" s="470">
        <v>708</v>
      </c>
      <c r="J2460" s="470">
        <v>4123</v>
      </c>
      <c r="K2460" s="469">
        <v>1.83</v>
      </c>
    </row>
    <row r="2461" spans="2:11" x14ac:dyDescent="0.35">
      <c r="B2461" s="62">
        <v>12.25</v>
      </c>
      <c r="C2461" s="471">
        <v>2477</v>
      </c>
      <c r="D2461" s="471">
        <v>2461.6</v>
      </c>
      <c r="E2461" s="469">
        <v>7.44</v>
      </c>
      <c r="F2461" s="469">
        <v>2.7</v>
      </c>
      <c r="G2461" s="469">
        <v>3.5</v>
      </c>
      <c r="H2461" s="470">
        <v>175</v>
      </c>
      <c r="I2461" s="470">
        <v>700</v>
      </c>
      <c r="J2461" s="470">
        <v>3915</v>
      </c>
      <c r="K2461" s="469">
        <v>1.83</v>
      </c>
    </row>
    <row r="2462" spans="2:11" x14ac:dyDescent="0.35">
      <c r="B2462" s="62">
        <v>12.25</v>
      </c>
      <c r="C2462" s="471">
        <v>2478</v>
      </c>
      <c r="D2462" s="471">
        <v>2462.6</v>
      </c>
      <c r="E2462" s="469">
        <v>19.690000000000001</v>
      </c>
      <c r="F2462" s="469">
        <v>10.3</v>
      </c>
      <c r="G2462" s="469">
        <v>6.9</v>
      </c>
      <c r="H2462" s="470">
        <v>174</v>
      </c>
      <c r="I2462" s="470">
        <v>697</v>
      </c>
      <c r="J2462" s="470">
        <v>4025</v>
      </c>
      <c r="K2462" s="469">
        <v>1.83</v>
      </c>
    </row>
    <row r="2463" spans="2:11" x14ac:dyDescent="0.35">
      <c r="B2463" s="62">
        <v>12.25</v>
      </c>
      <c r="C2463" s="471">
        <v>2479</v>
      </c>
      <c r="D2463" s="471">
        <v>2463.5</v>
      </c>
      <c r="E2463" s="469">
        <v>19.88</v>
      </c>
      <c r="F2463" s="469">
        <v>13.8</v>
      </c>
      <c r="G2463" s="469">
        <v>9.9</v>
      </c>
      <c r="H2463" s="470">
        <v>175</v>
      </c>
      <c r="I2463" s="470">
        <v>701</v>
      </c>
      <c r="J2463" s="470">
        <v>4165</v>
      </c>
      <c r="K2463" s="469">
        <v>1.83</v>
      </c>
    </row>
    <row r="2464" spans="2:11" x14ac:dyDescent="0.35">
      <c r="B2464" s="62">
        <v>12.25</v>
      </c>
      <c r="C2464" s="471">
        <v>2480</v>
      </c>
      <c r="D2464" s="471">
        <v>2464.5</v>
      </c>
      <c r="E2464" s="469">
        <v>29.08</v>
      </c>
      <c r="F2464" s="469">
        <v>14.1</v>
      </c>
      <c r="G2464" s="469">
        <v>10.8</v>
      </c>
      <c r="H2464" s="470">
        <v>175</v>
      </c>
      <c r="I2464" s="470">
        <v>700</v>
      </c>
      <c r="J2464" s="470">
        <v>4228</v>
      </c>
      <c r="K2464" s="469">
        <v>1.83</v>
      </c>
    </row>
    <row r="2465" spans="2:11" x14ac:dyDescent="0.35">
      <c r="B2465" s="62">
        <v>12.25</v>
      </c>
      <c r="C2465" s="471">
        <v>2481</v>
      </c>
      <c r="D2465" s="471">
        <v>2465.5</v>
      </c>
      <c r="E2465" s="469">
        <v>29.83</v>
      </c>
      <c r="F2465" s="469">
        <v>11.3</v>
      </c>
      <c r="G2465" s="469">
        <v>9.6</v>
      </c>
      <c r="H2465" s="470">
        <v>175</v>
      </c>
      <c r="I2465" s="470">
        <v>705</v>
      </c>
      <c r="J2465" s="470">
        <v>4168</v>
      </c>
      <c r="K2465" s="469">
        <v>1.83</v>
      </c>
    </row>
    <row r="2466" spans="2:11" x14ac:dyDescent="0.35">
      <c r="B2466" s="62">
        <v>12.25</v>
      </c>
      <c r="C2466" s="471">
        <v>2482</v>
      </c>
      <c r="D2466" s="471">
        <v>2466.5</v>
      </c>
      <c r="E2466" s="469">
        <v>23.57</v>
      </c>
      <c r="F2466" s="469">
        <v>12.3</v>
      </c>
      <c r="G2466" s="469">
        <v>8.6999999999999993</v>
      </c>
      <c r="H2466" s="470">
        <v>175</v>
      </c>
      <c r="I2466" s="470">
        <v>700</v>
      </c>
      <c r="J2466" s="470">
        <v>4076</v>
      </c>
      <c r="K2466" s="469">
        <v>1.83</v>
      </c>
    </row>
    <row r="2467" spans="2:11" x14ac:dyDescent="0.35">
      <c r="B2467" s="62">
        <v>12.25</v>
      </c>
      <c r="C2467" s="471">
        <v>2483</v>
      </c>
      <c r="D2467" s="471">
        <v>2467.4</v>
      </c>
      <c r="E2467" s="469">
        <v>48.55</v>
      </c>
      <c r="F2467" s="469">
        <v>13.2</v>
      </c>
      <c r="G2467" s="469">
        <v>10.8</v>
      </c>
      <c r="H2467" s="470">
        <v>174</v>
      </c>
      <c r="I2467" s="470">
        <v>694</v>
      </c>
      <c r="J2467" s="470">
        <v>4119</v>
      </c>
      <c r="K2467" s="469">
        <v>1.83</v>
      </c>
    </row>
    <row r="2468" spans="2:11" x14ac:dyDescent="0.35">
      <c r="B2468" s="62">
        <v>12.25</v>
      </c>
      <c r="C2468" s="471">
        <v>2484</v>
      </c>
      <c r="D2468" s="471">
        <v>2468.4</v>
      </c>
      <c r="E2468" s="469">
        <v>22.97</v>
      </c>
      <c r="F2468" s="469">
        <v>14.1</v>
      </c>
      <c r="G2468" s="469">
        <v>10.7</v>
      </c>
      <c r="H2468" s="470">
        <v>174</v>
      </c>
      <c r="I2468" s="470">
        <v>698</v>
      </c>
      <c r="J2468" s="470">
        <v>4074</v>
      </c>
      <c r="K2468" s="469">
        <v>1.83</v>
      </c>
    </row>
    <row r="2469" spans="2:11" x14ac:dyDescent="0.35">
      <c r="B2469" s="62">
        <v>12.25</v>
      </c>
      <c r="C2469" s="471">
        <v>2485</v>
      </c>
      <c r="D2469" s="471">
        <v>2469.4</v>
      </c>
      <c r="E2469" s="469">
        <v>65.44</v>
      </c>
      <c r="F2469" s="469">
        <v>13.2</v>
      </c>
      <c r="G2469" s="469">
        <v>12.4</v>
      </c>
      <c r="H2469" s="470">
        <v>174</v>
      </c>
      <c r="I2469" s="470">
        <v>695</v>
      </c>
      <c r="J2469" s="470">
        <v>4124</v>
      </c>
      <c r="K2469" s="469">
        <v>1.83</v>
      </c>
    </row>
    <row r="2470" spans="2:11" x14ac:dyDescent="0.35">
      <c r="B2470" s="62">
        <v>12.25</v>
      </c>
      <c r="C2470" s="471">
        <v>2486</v>
      </c>
      <c r="D2470" s="471">
        <v>2470.4</v>
      </c>
      <c r="E2470" s="469">
        <v>31.18</v>
      </c>
      <c r="F2470" s="469">
        <v>13.3</v>
      </c>
      <c r="G2470" s="469">
        <v>10.9</v>
      </c>
      <c r="H2470" s="470">
        <v>174</v>
      </c>
      <c r="I2470" s="470">
        <v>699</v>
      </c>
      <c r="J2470" s="470">
        <v>4072</v>
      </c>
      <c r="K2470" s="469">
        <v>1.83</v>
      </c>
    </row>
    <row r="2471" spans="2:11" x14ac:dyDescent="0.35">
      <c r="B2471" s="62">
        <v>12.25</v>
      </c>
      <c r="C2471" s="471">
        <v>2487</v>
      </c>
      <c r="D2471" s="471">
        <v>2471.4</v>
      </c>
      <c r="E2471" s="469">
        <v>63.72</v>
      </c>
      <c r="F2471" s="469">
        <v>13</v>
      </c>
      <c r="G2471" s="469">
        <v>12.3</v>
      </c>
      <c r="H2471" s="470">
        <v>173</v>
      </c>
      <c r="I2471" s="470">
        <v>696</v>
      </c>
      <c r="J2471" s="470">
        <v>4127</v>
      </c>
      <c r="K2471" s="469">
        <v>1.83</v>
      </c>
    </row>
    <row r="2472" spans="2:11" x14ac:dyDescent="0.35">
      <c r="B2472" s="62">
        <v>12.25</v>
      </c>
      <c r="C2472" s="471">
        <v>2488</v>
      </c>
      <c r="D2472" s="471">
        <v>2472.4</v>
      </c>
      <c r="E2472" s="469">
        <v>61.54</v>
      </c>
      <c r="F2472" s="469">
        <v>12.7</v>
      </c>
      <c r="G2472" s="469">
        <v>13.2</v>
      </c>
      <c r="H2472" s="470">
        <v>173</v>
      </c>
      <c r="I2472" s="470">
        <v>695</v>
      </c>
      <c r="J2472" s="470">
        <v>4122</v>
      </c>
      <c r="K2472" s="469">
        <v>1.83</v>
      </c>
    </row>
    <row r="2473" spans="2:11" x14ac:dyDescent="0.35">
      <c r="B2473" s="62">
        <v>12.25</v>
      </c>
      <c r="C2473" s="471">
        <v>2489</v>
      </c>
      <c r="D2473" s="471">
        <v>2473.4</v>
      </c>
      <c r="E2473" s="469">
        <v>37.97</v>
      </c>
      <c r="F2473" s="469">
        <v>13.8</v>
      </c>
      <c r="G2473" s="469">
        <v>12</v>
      </c>
      <c r="H2473" s="470">
        <v>174</v>
      </c>
      <c r="I2473" s="470">
        <v>697</v>
      </c>
      <c r="J2473" s="470">
        <v>4095</v>
      </c>
      <c r="K2473" s="469">
        <v>1.83</v>
      </c>
    </row>
    <row r="2474" spans="2:11" x14ac:dyDescent="0.35">
      <c r="B2474" s="62">
        <v>12.25</v>
      </c>
      <c r="C2474" s="471">
        <v>2490</v>
      </c>
      <c r="D2474" s="471">
        <v>2474.4</v>
      </c>
      <c r="E2474" s="469">
        <v>29.23</v>
      </c>
      <c r="F2474" s="469">
        <v>13.6</v>
      </c>
      <c r="G2474" s="469">
        <v>10.9</v>
      </c>
      <c r="H2474" s="470">
        <v>174</v>
      </c>
      <c r="I2474" s="470">
        <v>696</v>
      </c>
      <c r="J2474" s="470">
        <v>4066</v>
      </c>
      <c r="K2474" s="469">
        <v>1.83</v>
      </c>
    </row>
    <row r="2475" spans="2:11" x14ac:dyDescent="0.35">
      <c r="B2475" s="62">
        <v>12.25</v>
      </c>
      <c r="C2475" s="471">
        <v>2491</v>
      </c>
      <c r="D2475" s="471">
        <v>2475.3000000000002</v>
      </c>
      <c r="E2475" s="469">
        <v>46.25</v>
      </c>
      <c r="F2475" s="469">
        <v>13.3</v>
      </c>
      <c r="G2475" s="469">
        <v>11.4</v>
      </c>
      <c r="H2475" s="470">
        <v>174</v>
      </c>
      <c r="I2475" s="470">
        <v>696</v>
      </c>
      <c r="J2475" s="470">
        <v>4090</v>
      </c>
      <c r="K2475" s="469">
        <v>1.83</v>
      </c>
    </row>
    <row r="2476" spans="2:11" x14ac:dyDescent="0.35">
      <c r="B2476" s="62">
        <v>12.25</v>
      </c>
      <c r="C2476" s="471">
        <v>2492</v>
      </c>
      <c r="D2476" s="471">
        <v>2476.3000000000002</v>
      </c>
      <c r="E2476" s="469">
        <v>51.16</v>
      </c>
      <c r="F2476" s="469">
        <v>13.1</v>
      </c>
      <c r="G2476" s="469">
        <v>10.9</v>
      </c>
      <c r="H2476" s="470">
        <v>174</v>
      </c>
      <c r="I2476" s="470">
        <v>696</v>
      </c>
      <c r="J2476" s="470">
        <v>4075</v>
      </c>
      <c r="K2476" s="469">
        <v>1.83</v>
      </c>
    </row>
    <row r="2477" spans="2:11" x14ac:dyDescent="0.35">
      <c r="B2477" s="62">
        <v>12.25</v>
      </c>
      <c r="C2477" s="471">
        <v>2493</v>
      </c>
      <c r="D2477" s="471">
        <v>2477.3000000000002</v>
      </c>
      <c r="E2477" s="469">
        <v>47.94</v>
      </c>
      <c r="F2477" s="469">
        <v>12.7</v>
      </c>
      <c r="G2477" s="469">
        <v>11</v>
      </c>
      <c r="H2477" s="470">
        <v>174</v>
      </c>
      <c r="I2477" s="470">
        <v>700</v>
      </c>
      <c r="J2477" s="470">
        <v>4046</v>
      </c>
      <c r="K2477" s="469">
        <v>1.83</v>
      </c>
    </row>
    <row r="2478" spans="2:11" x14ac:dyDescent="0.35">
      <c r="B2478" s="62">
        <v>12.25</v>
      </c>
      <c r="C2478" s="471">
        <v>2494</v>
      </c>
      <c r="D2478" s="471">
        <v>2478.3000000000002</v>
      </c>
      <c r="E2478" s="469">
        <v>48.46</v>
      </c>
      <c r="F2478" s="469">
        <v>13.4</v>
      </c>
      <c r="G2478" s="469">
        <v>11.5</v>
      </c>
      <c r="H2478" s="470">
        <v>174</v>
      </c>
      <c r="I2478" s="470">
        <v>696</v>
      </c>
      <c r="J2478" s="470">
        <v>4089</v>
      </c>
      <c r="K2478" s="469">
        <v>1.83</v>
      </c>
    </row>
    <row r="2479" spans="2:11" x14ac:dyDescent="0.35">
      <c r="B2479" s="62">
        <v>12.25</v>
      </c>
      <c r="C2479" s="471">
        <v>2495</v>
      </c>
      <c r="D2479" s="471">
        <v>2479.3000000000002</v>
      </c>
      <c r="E2479" s="469">
        <v>67.42</v>
      </c>
      <c r="F2479" s="469">
        <v>13.2</v>
      </c>
      <c r="G2479" s="469">
        <v>13.8</v>
      </c>
      <c r="H2479" s="470">
        <v>173</v>
      </c>
      <c r="I2479" s="470">
        <v>698</v>
      </c>
      <c r="J2479" s="470">
        <v>4104</v>
      </c>
      <c r="K2479" s="469">
        <v>1.83</v>
      </c>
    </row>
    <row r="2480" spans="2:11" x14ac:dyDescent="0.35">
      <c r="B2480" s="62">
        <v>12.25</v>
      </c>
      <c r="C2480" s="471">
        <v>2496</v>
      </c>
      <c r="D2480" s="471">
        <v>2480.1999999999998</v>
      </c>
      <c r="E2480" s="469">
        <v>27.92</v>
      </c>
      <c r="F2480" s="469">
        <v>12.6</v>
      </c>
      <c r="G2480" s="469">
        <v>10.199999999999999</v>
      </c>
      <c r="H2480" s="470">
        <v>175</v>
      </c>
      <c r="I2480" s="470">
        <v>702</v>
      </c>
      <c r="J2480" s="470">
        <v>4015</v>
      </c>
      <c r="K2480" s="469">
        <v>1.83</v>
      </c>
    </row>
    <row r="2481" spans="2:11" x14ac:dyDescent="0.35">
      <c r="B2481" s="62">
        <v>12.25</v>
      </c>
      <c r="C2481" s="471">
        <v>2497</v>
      </c>
      <c r="D2481" s="471">
        <v>2481.1999999999998</v>
      </c>
      <c r="E2481" s="469">
        <v>29.82</v>
      </c>
      <c r="F2481" s="469">
        <v>13.4</v>
      </c>
      <c r="G2481" s="469">
        <v>9.6</v>
      </c>
      <c r="H2481" s="470">
        <v>175</v>
      </c>
      <c r="I2481" s="470">
        <v>703</v>
      </c>
      <c r="J2481" s="470">
        <v>4005</v>
      </c>
      <c r="K2481" s="469">
        <v>1.83</v>
      </c>
    </row>
    <row r="2482" spans="2:11" x14ac:dyDescent="0.35">
      <c r="B2482" s="62">
        <v>12.25</v>
      </c>
      <c r="C2482" s="471">
        <v>2498</v>
      </c>
      <c r="D2482" s="471">
        <v>2482.3000000000002</v>
      </c>
      <c r="E2482" s="469">
        <v>22.23</v>
      </c>
      <c r="F2482" s="469">
        <v>13.7</v>
      </c>
      <c r="G2482" s="469">
        <v>9.4</v>
      </c>
      <c r="H2482" s="470">
        <v>175</v>
      </c>
      <c r="I2482" s="470">
        <v>703</v>
      </c>
      <c r="J2482" s="470">
        <v>4003</v>
      </c>
      <c r="K2482" s="469">
        <v>1.83</v>
      </c>
    </row>
    <row r="2483" spans="2:11" x14ac:dyDescent="0.35">
      <c r="B2483" s="62">
        <v>12.25</v>
      </c>
      <c r="C2483" s="471">
        <v>2499</v>
      </c>
      <c r="D2483" s="471">
        <v>2483.1999999999998</v>
      </c>
      <c r="E2483" s="469">
        <v>38.17</v>
      </c>
      <c r="F2483" s="469">
        <v>13.6</v>
      </c>
      <c r="G2483" s="469">
        <v>10</v>
      </c>
      <c r="H2483" s="470">
        <v>175</v>
      </c>
      <c r="I2483" s="470">
        <v>702</v>
      </c>
      <c r="J2483" s="470">
        <v>4104</v>
      </c>
      <c r="K2483" s="469">
        <v>1.83</v>
      </c>
    </row>
    <row r="2484" spans="2:11" x14ac:dyDescent="0.35">
      <c r="B2484" s="62">
        <v>12.25</v>
      </c>
      <c r="C2484" s="471">
        <v>2500</v>
      </c>
      <c r="D2484" s="471">
        <v>2484.1999999999998</v>
      </c>
      <c r="E2484" s="469">
        <v>23.49</v>
      </c>
      <c r="F2484" s="469">
        <v>13.1</v>
      </c>
      <c r="G2484" s="469">
        <v>9.6</v>
      </c>
      <c r="H2484" s="470">
        <v>175</v>
      </c>
      <c r="I2484" s="470">
        <v>702</v>
      </c>
      <c r="J2484" s="470">
        <v>4065</v>
      </c>
      <c r="K2484" s="469">
        <v>1.83</v>
      </c>
    </row>
    <row r="2485" spans="2:11" x14ac:dyDescent="0.35">
      <c r="B2485" s="62">
        <v>12.25</v>
      </c>
      <c r="C2485" s="471">
        <v>2501</v>
      </c>
      <c r="D2485" s="471">
        <v>2485.1999999999998</v>
      </c>
      <c r="E2485" s="469">
        <v>20.98</v>
      </c>
      <c r="F2485" s="469">
        <v>13.6</v>
      </c>
      <c r="G2485" s="469">
        <v>8.9</v>
      </c>
      <c r="H2485" s="470">
        <v>174</v>
      </c>
      <c r="I2485" s="470">
        <v>702</v>
      </c>
      <c r="J2485" s="470">
        <v>4041</v>
      </c>
      <c r="K2485" s="469">
        <v>1.83</v>
      </c>
    </row>
    <row r="2486" spans="2:11" x14ac:dyDescent="0.35">
      <c r="B2486" s="62">
        <v>12.25</v>
      </c>
      <c r="C2486" s="471">
        <v>2502</v>
      </c>
      <c r="D2486" s="471">
        <v>2486.1999999999998</v>
      </c>
      <c r="E2486" s="469">
        <v>25.61</v>
      </c>
      <c r="F2486" s="469">
        <v>13.5</v>
      </c>
      <c r="G2486" s="469">
        <v>8.5</v>
      </c>
      <c r="H2486" s="470">
        <v>175</v>
      </c>
      <c r="I2486" s="470">
        <v>703</v>
      </c>
      <c r="J2486" s="470">
        <v>4049</v>
      </c>
      <c r="K2486" s="469">
        <v>1.83</v>
      </c>
    </row>
    <row r="2487" spans="2:11" x14ac:dyDescent="0.35">
      <c r="B2487" s="62">
        <v>12.25</v>
      </c>
      <c r="C2487" s="471">
        <v>2503</v>
      </c>
      <c r="D2487" s="471">
        <v>2487.1999999999998</v>
      </c>
      <c r="E2487" s="469">
        <v>26.05</v>
      </c>
      <c r="F2487" s="469">
        <v>13.4</v>
      </c>
      <c r="G2487" s="469">
        <v>9.5</v>
      </c>
      <c r="H2487" s="470">
        <v>175</v>
      </c>
      <c r="I2487" s="470">
        <v>703</v>
      </c>
      <c r="J2487" s="470">
        <v>4055</v>
      </c>
      <c r="K2487" s="469">
        <v>1.83</v>
      </c>
    </row>
    <row r="2488" spans="2:11" x14ac:dyDescent="0.35">
      <c r="B2488" s="62">
        <v>12.25</v>
      </c>
      <c r="C2488" s="471">
        <v>2504</v>
      </c>
      <c r="D2488" s="471">
        <v>2488.1</v>
      </c>
      <c r="E2488" s="469">
        <v>35.6</v>
      </c>
      <c r="F2488" s="469">
        <v>12.8</v>
      </c>
      <c r="G2488" s="469">
        <v>11.3</v>
      </c>
      <c r="H2488" s="470">
        <v>176</v>
      </c>
      <c r="I2488" s="470">
        <v>699</v>
      </c>
      <c r="J2488" s="470">
        <v>4062</v>
      </c>
      <c r="K2488" s="469">
        <v>1.83</v>
      </c>
    </row>
    <row r="2489" spans="2:11" x14ac:dyDescent="0.35">
      <c r="B2489" s="62">
        <v>12.25</v>
      </c>
      <c r="C2489" s="471">
        <v>2505</v>
      </c>
      <c r="D2489" s="471">
        <v>2489.1999999999998</v>
      </c>
      <c r="E2489" s="469">
        <v>57.45</v>
      </c>
      <c r="F2489" s="469">
        <v>14</v>
      </c>
      <c r="G2489" s="469">
        <v>12.4</v>
      </c>
      <c r="H2489" s="470">
        <v>176</v>
      </c>
      <c r="I2489" s="470">
        <v>696</v>
      </c>
      <c r="J2489" s="470">
        <v>4150</v>
      </c>
      <c r="K2489" s="469">
        <v>1.83</v>
      </c>
    </row>
    <row r="2490" spans="2:11" x14ac:dyDescent="0.35">
      <c r="B2490" s="62">
        <v>12.25</v>
      </c>
      <c r="C2490" s="471">
        <v>2506</v>
      </c>
      <c r="D2490" s="471">
        <v>2490.1999999999998</v>
      </c>
      <c r="E2490" s="469">
        <v>10.28</v>
      </c>
      <c r="F2490" s="469">
        <v>9.4</v>
      </c>
      <c r="G2490" s="469">
        <v>8.5</v>
      </c>
      <c r="H2490" s="470">
        <v>175</v>
      </c>
      <c r="I2490" s="470">
        <v>695</v>
      </c>
      <c r="J2490" s="470">
        <v>4052</v>
      </c>
      <c r="K2490" s="469">
        <v>1.84</v>
      </c>
    </row>
    <row r="2491" spans="2:11" x14ac:dyDescent="0.35">
      <c r="B2491" s="62">
        <v>12.25</v>
      </c>
      <c r="C2491" s="471">
        <v>2507</v>
      </c>
      <c r="D2491" s="471">
        <v>2491.1999999999998</v>
      </c>
      <c r="E2491" s="469">
        <v>28.06</v>
      </c>
      <c r="F2491" s="469">
        <v>7.7</v>
      </c>
      <c r="G2491" s="469">
        <v>6.1</v>
      </c>
      <c r="H2491" s="470">
        <v>175</v>
      </c>
      <c r="I2491" s="470">
        <v>692</v>
      </c>
      <c r="J2491" s="470">
        <v>4060</v>
      </c>
      <c r="K2491" s="469">
        <v>1.84</v>
      </c>
    </row>
    <row r="2492" spans="2:11" x14ac:dyDescent="0.35">
      <c r="B2492" s="62">
        <v>12.25</v>
      </c>
      <c r="C2492" s="471">
        <v>2508</v>
      </c>
      <c r="D2492" s="471">
        <v>2492.1999999999998</v>
      </c>
      <c r="E2492" s="469">
        <v>26.89</v>
      </c>
      <c r="F2492" s="469">
        <v>13.2</v>
      </c>
      <c r="G2492" s="469">
        <v>9.6</v>
      </c>
      <c r="H2492" s="470">
        <v>174</v>
      </c>
      <c r="I2492" s="470">
        <v>686</v>
      </c>
      <c r="J2492" s="470">
        <v>4117</v>
      </c>
      <c r="K2492" s="469">
        <v>1.84</v>
      </c>
    </row>
    <row r="2493" spans="2:11" x14ac:dyDescent="0.35">
      <c r="B2493" s="62">
        <v>12.25</v>
      </c>
      <c r="C2493" s="471">
        <v>2509</v>
      </c>
      <c r="D2493" s="471">
        <v>2493.1</v>
      </c>
      <c r="E2493" s="469">
        <v>29.47</v>
      </c>
      <c r="F2493" s="469">
        <v>14.2</v>
      </c>
      <c r="G2493" s="469">
        <v>9.9</v>
      </c>
      <c r="H2493" s="470">
        <v>174</v>
      </c>
      <c r="I2493" s="470">
        <v>687</v>
      </c>
      <c r="J2493" s="470">
        <v>4159</v>
      </c>
      <c r="K2493" s="469">
        <v>1.84</v>
      </c>
    </row>
    <row r="2494" spans="2:11" x14ac:dyDescent="0.35">
      <c r="B2494" s="62">
        <v>12.25</v>
      </c>
      <c r="C2494" s="471">
        <v>2510</v>
      </c>
      <c r="D2494" s="471">
        <v>2494.1</v>
      </c>
      <c r="E2494" s="469">
        <v>31.29</v>
      </c>
      <c r="F2494" s="469">
        <v>11.8</v>
      </c>
      <c r="G2494" s="469">
        <v>9.6999999999999993</v>
      </c>
      <c r="H2494" s="470">
        <v>175</v>
      </c>
      <c r="I2494" s="470">
        <v>694</v>
      </c>
      <c r="J2494" s="470">
        <v>4163</v>
      </c>
      <c r="K2494" s="469">
        <v>1.84</v>
      </c>
    </row>
    <row r="2495" spans="2:11" x14ac:dyDescent="0.35">
      <c r="B2495" s="62">
        <v>12.25</v>
      </c>
      <c r="C2495" s="471">
        <v>2511</v>
      </c>
      <c r="D2495" s="471">
        <v>2495.1</v>
      </c>
      <c r="E2495" s="469">
        <v>18.239999999999998</v>
      </c>
      <c r="F2495" s="469">
        <v>13.3</v>
      </c>
      <c r="G2495" s="469">
        <v>8.3000000000000007</v>
      </c>
      <c r="H2495" s="470">
        <v>175</v>
      </c>
      <c r="I2495" s="470">
        <v>701</v>
      </c>
      <c r="J2495" s="470">
        <v>4146</v>
      </c>
      <c r="K2495" s="469">
        <v>1.84</v>
      </c>
    </row>
    <row r="2496" spans="2:11" x14ac:dyDescent="0.35">
      <c r="B2496" s="62">
        <v>12.25</v>
      </c>
      <c r="C2496" s="471">
        <v>2512</v>
      </c>
      <c r="D2496" s="471">
        <v>2496.1</v>
      </c>
      <c r="E2496" s="469">
        <v>19.239999999999998</v>
      </c>
      <c r="F2496" s="469">
        <v>13.7</v>
      </c>
      <c r="G2496" s="469">
        <v>10.1</v>
      </c>
      <c r="H2496" s="470">
        <v>176</v>
      </c>
      <c r="I2496" s="470">
        <v>702</v>
      </c>
      <c r="J2496" s="470">
        <v>4152</v>
      </c>
      <c r="K2496" s="469">
        <v>1.84</v>
      </c>
    </row>
    <row r="2497" spans="2:11" x14ac:dyDescent="0.35">
      <c r="B2497" s="62">
        <v>12.25</v>
      </c>
      <c r="C2497" s="471">
        <v>2513</v>
      </c>
      <c r="D2497" s="471">
        <v>2497</v>
      </c>
      <c r="E2497" s="469">
        <v>42.19</v>
      </c>
      <c r="F2497" s="469">
        <v>12</v>
      </c>
      <c r="G2497" s="469">
        <v>10.3</v>
      </c>
      <c r="H2497" s="470">
        <v>175</v>
      </c>
      <c r="I2497" s="470">
        <v>697</v>
      </c>
      <c r="J2497" s="470">
        <v>4189</v>
      </c>
      <c r="K2497" s="469">
        <v>1.84</v>
      </c>
    </row>
    <row r="2498" spans="2:11" x14ac:dyDescent="0.35">
      <c r="B2498" s="62">
        <v>12.25</v>
      </c>
      <c r="C2498" s="471">
        <v>2514</v>
      </c>
      <c r="D2498" s="471">
        <v>2498.1</v>
      </c>
      <c r="E2498" s="469">
        <v>19.38</v>
      </c>
      <c r="F2498" s="469">
        <v>13.6</v>
      </c>
      <c r="G2498" s="469">
        <v>9.5</v>
      </c>
      <c r="H2498" s="470">
        <v>176</v>
      </c>
      <c r="I2498" s="470">
        <v>703</v>
      </c>
      <c r="J2498" s="470">
        <v>4137</v>
      </c>
      <c r="K2498" s="469">
        <v>1.84</v>
      </c>
    </row>
    <row r="2499" spans="2:11" x14ac:dyDescent="0.35">
      <c r="B2499" s="62">
        <v>12.25</v>
      </c>
      <c r="C2499" s="471">
        <v>2515</v>
      </c>
      <c r="D2499" s="471">
        <v>2499.1</v>
      </c>
      <c r="E2499" s="469">
        <v>42.98</v>
      </c>
      <c r="F2499" s="469">
        <v>11</v>
      </c>
      <c r="G2499" s="469">
        <v>10.7</v>
      </c>
      <c r="H2499" s="470">
        <v>176</v>
      </c>
      <c r="I2499" s="470">
        <v>703</v>
      </c>
      <c r="J2499" s="470">
        <v>4151</v>
      </c>
      <c r="K2499" s="469">
        <v>1.84</v>
      </c>
    </row>
    <row r="2500" spans="2:11" x14ac:dyDescent="0.35">
      <c r="B2500" s="62">
        <v>12.25</v>
      </c>
      <c r="C2500" s="471">
        <v>2516</v>
      </c>
      <c r="D2500" s="471">
        <v>2500.1</v>
      </c>
      <c r="E2500" s="469">
        <v>24.1</v>
      </c>
      <c r="F2500" s="469">
        <v>11.3</v>
      </c>
      <c r="G2500" s="469">
        <v>7.6</v>
      </c>
      <c r="H2500" s="470">
        <v>176</v>
      </c>
      <c r="I2500" s="470">
        <v>704</v>
      </c>
      <c r="J2500" s="470">
        <v>4146</v>
      </c>
      <c r="K2500" s="469">
        <v>1.84</v>
      </c>
    </row>
    <row r="2501" spans="2:11" x14ac:dyDescent="0.35">
      <c r="B2501" s="62">
        <v>12.25</v>
      </c>
      <c r="C2501" s="471">
        <v>2517</v>
      </c>
      <c r="D2501" s="471">
        <v>2501.1</v>
      </c>
      <c r="E2501" s="469">
        <v>32.31</v>
      </c>
      <c r="F2501" s="469">
        <v>12.9</v>
      </c>
      <c r="G2501" s="469">
        <v>10</v>
      </c>
      <c r="H2501" s="470">
        <v>175</v>
      </c>
      <c r="I2501" s="470">
        <v>700</v>
      </c>
      <c r="J2501" s="470">
        <v>4173</v>
      </c>
      <c r="K2501" s="469">
        <v>1.84</v>
      </c>
    </row>
    <row r="2502" spans="2:11" x14ac:dyDescent="0.35">
      <c r="B2502" s="62">
        <v>12.25</v>
      </c>
      <c r="C2502" s="471">
        <v>2518</v>
      </c>
      <c r="D2502" s="471">
        <v>2502</v>
      </c>
      <c r="E2502" s="469">
        <v>26.66</v>
      </c>
      <c r="F2502" s="469">
        <v>13</v>
      </c>
      <c r="G2502" s="469">
        <v>8.4</v>
      </c>
      <c r="H2502" s="470">
        <v>175</v>
      </c>
      <c r="I2502" s="470">
        <v>700</v>
      </c>
      <c r="J2502" s="470">
        <v>4138</v>
      </c>
      <c r="K2502" s="469">
        <v>1.84</v>
      </c>
    </row>
    <row r="2503" spans="2:11" x14ac:dyDescent="0.35">
      <c r="B2503" s="62">
        <v>12.25</v>
      </c>
      <c r="C2503" s="471">
        <v>2519</v>
      </c>
      <c r="D2503" s="471">
        <v>2503</v>
      </c>
      <c r="E2503" s="469">
        <v>21.73</v>
      </c>
      <c r="F2503" s="469">
        <v>12.3</v>
      </c>
      <c r="G2503" s="469">
        <v>7.8</v>
      </c>
      <c r="H2503" s="470">
        <v>176</v>
      </c>
      <c r="I2503" s="470">
        <v>702</v>
      </c>
      <c r="J2503" s="470">
        <v>4111</v>
      </c>
      <c r="K2503" s="469">
        <v>1.84</v>
      </c>
    </row>
    <row r="2504" spans="2:11" x14ac:dyDescent="0.35">
      <c r="B2504" s="62">
        <v>12.25</v>
      </c>
      <c r="C2504" s="471">
        <v>2520</v>
      </c>
      <c r="D2504" s="471">
        <v>2504</v>
      </c>
      <c r="E2504" s="469">
        <v>18.190000000000001</v>
      </c>
      <c r="F2504" s="469">
        <v>12.2</v>
      </c>
      <c r="G2504" s="469">
        <v>7.4</v>
      </c>
      <c r="H2504" s="470">
        <v>176</v>
      </c>
      <c r="I2504" s="470">
        <v>705</v>
      </c>
      <c r="J2504" s="470">
        <v>4081</v>
      </c>
      <c r="K2504" s="469">
        <v>1.84</v>
      </c>
    </row>
    <row r="2505" spans="2:11" x14ac:dyDescent="0.35">
      <c r="B2505" s="62">
        <v>12.25</v>
      </c>
      <c r="C2505" s="471">
        <v>2521</v>
      </c>
      <c r="D2505" s="471">
        <v>2505</v>
      </c>
      <c r="E2505" s="469">
        <v>30.45</v>
      </c>
      <c r="F2505" s="469">
        <v>13.2</v>
      </c>
      <c r="G2505" s="469">
        <v>10.199999999999999</v>
      </c>
      <c r="H2505" s="470">
        <v>176</v>
      </c>
      <c r="I2505" s="470">
        <v>705</v>
      </c>
      <c r="J2505" s="470">
        <v>4127</v>
      </c>
      <c r="K2505" s="469">
        <v>1.84</v>
      </c>
    </row>
    <row r="2506" spans="2:11" x14ac:dyDescent="0.35">
      <c r="B2506" s="62">
        <v>12.25</v>
      </c>
      <c r="C2506" s="471">
        <v>2522</v>
      </c>
      <c r="D2506" s="471">
        <v>2506</v>
      </c>
      <c r="E2506" s="469">
        <v>24.35</v>
      </c>
      <c r="F2506" s="469">
        <v>12.7</v>
      </c>
      <c r="G2506" s="469">
        <v>7.5</v>
      </c>
      <c r="H2506" s="470">
        <v>176</v>
      </c>
      <c r="I2506" s="470">
        <v>702</v>
      </c>
      <c r="J2506" s="470">
        <v>4124</v>
      </c>
      <c r="K2506" s="469">
        <v>1.84</v>
      </c>
    </row>
    <row r="2507" spans="2:11" x14ac:dyDescent="0.35">
      <c r="B2507" s="62">
        <v>12.25</v>
      </c>
      <c r="C2507" s="471">
        <v>2523</v>
      </c>
      <c r="D2507" s="471">
        <v>2507</v>
      </c>
      <c r="E2507" s="469">
        <v>28.63</v>
      </c>
      <c r="F2507" s="469">
        <v>11.9</v>
      </c>
      <c r="G2507" s="469">
        <v>7.5</v>
      </c>
      <c r="H2507" s="470">
        <v>176</v>
      </c>
      <c r="I2507" s="470">
        <v>704</v>
      </c>
      <c r="J2507" s="470">
        <v>4101</v>
      </c>
      <c r="K2507" s="469">
        <v>1.84</v>
      </c>
    </row>
    <row r="2508" spans="2:11" x14ac:dyDescent="0.35">
      <c r="B2508" s="62">
        <v>12.25</v>
      </c>
      <c r="C2508" s="471">
        <v>2524</v>
      </c>
      <c r="D2508" s="471">
        <v>2507.9</v>
      </c>
      <c r="E2508" s="469">
        <v>29.16</v>
      </c>
      <c r="F2508" s="469">
        <v>12.5</v>
      </c>
      <c r="G2508" s="469">
        <v>8.6999999999999993</v>
      </c>
      <c r="H2508" s="470">
        <v>176</v>
      </c>
      <c r="I2508" s="470">
        <v>705</v>
      </c>
      <c r="J2508" s="470">
        <v>4092</v>
      </c>
      <c r="K2508" s="469">
        <v>1.84</v>
      </c>
    </row>
    <row r="2509" spans="2:11" x14ac:dyDescent="0.35">
      <c r="B2509" s="62">
        <v>12.25</v>
      </c>
      <c r="C2509" s="471">
        <v>2525</v>
      </c>
      <c r="D2509" s="471">
        <v>2508.9</v>
      </c>
      <c r="E2509" s="469">
        <v>23.32</v>
      </c>
      <c r="F2509" s="469">
        <v>13.8</v>
      </c>
      <c r="G2509" s="469">
        <v>8.9</v>
      </c>
      <c r="H2509" s="470">
        <v>176</v>
      </c>
      <c r="I2509" s="470">
        <v>705</v>
      </c>
      <c r="J2509" s="470">
        <v>4094</v>
      </c>
      <c r="K2509" s="469">
        <v>1.84</v>
      </c>
    </row>
    <row r="2510" spans="2:11" x14ac:dyDescent="0.35">
      <c r="B2510" s="62">
        <v>12.25</v>
      </c>
      <c r="C2510" s="471">
        <v>2526</v>
      </c>
      <c r="D2510" s="471">
        <v>2510</v>
      </c>
      <c r="E2510" s="469">
        <v>17.7</v>
      </c>
      <c r="F2510" s="469">
        <v>12.3</v>
      </c>
      <c r="G2510" s="469">
        <v>9.5</v>
      </c>
      <c r="H2510" s="470">
        <v>176</v>
      </c>
      <c r="I2510" s="470">
        <v>704</v>
      </c>
      <c r="J2510" s="470">
        <v>4073</v>
      </c>
      <c r="K2510" s="469">
        <v>1.84</v>
      </c>
    </row>
    <row r="2511" spans="2:11" x14ac:dyDescent="0.35">
      <c r="B2511" s="62">
        <v>12.25</v>
      </c>
      <c r="C2511" s="471">
        <v>2527</v>
      </c>
      <c r="D2511" s="471">
        <v>2510.9</v>
      </c>
      <c r="E2511" s="469">
        <v>31.38</v>
      </c>
      <c r="F2511" s="469">
        <v>11.9</v>
      </c>
      <c r="G2511" s="469">
        <v>10.199999999999999</v>
      </c>
      <c r="H2511" s="470">
        <v>176</v>
      </c>
      <c r="I2511" s="470">
        <v>706</v>
      </c>
      <c r="J2511" s="470">
        <v>4090</v>
      </c>
      <c r="K2511" s="469">
        <v>1.84</v>
      </c>
    </row>
    <row r="2512" spans="2:11" x14ac:dyDescent="0.35">
      <c r="B2512" s="62">
        <v>12.25</v>
      </c>
      <c r="C2512" s="471">
        <v>2528</v>
      </c>
      <c r="D2512" s="471">
        <v>2511.9</v>
      </c>
      <c r="E2512" s="469">
        <v>32.43</v>
      </c>
      <c r="F2512" s="469">
        <v>12.2</v>
      </c>
      <c r="G2512" s="469">
        <v>9.5</v>
      </c>
      <c r="H2512" s="470">
        <v>175</v>
      </c>
      <c r="I2512" s="470">
        <v>705</v>
      </c>
      <c r="J2512" s="470">
        <v>4130</v>
      </c>
      <c r="K2512" s="469">
        <v>1.84</v>
      </c>
    </row>
    <row r="2513" spans="2:11" x14ac:dyDescent="0.35">
      <c r="B2513" s="62">
        <v>12.25</v>
      </c>
      <c r="C2513" s="471">
        <v>2529</v>
      </c>
      <c r="D2513" s="471">
        <v>2512.9</v>
      </c>
      <c r="E2513" s="469">
        <v>32.119999999999997</v>
      </c>
      <c r="F2513" s="469">
        <v>12.6</v>
      </c>
      <c r="G2513" s="469">
        <v>10.1</v>
      </c>
      <c r="H2513" s="470">
        <v>176</v>
      </c>
      <c r="I2513" s="470">
        <v>705</v>
      </c>
      <c r="J2513" s="470">
        <v>4124</v>
      </c>
      <c r="K2513" s="469">
        <v>1.84</v>
      </c>
    </row>
    <row r="2514" spans="2:11" x14ac:dyDescent="0.35">
      <c r="B2514" s="62">
        <v>12.25</v>
      </c>
      <c r="C2514" s="471">
        <v>2530</v>
      </c>
      <c r="D2514" s="471">
        <v>2513.9</v>
      </c>
      <c r="E2514" s="469">
        <v>29.74</v>
      </c>
      <c r="F2514" s="469">
        <v>12.6</v>
      </c>
      <c r="G2514" s="469">
        <v>8.5</v>
      </c>
      <c r="H2514" s="470">
        <v>176</v>
      </c>
      <c r="I2514" s="470">
        <v>705</v>
      </c>
      <c r="J2514" s="470">
        <v>4100</v>
      </c>
      <c r="K2514" s="469">
        <v>1.84</v>
      </c>
    </row>
    <row r="2515" spans="2:11" x14ac:dyDescent="0.35">
      <c r="B2515" s="62">
        <v>12.25</v>
      </c>
      <c r="C2515" s="471">
        <v>2531</v>
      </c>
      <c r="D2515" s="471">
        <v>2514.9</v>
      </c>
      <c r="E2515" s="469">
        <v>27.71</v>
      </c>
      <c r="F2515" s="469">
        <v>12.4</v>
      </c>
      <c r="G2515" s="469">
        <v>7.4</v>
      </c>
      <c r="H2515" s="470">
        <v>176</v>
      </c>
      <c r="I2515" s="470">
        <v>704</v>
      </c>
      <c r="J2515" s="470">
        <v>4134</v>
      </c>
      <c r="K2515" s="469">
        <v>1.84</v>
      </c>
    </row>
    <row r="2516" spans="2:11" x14ac:dyDescent="0.35">
      <c r="B2516" s="62">
        <v>12.25</v>
      </c>
      <c r="C2516" s="471">
        <v>2532</v>
      </c>
      <c r="D2516" s="471">
        <v>2515.9</v>
      </c>
      <c r="E2516" s="469">
        <v>19.62</v>
      </c>
      <c r="F2516" s="469">
        <v>13.2</v>
      </c>
      <c r="G2516" s="469">
        <v>8.3000000000000007</v>
      </c>
      <c r="H2516" s="470">
        <v>176</v>
      </c>
      <c r="I2516" s="470">
        <v>707</v>
      </c>
      <c r="J2516" s="470">
        <v>4110</v>
      </c>
      <c r="K2516" s="469">
        <v>1.84</v>
      </c>
    </row>
    <row r="2517" spans="2:11" x14ac:dyDescent="0.35">
      <c r="B2517" s="62">
        <v>12.25</v>
      </c>
      <c r="C2517" s="471">
        <v>2533</v>
      </c>
      <c r="D2517" s="471">
        <v>2516.8000000000002</v>
      </c>
      <c r="E2517" s="469">
        <v>27.17</v>
      </c>
      <c r="F2517" s="469">
        <v>11.9</v>
      </c>
      <c r="G2517" s="469">
        <v>9.6</v>
      </c>
      <c r="H2517" s="470">
        <v>176</v>
      </c>
      <c r="I2517" s="470">
        <v>705</v>
      </c>
      <c r="J2517" s="470">
        <v>4101</v>
      </c>
      <c r="K2517" s="469">
        <v>1.84</v>
      </c>
    </row>
    <row r="2518" spans="2:11" x14ac:dyDescent="0.35">
      <c r="B2518" s="62">
        <v>12.25</v>
      </c>
      <c r="C2518" s="471">
        <v>2534</v>
      </c>
      <c r="D2518" s="471">
        <v>2517.6999999999998</v>
      </c>
      <c r="E2518" s="469">
        <v>36.299999999999997</v>
      </c>
      <c r="F2518" s="469">
        <v>12.8</v>
      </c>
      <c r="G2518" s="469">
        <v>11.1</v>
      </c>
      <c r="H2518" s="470">
        <v>175</v>
      </c>
      <c r="I2518" s="470">
        <v>699</v>
      </c>
      <c r="J2518" s="470">
        <v>4164</v>
      </c>
      <c r="K2518" s="469">
        <v>1.84</v>
      </c>
    </row>
    <row r="2519" spans="2:11" x14ac:dyDescent="0.35">
      <c r="B2519" s="62">
        <v>12.25</v>
      </c>
      <c r="C2519" s="471">
        <v>2535</v>
      </c>
      <c r="D2519" s="471">
        <v>2518.6999999999998</v>
      </c>
      <c r="E2519" s="469">
        <v>8.5399999999999991</v>
      </c>
      <c r="F2519" s="469">
        <v>9</v>
      </c>
      <c r="G2519" s="469">
        <v>6.4</v>
      </c>
      <c r="H2519" s="470">
        <v>176</v>
      </c>
      <c r="I2519" s="470">
        <v>701</v>
      </c>
      <c r="J2519" s="470">
        <v>4041</v>
      </c>
      <c r="K2519" s="469">
        <v>1.84</v>
      </c>
    </row>
    <row r="2520" spans="2:11" x14ac:dyDescent="0.35">
      <c r="B2520" s="62">
        <v>12.25</v>
      </c>
      <c r="C2520" s="471">
        <v>2536</v>
      </c>
      <c r="D2520" s="471">
        <v>2519.6999999999998</v>
      </c>
      <c r="E2520" s="469">
        <v>27.4</v>
      </c>
      <c r="F2520" s="469">
        <v>15.4</v>
      </c>
      <c r="G2520" s="469">
        <v>10.8</v>
      </c>
      <c r="H2520" s="470">
        <v>175</v>
      </c>
      <c r="I2520" s="470">
        <v>692</v>
      </c>
      <c r="J2520" s="470">
        <v>4214</v>
      </c>
      <c r="K2520" s="469">
        <v>1.84</v>
      </c>
    </row>
    <row r="2521" spans="2:11" x14ac:dyDescent="0.35">
      <c r="B2521" s="62">
        <v>12.25</v>
      </c>
      <c r="C2521" s="471">
        <v>2537</v>
      </c>
      <c r="D2521" s="471">
        <v>2520.6999999999998</v>
      </c>
      <c r="E2521" s="469">
        <v>38.880000000000003</v>
      </c>
      <c r="F2521" s="469">
        <v>14.8</v>
      </c>
      <c r="G2521" s="469">
        <v>9.4</v>
      </c>
      <c r="H2521" s="470">
        <v>175</v>
      </c>
      <c r="I2521" s="470">
        <v>686</v>
      </c>
      <c r="J2521" s="470">
        <v>4199</v>
      </c>
      <c r="K2521" s="469">
        <v>1.84</v>
      </c>
    </row>
    <row r="2522" spans="2:11" x14ac:dyDescent="0.35">
      <c r="B2522" s="62">
        <v>12.25</v>
      </c>
      <c r="C2522" s="471">
        <v>2538</v>
      </c>
      <c r="D2522" s="471">
        <v>2521.6999999999998</v>
      </c>
      <c r="E2522" s="469">
        <v>26.06</v>
      </c>
      <c r="F2522" s="469">
        <v>15.6</v>
      </c>
      <c r="G2522" s="469">
        <v>9.3000000000000007</v>
      </c>
      <c r="H2522" s="470">
        <v>174</v>
      </c>
      <c r="I2522" s="470">
        <v>689</v>
      </c>
      <c r="J2522" s="470">
        <v>4183</v>
      </c>
      <c r="K2522" s="469">
        <v>1.84</v>
      </c>
    </row>
    <row r="2523" spans="2:11" x14ac:dyDescent="0.35">
      <c r="B2523" s="62">
        <v>12.25</v>
      </c>
      <c r="C2523" s="471">
        <v>2539</v>
      </c>
      <c r="D2523" s="471">
        <v>2522.6999999999998</v>
      </c>
      <c r="E2523" s="469">
        <v>42.95</v>
      </c>
      <c r="F2523" s="469">
        <v>15.3</v>
      </c>
      <c r="G2523" s="469">
        <v>12.3</v>
      </c>
      <c r="H2523" s="470">
        <v>174</v>
      </c>
      <c r="I2523" s="470">
        <v>685</v>
      </c>
      <c r="J2523" s="470">
        <v>4248</v>
      </c>
      <c r="K2523" s="469">
        <v>1.84</v>
      </c>
    </row>
    <row r="2524" spans="2:11" x14ac:dyDescent="0.35">
      <c r="B2524" s="62">
        <v>12.25</v>
      </c>
      <c r="C2524" s="471">
        <v>2540</v>
      </c>
      <c r="D2524" s="471">
        <v>2523.6999999999998</v>
      </c>
      <c r="E2524" s="469">
        <v>43.06</v>
      </c>
      <c r="F2524" s="469">
        <v>15.3</v>
      </c>
      <c r="G2524" s="469">
        <v>11.4</v>
      </c>
      <c r="H2524" s="470">
        <v>174</v>
      </c>
      <c r="I2524" s="470">
        <v>684</v>
      </c>
      <c r="J2524" s="470">
        <v>4267</v>
      </c>
      <c r="K2524" s="469">
        <v>1.84</v>
      </c>
    </row>
    <row r="2525" spans="2:11" x14ac:dyDescent="0.35">
      <c r="B2525" s="62">
        <v>12.25</v>
      </c>
      <c r="C2525" s="471">
        <v>2541</v>
      </c>
      <c r="D2525" s="471">
        <v>2524.6999999999998</v>
      </c>
      <c r="E2525" s="469">
        <v>30.23</v>
      </c>
      <c r="F2525" s="469">
        <v>15.4</v>
      </c>
      <c r="G2525" s="469">
        <v>9.9</v>
      </c>
      <c r="H2525" s="470">
        <v>174</v>
      </c>
      <c r="I2525" s="470">
        <v>680</v>
      </c>
      <c r="J2525" s="470">
        <v>4215</v>
      </c>
      <c r="K2525" s="469">
        <v>1.84</v>
      </c>
    </row>
    <row r="2526" spans="2:11" x14ac:dyDescent="0.35">
      <c r="B2526" s="62">
        <v>12.25</v>
      </c>
      <c r="C2526" s="471">
        <v>2542</v>
      </c>
      <c r="D2526" s="471">
        <v>2525.6999999999998</v>
      </c>
      <c r="E2526" s="469">
        <v>23.69</v>
      </c>
      <c r="F2526" s="469">
        <v>15.3</v>
      </c>
      <c r="G2526" s="469">
        <v>8.6</v>
      </c>
      <c r="H2526" s="470">
        <v>174</v>
      </c>
      <c r="I2526" s="470">
        <v>680</v>
      </c>
      <c r="J2526" s="470">
        <v>4173</v>
      </c>
      <c r="K2526" s="469">
        <v>1.84</v>
      </c>
    </row>
    <row r="2527" spans="2:11" x14ac:dyDescent="0.35">
      <c r="B2527" s="62">
        <v>12.25</v>
      </c>
      <c r="C2527" s="471">
        <v>2543</v>
      </c>
      <c r="D2527" s="471">
        <v>2526.6</v>
      </c>
      <c r="E2527" s="469">
        <v>15.46</v>
      </c>
      <c r="F2527" s="469">
        <v>15.7</v>
      </c>
      <c r="G2527" s="469">
        <v>7</v>
      </c>
      <c r="H2527" s="470">
        <v>175</v>
      </c>
      <c r="I2527" s="470">
        <v>689</v>
      </c>
      <c r="J2527" s="470">
        <v>4132</v>
      </c>
      <c r="K2527" s="469">
        <v>1.84</v>
      </c>
    </row>
    <row r="2528" spans="2:11" x14ac:dyDescent="0.35">
      <c r="B2528" s="62">
        <v>12.25</v>
      </c>
      <c r="C2528" s="471">
        <v>2544</v>
      </c>
      <c r="D2528" s="471">
        <v>2527.6</v>
      </c>
      <c r="E2528" s="469">
        <v>12.35</v>
      </c>
      <c r="F2528" s="469">
        <v>15.3</v>
      </c>
      <c r="G2528" s="469">
        <v>8.3000000000000007</v>
      </c>
      <c r="H2528" s="470">
        <v>171</v>
      </c>
      <c r="I2528" s="470">
        <v>686</v>
      </c>
      <c r="J2528" s="470">
        <v>4087</v>
      </c>
      <c r="K2528" s="469">
        <v>1.84</v>
      </c>
    </row>
    <row r="2529" spans="2:11" x14ac:dyDescent="0.35">
      <c r="B2529" s="62">
        <v>12.25</v>
      </c>
      <c r="C2529" s="471">
        <v>2545</v>
      </c>
      <c r="D2529" s="471">
        <v>2528.6</v>
      </c>
      <c r="E2529" s="469">
        <v>18.72</v>
      </c>
      <c r="F2529" s="469">
        <v>15.9</v>
      </c>
      <c r="G2529" s="469">
        <v>8.3000000000000007</v>
      </c>
      <c r="H2529" s="470">
        <v>162</v>
      </c>
      <c r="I2529" s="470">
        <v>679</v>
      </c>
      <c r="J2529" s="470">
        <v>4114</v>
      </c>
      <c r="K2529" s="469">
        <v>1.84</v>
      </c>
    </row>
    <row r="2530" spans="2:11" x14ac:dyDescent="0.35">
      <c r="B2530" s="62">
        <v>12.25</v>
      </c>
      <c r="C2530" s="471">
        <v>2546</v>
      </c>
      <c r="D2530" s="471">
        <v>2529.6</v>
      </c>
      <c r="E2530" s="469">
        <v>29.99</v>
      </c>
      <c r="F2530" s="469">
        <v>14.8</v>
      </c>
      <c r="G2530" s="469">
        <v>9.4</v>
      </c>
      <c r="H2530" s="470">
        <v>162</v>
      </c>
      <c r="I2530" s="470">
        <v>679</v>
      </c>
      <c r="J2530" s="470">
        <v>4146</v>
      </c>
      <c r="K2530" s="469">
        <v>1.84</v>
      </c>
    </row>
    <row r="2531" spans="2:11" x14ac:dyDescent="0.35">
      <c r="B2531" s="62">
        <v>12.25</v>
      </c>
      <c r="C2531" s="471">
        <v>2547</v>
      </c>
      <c r="D2531" s="471">
        <v>2530.6</v>
      </c>
      <c r="E2531" s="469">
        <v>37.97</v>
      </c>
      <c r="F2531" s="469">
        <v>14.7</v>
      </c>
      <c r="G2531" s="469">
        <v>9.9</v>
      </c>
      <c r="H2531" s="470">
        <v>162</v>
      </c>
      <c r="I2531" s="470">
        <v>679</v>
      </c>
      <c r="J2531" s="470">
        <v>4137</v>
      </c>
      <c r="K2531" s="469">
        <v>1.84</v>
      </c>
    </row>
    <row r="2532" spans="2:11" x14ac:dyDescent="0.35">
      <c r="B2532" s="62">
        <v>12.25</v>
      </c>
      <c r="C2532" s="471">
        <v>2548</v>
      </c>
      <c r="D2532" s="471">
        <v>2531.6</v>
      </c>
      <c r="E2532" s="469">
        <v>32.450000000000003</v>
      </c>
      <c r="F2532" s="469">
        <v>14.8</v>
      </c>
      <c r="G2532" s="469">
        <v>10.3</v>
      </c>
      <c r="H2532" s="470">
        <v>162</v>
      </c>
      <c r="I2532" s="470">
        <v>678</v>
      </c>
      <c r="J2532" s="470">
        <v>4124</v>
      </c>
      <c r="K2532" s="469">
        <v>1.84</v>
      </c>
    </row>
    <row r="2533" spans="2:11" x14ac:dyDescent="0.35">
      <c r="B2533" s="62">
        <v>12.25</v>
      </c>
      <c r="C2533" s="471">
        <v>2549</v>
      </c>
      <c r="D2533" s="471">
        <v>2532.5</v>
      </c>
      <c r="E2533" s="469">
        <v>35.08</v>
      </c>
      <c r="F2533" s="469">
        <v>15.9</v>
      </c>
      <c r="G2533" s="469">
        <v>11</v>
      </c>
      <c r="H2533" s="470">
        <v>162</v>
      </c>
      <c r="I2533" s="470">
        <v>678</v>
      </c>
      <c r="J2533" s="470">
        <v>4139</v>
      </c>
      <c r="K2533" s="469">
        <v>1.84</v>
      </c>
    </row>
    <row r="2534" spans="2:11" x14ac:dyDescent="0.35">
      <c r="B2534" s="62">
        <v>12.25</v>
      </c>
      <c r="C2534" s="471">
        <v>2550</v>
      </c>
      <c r="D2534" s="471">
        <v>2533.6999999999998</v>
      </c>
      <c r="E2534" s="469">
        <v>22.78</v>
      </c>
      <c r="F2534" s="469">
        <v>15</v>
      </c>
      <c r="G2534" s="469">
        <v>9.6</v>
      </c>
      <c r="H2534" s="470">
        <v>161</v>
      </c>
      <c r="I2534" s="470">
        <v>671</v>
      </c>
      <c r="J2534" s="470">
        <v>4020</v>
      </c>
      <c r="K2534" s="469">
        <v>1.84</v>
      </c>
    </row>
    <row r="2535" spans="2:11" x14ac:dyDescent="0.35">
      <c r="B2535" s="62">
        <v>12.25</v>
      </c>
      <c r="C2535" s="471">
        <v>2551</v>
      </c>
      <c r="D2535" s="471">
        <v>2534.6</v>
      </c>
      <c r="E2535" s="469">
        <v>8.2200000000000006</v>
      </c>
      <c r="F2535" s="469">
        <v>15.3</v>
      </c>
      <c r="G2535" s="469">
        <v>6.3</v>
      </c>
      <c r="H2535" s="470">
        <v>163</v>
      </c>
      <c r="I2535" s="470">
        <v>686</v>
      </c>
      <c r="J2535" s="470">
        <v>3967</v>
      </c>
      <c r="K2535" s="469">
        <v>1.84</v>
      </c>
    </row>
    <row r="2536" spans="2:11" x14ac:dyDescent="0.35">
      <c r="B2536" s="62">
        <v>12.25</v>
      </c>
      <c r="C2536" s="471">
        <v>2552</v>
      </c>
      <c r="D2536" s="471">
        <v>2535.6999999999998</v>
      </c>
      <c r="E2536" s="469">
        <v>7.98</v>
      </c>
      <c r="F2536" s="469">
        <v>16</v>
      </c>
      <c r="G2536" s="469">
        <v>6.1</v>
      </c>
      <c r="H2536" s="470">
        <v>164</v>
      </c>
      <c r="I2536" s="470">
        <v>697</v>
      </c>
      <c r="J2536" s="470">
        <v>4052</v>
      </c>
      <c r="K2536" s="469">
        <v>1.84</v>
      </c>
    </row>
    <row r="2537" spans="2:11" x14ac:dyDescent="0.35">
      <c r="B2537" s="62">
        <v>12.25</v>
      </c>
      <c r="C2537" s="471">
        <v>2553</v>
      </c>
      <c r="D2537" s="471">
        <v>2536.6</v>
      </c>
      <c r="E2537" s="469">
        <v>6.34</v>
      </c>
      <c r="F2537" s="469">
        <v>16.399999999999999</v>
      </c>
      <c r="G2537" s="469">
        <v>8</v>
      </c>
      <c r="H2537" s="470">
        <v>165</v>
      </c>
      <c r="I2537" s="470">
        <v>704</v>
      </c>
      <c r="J2537" s="470">
        <v>4055</v>
      </c>
      <c r="K2537" s="469">
        <v>1.84</v>
      </c>
    </row>
    <row r="2538" spans="2:11" x14ac:dyDescent="0.35">
      <c r="B2538" s="62">
        <v>12.25</v>
      </c>
      <c r="C2538" s="471">
        <v>2554</v>
      </c>
      <c r="D2538" s="471">
        <v>2537.6</v>
      </c>
      <c r="E2538" s="469">
        <v>5.79</v>
      </c>
      <c r="F2538" s="469">
        <v>15.8</v>
      </c>
      <c r="G2538" s="469">
        <v>6.7</v>
      </c>
      <c r="H2538" s="470">
        <v>176</v>
      </c>
      <c r="I2538" s="470">
        <v>704</v>
      </c>
      <c r="J2538" s="470">
        <v>4009</v>
      </c>
      <c r="K2538" s="469">
        <v>1.84</v>
      </c>
    </row>
    <row r="2539" spans="2:11" x14ac:dyDescent="0.35">
      <c r="B2539" s="62">
        <v>12.25</v>
      </c>
      <c r="C2539" s="471">
        <v>2555</v>
      </c>
      <c r="D2539" s="471">
        <v>2538.6</v>
      </c>
      <c r="E2539" s="469">
        <v>5.19</v>
      </c>
      <c r="F2539" s="469">
        <v>15</v>
      </c>
      <c r="G2539" s="469">
        <v>4.5999999999999996</v>
      </c>
      <c r="H2539" s="470">
        <v>176</v>
      </c>
      <c r="I2539" s="470">
        <v>704</v>
      </c>
      <c r="J2539" s="470">
        <v>3974</v>
      </c>
      <c r="K2539" s="469">
        <v>1.84</v>
      </c>
    </row>
    <row r="2540" spans="2:11" x14ac:dyDescent="0.35">
      <c r="B2540" s="62">
        <v>12.25</v>
      </c>
      <c r="C2540" s="471">
        <v>2556</v>
      </c>
      <c r="D2540" s="471">
        <v>2539.6</v>
      </c>
      <c r="E2540" s="469">
        <v>4.0999999999999996</v>
      </c>
      <c r="F2540" s="469">
        <v>15</v>
      </c>
      <c r="G2540" s="469">
        <v>5.0999999999999996</v>
      </c>
      <c r="H2540" s="470">
        <v>180</v>
      </c>
      <c r="I2540" s="470">
        <v>718</v>
      </c>
      <c r="J2540" s="470">
        <v>4113</v>
      </c>
      <c r="K2540" s="469">
        <v>1.84</v>
      </c>
    </row>
    <row r="2541" spans="2:11" x14ac:dyDescent="0.35">
      <c r="B2541" s="62">
        <v>12.25</v>
      </c>
      <c r="C2541" s="471">
        <v>2557</v>
      </c>
      <c r="D2541" s="471">
        <v>2540.6</v>
      </c>
      <c r="E2541" s="469">
        <v>5.33</v>
      </c>
      <c r="F2541" s="469">
        <v>15.2</v>
      </c>
      <c r="G2541" s="469">
        <v>5.3</v>
      </c>
      <c r="H2541" s="470">
        <v>181</v>
      </c>
      <c r="I2541" s="470">
        <v>719</v>
      </c>
      <c r="J2541" s="470">
        <v>4161</v>
      </c>
      <c r="K2541" s="469">
        <v>1.84</v>
      </c>
    </row>
    <row r="2542" spans="2:11" x14ac:dyDescent="0.35">
      <c r="B2542" s="62">
        <v>12.25</v>
      </c>
      <c r="C2542" s="471">
        <v>2558</v>
      </c>
      <c r="D2542" s="471">
        <v>2541.6</v>
      </c>
      <c r="E2542" s="469">
        <v>3.92</v>
      </c>
      <c r="F2542" s="469">
        <v>15.1</v>
      </c>
      <c r="G2542" s="469">
        <v>5.2</v>
      </c>
      <c r="H2542" s="470">
        <v>180</v>
      </c>
      <c r="I2542" s="470">
        <v>720</v>
      </c>
      <c r="J2542" s="470">
        <v>4125</v>
      </c>
      <c r="K2542" s="469">
        <v>1.84</v>
      </c>
    </row>
    <row r="2543" spans="2:11" x14ac:dyDescent="0.35">
      <c r="B2543" s="62">
        <v>12.25</v>
      </c>
      <c r="C2543" s="471">
        <v>2559</v>
      </c>
      <c r="D2543" s="471">
        <v>2542.6</v>
      </c>
      <c r="E2543" s="469">
        <v>6.22</v>
      </c>
      <c r="F2543" s="469">
        <v>15</v>
      </c>
      <c r="G2543" s="469">
        <v>7</v>
      </c>
      <c r="H2543" s="470">
        <v>180</v>
      </c>
      <c r="I2543" s="470">
        <v>720</v>
      </c>
      <c r="J2543" s="470">
        <v>4137</v>
      </c>
      <c r="K2543" s="469">
        <v>1.84</v>
      </c>
    </row>
    <row r="2544" spans="2:11" x14ac:dyDescent="0.35">
      <c r="B2544" s="62">
        <v>12.25</v>
      </c>
      <c r="C2544" s="471">
        <v>2560</v>
      </c>
      <c r="D2544" s="471">
        <v>2543.6</v>
      </c>
      <c r="E2544" s="469">
        <v>5.3</v>
      </c>
      <c r="F2544" s="469">
        <v>14.9</v>
      </c>
      <c r="G2544" s="469">
        <v>7</v>
      </c>
      <c r="H2544" s="470">
        <v>180</v>
      </c>
      <c r="I2544" s="470">
        <v>721</v>
      </c>
      <c r="J2544" s="470">
        <v>4124</v>
      </c>
      <c r="K2544" s="469">
        <v>1.84</v>
      </c>
    </row>
    <row r="2545" spans="2:11" x14ac:dyDescent="0.35">
      <c r="B2545" s="62">
        <v>12.25</v>
      </c>
      <c r="C2545" s="471">
        <v>2561</v>
      </c>
      <c r="D2545" s="471">
        <v>2544.5</v>
      </c>
      <c r="E2545" s="469">
        <v>8.83</v>
      </c>
      <c r="F2545" s="469">
        <v>14.5</v>
      </c>
      <c r="G2545" s="469">
        <v>7.1</v>
      </c>
      <c r="H2545" s="470">
        <v>180</v>
      </c>
      <c r="I2545" s="470">
        <v>719</v>
      </c>
      <c r="J2545" s="470">
        <v>4156</v>
      </c>
      <c r="K2545" s="469">
        <v>1.84</v>
      </c>
    </row>
    <row r="2546" spans="2:11" x14ac:dyDescent="0.35">
      <c r="B2546" s="62">
        <v>12.25</v>
      </c>
      <c r="C2546" s="471">
        <v>2562</v>
      </c>
      <c r="D2546" s="471">
        <v>2545.5</v>
      </c>
      <c r="E2546" s="469">
        <v>5.43</v>
      </c>
      <c r="F2546" s="469">
        <v>14.9</v>
      </c>
      <c r="G2546" s="469">
        <v>8.1</v>
      </c>
      <c r="H2546" s="470">
        <v>181</v>
      </c>
      <c r="I2546" s="470">
        <v>724</v>
      </c>
      <c r="J2546" s="470">
        <v>4114</v>
      </c>
      <c r="K2546" s="469">
        <v>1.84</v>
      </c>
    </row>
    <row r="2547" spans="2:11" x14ac:dyDescent="0.35">
      <c r="B2547" s="62">
        <v>12.25</v>
      </c>
      <c r="C2547" s="471">
        <v>2563</v>
      </c>
      <c r="D2547" s="471">
        <v>2546.6</v>
      </c>
      <c r="E2547" s="469">
        <v>6.6</v>
      </c>
      <c r="F2547" s="469">
        <v>14.9</v>
      </c>
      <c r="G2547" s="469">
        <v>8.8000000000000007</v>
      </c>
      <c r="H2547" s="470">
        <v>180</v>
      </c>
      <c r="I2547" s="470">
        <v>720</v>
      </c>
      <c r="J2547" s="470">
        <v>4125</v>
      </c>
      <c r="K2547" s="469">
        <v>1.84</v>
      </c>
    </row>
    <row r="2548" spans="2:11" x14ac:dyDescent="0.35">
      <c r="B2548" s="62">
        <v>12.25</v>
      </c>
      <c r="C2548" s="471">
        <v>2564</v>
      </c>
      <c r="D2548" s="471">
        <v>2547.5</v>
      </c>
      <c r="E2548" s="469">
        <v>7.21</v>
      </c>
      <c r="F2548" s="469">
        <v>7.7</v>
      </c>
      <c r="G2548" s="469">
        <v>3.5</v>
      </c>
      <c r="H2548" s="470">
        <v>178</v>
      </c>
      <c r="I2548" s="470">
        <v>711</v>
      </c>
      <c r="J2548" s="470">
        <v>4030</v>
      </c>
      <c r="K2548" s="469">
        <v>1.84</v>
      </c>
    </row>
    <row r="2549" spans="2:11" x14ac:dyDescent="0.35">
      <c r="B2549" s="62">
        <v>12.25</v>
      </c>
      <c r="C2549" s="471">
        <v>2565</v>
      </c>
      <c r="D2549" s="471">
        <v>2548.5</v>
      </c>
      <c r="E2549" s="469">
        <v>5.2</v>
      </c>
      <c r="F2549" s="469">
        <v>14.6</v>
      </c>
      <c r="G2549" s="469">
        <v>5.6</v>
      </c>
      <c r="H2549" s="470">
        <v>177</v>
      </c>
      <c r="I2549" s="470">
        <v>708</v>
      </c>
      <c r="J2549" s="470">
        <v>4080</v>
      </c>
      <c r="K2549" s="469">
        <v>1.84</v>
      </c>
    </row>
    <row r="2550" spans="2:11" x14ac:dyDescent="0.35">
      <c r="B2550" s="62">
        <v>12.25</v>
      </c>
      <c r="C2550" s="471">
        <v>2566</v>
      </c>
      <c r="D2550" s="471">
        <v>2549.5</v>
      </c>
      <c r="E2550" s="469">
        <v>14.5</v>
      </c>
      <c r="F2550" s="469">
        <v>14.6</v>
      </c>
      <c r="G2550" s="469">
        <v>7.4</v>
      </c>
      <c r="H2550" s="470">
        <v>177</v>
      </c>
      <c r="I2550" s="470">
        <v>705</v>
      </c>
      <c r="J2550" s="470">
        <v>4123</v>
      </c>
      <c r="K2550" s="469">
        <v>1.84</v>
      </c>
    </row>
    <row r="2551" spans="2:11" x14ac:dyDescent="0.35">
      <c r="B2551" s="62">
        <v>12.25</v>
      </c>
      <c r="C2551" s="471">
        <v>2567</v>
      </c>
      <c r="D2551" s="471">
        <v>2550.5</v>
      </c>
      <c r="E2551" s="469">
        <v>13.3</v>
      </c>
      <c r="F2551" s="469">
        <v>14.7</v>
      </c>
      <c r="G2551" s="469">
        <v>7.9</v>
      </c>
      <c r="H2551" s="470">
        <v>177</v>
      </c>
      <c r="I2551" s="470">
        <v>704</v>
      </c>
      <c r="J2551" s="470">
        <v>4148</v>
      </c>
      <c r="K2551" s="469">
        <v>1.84</v>
      </c>
    </row>
    <row r="2552" spans="2:11" x14ac:dyDescent="0.35">
      <c r="B2552" s="62">
        <v>12.25</v>
      </c>
      <c r="C2552" s="471">
        <v>2568</v>
      </c>
      <c r="D2552" s="471">
        <v>2551.5</v>
      </c>
      <c r="E2552" s="469">
        <v>23.36</v>
      </c>
      <c r="F2552" s="469">
        <v>13.4</v>
      </c>
      <c r="G2552" s="469">
        <v>10.5</v>
      </c>
      <c r="H2552" s="470">
        <v>176</v>
      </c>
      <c r="I2552" s="470">
        <v>700</v>
      </c>
      <c r="J2552" s="470">
        <v>4172</v>
      </c>
      <c r="K2552" s="469">
        <v>1.84</v>
      </c>
    </row>
    <row r="2553" spans="2:11" x14ac:dyDescent="0.35">
      <c r="B2553" s="62">
        <v>12.25</v>
      </c>
      <c r="C2553" s="471">
        <v>2569</v>
      </c>
      <c r="D2553" s="471">
        <v>2552.4</v>
      </c>
      <c r="E2553" s="469">
        <v>30.83</v>
      </c>
      <c r="F2553" s="469">
        <v>13</v>
      </c>
      <c r="G2553" s="469">
        <v>9.9</v>
      </c>
      <c r="H2553" s="470">
        <v>177</v>
      </c>
      <c r="I2553" s="470">
        <v>701</v>
      </c>
      <c r="J2553" s="470">
        <v>4198</v>
      </c>
      <c r="K2553" s="469">
        <v>1.84</v>
      </c>
    </row>
    <row r="2554" spans="2:11" x14ac:dyDescent="0.35">
      <c r="B2554" s="62">
        <v>12.25</v>
      </c>
      <c r="C2554" s="471">
        <v>2570</v>
      </c>
      <c r="D2554" s="471">
        <v>2553.4</v>
      </c>
      <c r="E2554" s="469">
        <v>31.48</v>
      </c>
      <c r="F2554" s="469">
        <v>13.4</v>
      </c>
      <c r="G2554" s="469">
        <v>9.5</v>
      </c>
      <c r="H2554" s="470">
        <v>176</v>
      </c>
      <c r="I2554" s="470">
        <v>699</v>
      </c>
      <c r="J2554" s="470">
        <v>4210</v>
      </c>
      <c r="K2554" s="469">
        <v>1.84</v>
      </c>
    </row>
    <row r="2555" spans="2:11" x14ac:dyDescent="0.35">
      <c r="B2555" s="62">
        <v>12.25</v>
      </c>
      <c r="C2555" s="471">
        <v>2571</v>
      </c>
      <c r="D2555" s="471">
        <v>2554.4</v>
      </c>
      <c r="E2555" s="469">
        <v>29.78</v>
      </c>
      <c r="F2555" s="469">
        <v>13.9</v>
      </c>
      <c r="G2555" s="469">
        <v>9.8000000000000007</v>
      </c>
      <c r="H2555" s="470">
        <v>177</v>
      </c>
      <c r="I2555" s="470">
        <v>700</v>
      </c>
      <c r="J2555" s="470">
        <v>4198</v>
      </c>
      <c r="K2555" s="469">
        <v>1.84</v>
      </c>
    </row>
    <row r="2556" spans="2:11" x14ac:dyDescent="0.35">
      <c r="B2556" s="62">
        <v>12.25</v>
      </c>
      <c r="C2556" s="471">
        <v>2572</v>
      </c>
      <c r="D2556" s="471">
        <v>2555.4</v>
      </c>
      <c r="E2556" s="469">
        <v>9.93</v>
      </c>
      <c r="F2556" s="469">
        <v>14.2</v>
      </c>
      <c r="G2556" s="469">
        <v>9</v>
      </c>
      <c r="H2556" s="470">
        <v>177</v>
      </c>
      <c r="I2556" s="470">
        <v>708</v>
      </c>
      <c r="J2556" s="470">
        <v>4082</v>
      </c>
      <c r="K2556" s="469">
        <v>1.84</v>
      </c>
    </row>
    <row r="2557" spans="2:11" x14ac:dyDescent="0.35">
      <c r="B2557" s="62">
        <v>12.25</v>
      </c>
      <c r="C2557" s="471">
        <v>2573</v>
      </c>
      <c r="D2557" s="471">
        <v>2556.4</v>
      </c>
      <c r="E2557" s="469">
        <v>18.27</v>
      </c>
      <c r="F2557" s="469">
        <v>14.8</v>
      </c>
      <c r="G2557" s="469">
        <v>8.6</v>
      </c>
      <c r="H2557" s="470">
        <v>177</v>
      </c>
      <c r="I2557" s="470">
        <v>706</v>
      </c>
      <c r="J2557" s="470">
        <v>4139</v>
      </c>
      <c r="K2557" s="469">
        <v>1.84</v>
      </c>
    </row>
    <row r="2558" spans="2:11" x14ac:dyDescent="0.35">
      <c r="B2558" s="62">
        <v>12.25</v>
      </c>
      <c r="C2558" s="471">
        <v>2574</v>
      </c>
      <c r="D2558" s="471">
        <v>2557.4</v>
      </c>
      <c r="E2558" s="469">
        <v>16.36</v>
      </c>
      <c r="F2558" s="469">
        <v>15</v>
      </c>
      <c r="G2558" s="469">
        <v>8.1</v>
      </c>
      <c r="H2558" s="470">
        <v>177</v>
      </c>
      <c r="I2558" s="470">
        <v>704</v>
      </c>
      <c r="J2558" s="470">
        <v>4127</v>
      </c>
      <c r="K2558" s="469">
        <v>1.84</v>
      </c>
    </row>
    <row r="2559" spans="2:11" x14ac:dyDescent="0.35">
      <c r="B2559" s="62">
        <v>12.25</v>
      </c>
      <c r="C2559" s="471">
        <v>2575</v>
      </c>
      <c r="D2559" s="471">
        <v>2558.4</v>
      </c>
      <c r="E2559" s="469">
        <v>14.81</v>
      </c>
      <c r="F2559" s="469">
        <v>14.5</v>
      </c>
      <c r="G2559" s="469">
        <v>7.9</v>
      </c>
      <c r="H2559" s="470">
        <v>177</v>
      </c>
      <c r="I2559" s="470">
        <v>705</v>
      </c>
      <c r="J2559" s="470">
        <v>4099</v>
      </c>
      <c r="K2559" s="469">
        <v>1.84</v>
      </c>
    </row>
    <row r="2560" spans="2:11" x14ac:dyDescent="0.35">
      <c r="B2560" s="62">
        <v>12.25</v>
      </c>
      <c r="C2560" s="471">
        <v>2576</v>
      </c>
      <c r="D2560" s="471">
        <v>2559.4</v>
      </c>
      <c r="E2560" s="469">
        <v>15.44</v>
      </c>
      <c r="F2560" s="469">
        <v>12.8</v>
      </c>
      <c r="G2560" s="469">
        <v>8.6</v>
      </c>
      <c r="H2560" s="470">
        <v>157</v>
      </c>
      <c r="I2560" s="470">
        <v>517</v>
      </c>
      <c r="J2560" s="470">
        <v>4101</v>
      </c>
      <c r="K2560" s="469">
        <v>1.84</v>
      </c>
    </row>
    <row r="2561" spans="2:11" x14ac:dyDescent="0.35">
      <c r="B2561" s="62">
        <v>12.25</v>
      </c>
      <c r="C2561" s="471">
        <v>2577</v>
      </c>
      <c r="D2561" s="471">
        <v>2560.3000000000002</v>
      </c>
      <c r="E2561" s="469">
        <v>39.15</v>
      </c>
      <c r="F2561" s="469">
        <v>13.4</v>
      </c>
      <c r="G2561" s="469">
        <v>10.3</v>
      </c>
      <c r="H2561" s="470">
        <v>138</v>
      </c>
      <c r="I2561" s="470">
        <v>351</v>
      </c>
      <c r="J2561" s="470">
        <v>4162</v>
      </c>
      <c r="K2561" s="469">
        <v>1.84</v>
      </c>
    </row>
    <row r="2562" spans="2:11" x14ac:dyDescent="0.35">
      <c r="B2562" s="62">
        <v>12.25</v>
      </c>
      <c r="C2562" s="471">
        <v>2578</v>
      </c>
      <c r="D2562" s="471">
        <v>2561.3000000000002</v>
      </c>
      <c r="E2562" s="469">
        <v>18.89</v>
      </c>
      <c r="F2562" s="469">
        <v>13.9</v>
      </c>
      <c r="G2562" s="469">
        <v>9.1999999999999993</v>
      </c>
      <c r="H2562" s="470">
        <v>137</v>
      </c>
      <c r="I2562" s="470">
        <v>345</v>
      </c>
      <c r="J2562" s="470">
        <v>4124</v>
      </c>
      <c r="K2562" s="469">
        <v>1.84</v>
      </c>
    </row>
    <row r="2563" spans="2:11" x14ac:dyDescent="0.35">
      <c r="B2563" s="62">
        <v>12.25</v>
      </c>
      <c r="C2563" s="471">
        <v>2579</v>
      </c>
      <c r="D2563" s="471">
        <v>2562.4</v>
      </c>
      <c r="E2563" s="469">
        <v>30.91</v>
      </c>
      <c r="F2563" s="469">
        <v>11.4</v>
      </c>
      <c r="G2563" s="469">
        <v>8.1999999999999993</v>
      </c>
      <c r="H2563" s="470">
        <v>137</v>
      </c>
      <c r="I2563" s="470">
        <v>344</v>
      </c>
      <c r="J2563" s="470">
        <v>4143</v>
      </c>
      <c r="K2563" s="469">
        <v>1.84</v>
      </c>
    </row>
    <row r="2564" spans="2:11" x14ac:dyDescent="0.35">
      <c r="B2564" s="62">
        <v>12.25</v>
      </c>
      <c r="C2564" s="471">
        <v>2580</v>
      </c>
      <c r="D2564" s="471">
        <v>2563.3000000000002</v>
      </c>
      <c r="E2564" s="469">
        <v>32.65</v>
      </c>
      <c r="F2564" s="469">
        <v>14.2</v>
      </c>
      <c r="G2564" s="469">
        <v>12.5</v>
      </c>
      <c r="H2564" s="470">
        <v>137</v>
      </c>
      <c r="I2564" s="470">
        <v>344</v>
      </c>
      <c r="J2564" s="470">
        <v>4223</v>
      </c>
      <c r="K2564" s="469">
        <v>1.84</v>
      </c>
    </row>
    <row r="2565" spans="2:11" x14ac:dyDescent="0.35">
      <c r="B2565" s="62">
        <v>12.25</v>
      </c>
      <c r="C2565" s="471">
        <v>2581</v>
      </c>
      <c r="D2565" s="471">
        <v>2564.3000000000002</v>
      </c>
      <c r="E2565" s="469">
        <v>35.950000000000003</v>
      </c>
      <c r="F2565" s="469">
        <v>13.7</v>
      </c>
      <c r="G2565" s="469">
        <v>9.6999999999999993</v>
      </c>
      <c r="H2565" s="470">
        <v>137</v>
      </c>
      <c r="I2565" s="470">
        <v>345</v>
      </c>
      <c r="J2565" s="470">
        <v>4186</v>
      </c>
      <c r="K2565" s="469">
        <v>1.84</v>
      </c>
    </row>
    <row r="2566" spans="2:11" x14ac:dyDescent="0.35">
      <c r="B2566" s="62">
        <v>12.25</v>
      </c>
      <c r="C2566" s="471">
        <v>2582</v>
      </c>
      <c r="D2566" s="471">
        <v>2565.3000000000002</v>
      </c>
      <c r="E2566" s="469">
        <v>31.64</v>
      </c>
      <c r="F2566" s="469">
        <v>14.6</v>
      </c>
      <c r="G2566" s="469">
        <v>9.6999999999999993</v>
      </c>
      <c r="H2566" s="470">
        <v>154</v>
      </c>
      <c r="I2566" s="470">
        <v>498</v>
      </c>
      <c r="J2566" s="470">
        <v>4184</v>
      </c>
      <c r="K2566" s="469">
        <v>1.84</v>
      </c>
    </row>
    <row r="2567" spans="2:11" x14ac:dyDescent="0.35">
      <c r="B2567" s="62">
        <v>12.25</v>
      </c>
      <c r="C2567" s="471">
        <v>2583</v>
      </c>
      <c r="D2567" s="471">
        <v>2566.3000000000002</v>
      </c>
      <c r="E2567" s="469">
        <v>4.8899999999999997</v>
      </c>
      <c r="F2567" s="469">
        <v>15.2</v>
      </c>
      <c r="G2567" s="469">
        <v>4.0999999999999996</v>
      </c>
      <c r="H2567" s="470">
        <v>168</v>
      </c>
      <c r="I2567" s="470">
        <v>626</v>
      </c>
      <c r="J2567" s="470">
        <v>4109</v>
      </c>
      <c r="K2567" s="469">
        <v>1.84</v>
      </c>
    </row>
    <row r="2568" spans="2:11" x14ac:dyDescent="0.35">
      <c r="B2568" s="62">
        <v>12.25</v>
      </c>
      <c r="C2568" s="471">
        <v>2584</v>
      </c>
      <c r="D2568" s="471">
        <v>2567.3000000000002</v>
      </c>
      <c r="E2568" s="469">
        <v>5.51</v>
      </c>
      <c r="F2568" s="469">
        <v>15.3</v>
      </c>
      <c r="G2568" s="469">
        <v>7.5</v>
      </c>
      <c r="H2568" s="470">
        <v>177</v>
      </c>
      <c r="I2568" s="470">
        <v>711</v>
      </c>
      <c r="J2568" s="470">
        <v>4148</v>
      </c>
      <c r="K2568" s="469">
        <v>1.84</v>
      </c>
    </row>
    <row r="2569" spans="2:11" x14ac:dyDescent="0.35">
      <c r="B2569" s="62">
        <v>12.25</v>
      </c>
      <c r="C2569" s="471">
        <v>2585</v>
      </c>
      <c r="D2569" s="471">
        <v>2568.3000000000002</v>
      </c>
      <c r="E2569" s="469">
        <v>5.7</v>
      </c>
      <c r="F2569" s="469">
        <v>16</v>
      </c>
      <c r="G2569" s="469">
        <v>4.5999999999999996</v>
      </c>
      <c r="H2569" s="470">
        <v>179</v>
      </c>
      <c r="I2569" s="470">
        <v>712</v>
      </c>
      <c r="J2569" s="470">
        <v>4177</v>
      </c>
      <c r="K2569" s="469">
        <v>1.84</v>
      </c>
    </row>
    <row r="2570" spans="2:11" x14ac:dyDescent="0.35">
      <c r="B2570" s="62">
        <v>12.25</v>
      </c>
      <c r="C2570" s="471">
        <v>2586</v>
      </c>
      <c r="D2570" s="471">
        <v>2569.3000000000002</v>
      </c>
      <c r="E2570" s="469">
        <v>3</v>
      </c>
      <c r="F2570" s="469">
        <v>15.4</v>
      </c>
      <c r="G2570" s="469">
        <v>5</v>
      </c>
      <c r="H2570" s="470">
        <v>178</v>
      </c>
      <c r="I2570" s="470">
        <v>712</v>
      </c>
      <c r="J2570" s="470">
        <v>4137</v>
      </c>
      <c r="K2570" s="469">
        <v>1.84</v>
      </c>
    </row>
    <row r="2571" spans="2:11" x14ac:dyDescent="0.35">
      <c r="B2571" s="62">
        <v>12.25</v>
      </c>
      <c r="C2571" s="471">
        <v>2587</v>
      </c>
      <c r="D2571" s="471">
        <v>2570.1999999999998</v>
      </c>
      <c r="E2571" s="469">
        <v>3.37</v>
      </c>
      <c r="F2571" s="469">
        <v>16</v>
      </c>
      <c r="G2571" s="469">
        <v>5</v>
      </c>
      <c r="H2571" s="470">
        <v>173</v>
      </c>
      <c r="I2571" s="470">
        <v>711</v>
      </c>
      <c r="J2571" s="470">
        <v>4147</v>
      </c>
      <c r="K2571" s="469">
        <v>1.84</v>
      </c>
    </row>
    <row r="2572" spans="2:11" x14ac:dyDescent="0.35">
      <c r="B2572" s="62">
        <v>12.25</v>
      </c>
      <c r="C2572" s="471">
        <v>2588</v>
      </c>
      <c r="D2572" s="471">
        <v>2571.3000000000002</v>
      </c>
      <c r="E2572" s="469">
        <v>4.1399999999999997</v>
      </c>
      <c r="F2572" s="469">
        <v>16.399999999999999</v>
      </c>
      <c r="G2572" s="469">
        <v>4.2</v>
      </c>
      <c r="H2572" s="470">
        <v>178</v>
      </c>
      <c r="I2572" s="470">
        <v>712</v>
      </c>
      <c r="J2572" s="470">
        <v>4116</v>
      </c>
      <c r="K2572" s="469">
        <v>1.84</v>
      </c>
    </row>
    <row r="2573" spans="2:11" x14ac:dyDescent="0.35">
      <c r="B2573" s="62">
        <v>12.25</v>
      </c>
      <c r="C2573" s="471">
        <v>2589</v>
      </c>
      <c r="D2573" s="471">
        <v>2572.1999999999998</v>
      </c>
      <c r="E2573" s="469">
        <v>4.46</v>
      </c>
      <c r="F2573" s="469">
        <v>16.600000000000001</v>
      </c>
      <c r="G2573" s="469">
        <v>6</v>
      </c>
      <c r="H2573" s="470">
        <v>178</v>
      </c>
      <c r="I2573" s="470">
        <v>712</v>
      </c>
      <c r="J2573" s="470">
        <v>4103</v>
      </c>
      <c r="K2573" s="469">
        <v>1.84</v>
      </c>
    </row>
    <row r="2574" spans="2:11" x14ac:dyDescent="0.35">
      <c r="B2574" s="62">
        <v>12.25</v>
      </c>
      <c r="C2574" s="471">
        <v>2590</v>
      </c>
      <c r="D2574" s="471">
        <v>2573.1999999999998</v>
      </c>
      <c r="E2574" s="469">
        <v>4.53</v>
      </c>
      <c r="F2574" s="469">
        <v>16.100000000000001</v>
      </c>
      <c r="G2574" s="469">
        <v>6.1</v>
      </c>
      <c r="H2574" s="470">
        <v>178</v>
      </c>
      <c r="I2574" s="470">
        <v>712</v>
      </c>
      <c r="J2574" s="470">
        <v>4102</v>
      </c>
      <c r="K2574" s="469">
        <v>1.84</v>
      </c>
    </row>
    <row r="2575" spans="2:11" x14ac:dyDescent="0.35">
      <c r="B2575" s="62">
        <v>12.25</v>
      </c>
      <c r="C2575" s="471">
        <v>2591</v>
      </c>
      <c r="D2575" s="471">
        <v>2574.1999999999998</v>
      </c>
      <c r="E2575" s="469">
        <v>5.91</v>
      </c>
      <c r="F2575" s="469">
        <v>16.100000000000001</v>
      </c>
      <c r="G2575" s="469">
        <v>6.4</v>
      </c>
      <c r="H2575" s="470">
        <v>178</v>
      </c>
      <c r="I2575" s="470">
        <v>712</v>
      </c>
      <c r="J2575" s="470">
        <v>4125</v>
      </c>
      <c r="K2575" s="469">
        <v>1.84</v>
      </c>
    </row>
    <row r="2576" spans="2:11" x14ac:dyDescent="0.35">
      <c r="B2576" s="62">
        <v>12.25</v>
      </c>
      <c r="C2576" s="471">
        <v>2592</v>
      </c>
      <c r="D2576" s="471">
        <v>2575.1999999999998</v>
      </c>
      <c r="E2576" s="469">
        <v>5.29</v>
      </c>
      <c r="F2576" s="469">
        <v>15.9</v>
      </c>
      <c r="G2576" s="469">
        <v>6.4</v>
      </c>
      <c r="H2576" s="470">
        <v>178</v>
      </c>
      <c r="I2576" s="470">
        <v>712</v>
      </c>
      <c r="J2576" s="470">
        <v>4120</v>
      </c>
      <c r="K2576" s="469">
        <v>1.84</v>
      </c>
    </row>
    <row r="2577" spans="2:11" x14ac:dyDescent="0.35">
      <c r="B2577" s="62">
        <v>12.25</v>
      </c>
      <c r="C2577" s="471">
        <v>2593</v>
      </c>
      <c r="D2577" s="471">
        <v>2576.1999999999998</v>
      </c>
      <c r="E2577" s="469">
        <v>4.5999999999999996</v>
      </c>
      <c r="F2577" s="469">
        <v>9.4</v>
      </c>
      <c r="G2577" s="469">
        <v>5.0999999999999996</v>
      </c>
      <c r="H2577" s="470">
        <v>157</v>
      </c>
      <c r="I2577" s="470">
        <v>521</v>
      </c>
      <c r="J2577" s="470">
        <v>4041</v>
      </c>
      <c r="K2577" s="469">
        <v>1.84</v>
      </c>
    </row>
    <row r="2578" spans="2:11" x14ac:dyDescent="0.35">
      <c r="B2578" s="62">
        <v>12.25</v>
      </c>
      <c r="C2578" s="471">
        <v>2594</v>
      </c>
      <c r="D2578" s="471">
        <v>2577.1999999999998</v>
      </c>
      <c r="E2578" s="469">
        <v>5.74</v>
      </c>
      <c r="F2578" s="469">
        <v>15.5</v>
      </c>
      <c r="G2578" s="469">
        <v>5.6</v>
      </c>
      <c r="H2578" s="470">
        <v>176</v>
      </c>
      <c r="I2578" s="470">
        <v>691</v>
      </c>
      <c r="J2578" s="470">
        <v>4113</v>
      </c>
      <c r="K2578" s="469">
        <v>1.84</v>
      </c>
    </row>
    <row r="2579" spans="2:11" x14ac:dyDescent="0.35">
      <c r="B2579" s="62">
        <v>12.25</v>
      </c>
      <c r="C2579" s="471">
        <v>2595</v>
      </c>
      <c r="D2579" s="471">
        <v>2578.1</v>
      </c>
      <c r="E2579" s="469">
        <v>4.97</v>
      </c>
      <c r="F2579" s="469">
        <v>16.100000000000001</v>
      </c>
      <c r="G2579" s="469">
        <v>4.7</v>
      </c>
      <c r="H2579" s="470">
        <v>178</v>
      </c>
      <c r="I2579" s="470">
        <v>704</v>
      </c>
      <c r="J2579" s="470">
        <v>4099</v>
      </c>
      <c r="K2579" s="469">
        <v>1.84</v>
      </c>
    </row>
    <row r="2580" spans="2:11" x14ac:dyDescent="0.35">
      <c r="B2580" s="62">
        <v>12.25</v>
      </c>
      <c r="C2580" s="471">
        <v>2596</v>
      </c>
      <c r="D2580" s="471">
        <v>2579.1999999999998</v>
      </c>
      <c r="E2580" s="469">
        <v>3.74</v>
      </c>
      <c r="F2580" s="469">
        <v>16</v>
      </c>
      <c r="G2580" s="469">
        <v>4.5999999999999996</v>
      </c>
      <c r="H2580" s="470">
        <v>178</v>
      </c>
      <c r="I2580" s="470">
        <v>706</v>
      </c>
      <c r="J2580" s="470">
        <v>4059</v>
      </c>
      <c r="K2580" s="469">
        <v>1.84</v>
      </c>
    </row>
    <row r="2581" spans="2:11" x14ac:dyDescent="0.35">
      <c r="B2581" s="62">
        <v>12.25</v>
      </c>
      <c r="C2581" s="471">
        <v>2597</v>
      </c>
      <c r="D2581" s="471">
        <v>2580.1999999999998</v>
      </c>
      <c r="E2581" s="469">
        <v>6.47</v>
      </c>
      <c r="F2581" s="469">
        <v>15.5</v>
      </c>
      <c r="G2581" s="469">
        <v>7.8</v>
      </c>
      <c r="H2581" s="470">
        <v>178</v>
      </c>
      <c r="I2581" s="470">
        <v>704</v>
      </c>
      <c r="J2581" s="470">
        <v>4073</v>
      </c>
      <c r="K2581" s="469">
        <v>1.84</v>
      </c>
    </row>
    <row r="2582" spans="2:11" x14ac:dyDescent="0.35">
      <c r="B2582" s="62">
        <v>12.25</v>
      </c>
      <c r="C2582" s="471">
        <v>2598</v>
      </c>
      <c r="D2582" s="471">
        <v>2581.1</v>
      </c>
      <c r="E2582" s="469">
        <v>7.46</v>
      </c>
      <c r="F2582" s="469">
        <v>15.8</v>
      </c>
      <c r="G2582" s="469">
        <v>7.2</v>
      </c>
      <c r="H2582" s="470">
        <v>177</v>
      </c>
      <c r="I2582" s="470">
        <v>700</v>
      </c>
      <c r="J2582" s="470">
        <v>4102</v>
      </c>
      <c r="K2582" s="469">
        <v>1.84</v>
      </c>
    </row>
    <row r="2583" spans="2:11" x14ac:dyDescent="0.35">
      <c r="B2583" s="62">
        <v>12.25</v>
      </c>
      <c r="C2583" s="471">
        <v>2599</v>
      </c>
      <c r="D2583" s="471">
        <v>2582.1999999999998</v>
      </c>
      <c r="E2583" s="469">
        <v>6.31</v>
      </c>
      <c r="F2583" s="469">
        <v>15.9</v>
      </c>
      <c r="G2583" s="469">
        <v>6.7</v>
      </c>
      <c r="H2583" s="470">
        <v>178</v>
      </c>
      <c r="I2583" s="470">
        <v>702</v>
      </c>
      <c r="J2583" s="470">
        <v>4105</v>
      </c>
      <c r="K2583" s="469">
        <v>1.84</v>
      </c>
    </row>
    <row r="2584" spans="2:11" x14ac:dyDescent="0.35">
      <c r="B2584" s="62">
        <v>12.25</v>
      </c>
      <c r="C2584" s="471">
        <v>2600</v>
      </c>
      <c r="D2584" s="471">
        <v>2583.1</v>
      </c>
      <c r="E2584" s="469">
        <v>5.24</v>
      </c>
      <c r="F2584" s="469">
        <v>16</v>
      </c>
      <c r="G2584" s="469">
        <v>4.5</v>
      </c>
      <c r="H2584" s="470">
        <v>178</v>
      </c>
      <c r="I2584" s="470">
        <v>704</v>
      </c>
      <c r="J2584" s="470">
        <v>4069</v>
      </c>
      <c r="K2584" s="469">
        <v>1.84</v>
      </c>
    </row>
    <row r="2585" spans="2:11" x14ac:dyDescent="0.35">
      <c r="B2585" s="62">
        <v>12.25</v>
      </c>
      <c r="C2585" s="471">
        <v>2601</v>
      </c>
      <c r="D2585" s="471">
        <v>2584.1</v>
      </c>
      <c r="E2585" s="469">
        <v>9.25</v>
      </c>
      <c r="F2585" s="469">
        <v>15.2</v>
      </c>
      <c r="G2585" s="469">
        <v>5.4</v>
      </c>
      <c r="H2585" s="470">
        <v>178</v>
      </c>
      <c r="I2585" s="470">
        <v>706</v>
      </c>
      <c r="J2585" s="470">
        <v>4056</v>
      </c>
      <c r="K2585" s="469">
        <v>1.84</v>
      </c>
    </row>
    <row r="2586" spans="2:11" x14ac:dyDescent="0.35">
      <c r="B2586" s="62">
        <v>12.25</v>
      </c>
      <c r="C2586" s="471">
        <v>2602</v>
      </c>
      <c r="D2586" s="471">
        <v>2585.1</v>
      </c>
      <c r="E2586" s="469">
        <v>5.32</v>
      </c>
      <c r="F2586" s="469">
        <v>16.100000000000001</v>
      </c>
      <c r="G2586" s="469">
        <v>5.6</v>
      </c>
      <c r="H2586" s="470">
        <v>178</v>
      </c>
      <c r="I2586" s="470">
        <v>714</v>
      </c>
      <c r="J2586" s="470">
        <v>4107</v>
      </c>
      <c r="K2586" s="469">
        <v>1.84</v>
      </c>
    </row>
    <row r="2587" spans="2:11" x14ac:dyDescent="0.35">
      <c r="B2587" s="62">
        <v>12.25</v>
      </c>
      <c r="C2587" s="471">
        <v>2603</v>
      </c>
      <c r="D2587" s="471">
        <v>2586</v>
      </c>
      <c r="E2587" s="469">
        <v>5.03</v>
      </c>
      <c r="F2587" s="469">
        <v>16.5</v>
      </c>
      <c r="G2587" s="469">
        <v>7.3</v>
      </c>
      <c r="H2587" s="470">
        <v>177</v>
      </c>
      <c r="I2587" s="470">
        <v>706</v>
      </c>
      <c r="J2587" s="470">
        <v>4102</v>
      </c>
      <c r="K2587" s="469">
        <v>1.84</v>
      </c>
    </row>
    <row r="2588" spans="2:11" x14ac:dyDescent="0.35">
      <c r="B2588" s="62">
        <v>12.25</v>
      </c>
      <c r="C2588" s="471">
        <v>2604</v>
      </c>
      <c r="D2588" s="471">
        <v>2587</v>
      </c>
      <c r="E2588" s="469">
        <v>5.17</v>
      </c>
      <c r="F2588" s="469">
        <v>15</v>
      </c>
      <c r="G2588" s="469">
        <v>5.3</v>
      </c>
      <c r="H2588" s="470">
        <v>177</v>
      </c>
      <c r="I2588" s="470">
        <v>708</v>
      </c>
      <c r="J2588" s="470">
        <v>4070</v>
      </c>
      <c r="K2588" s="469">
        <v>1.84</v>
      </c>
    </row>
    <row r="2589" spans="2:11" x14ac:dyDescent="0.35">
      <c r="B2589" s="62">
        <v>12.25</v>
      </c>
      <c r="C2589" s="471">
        <v>2605</v>
      </c>
      <c r="D2589" s="471">
        <v>2588</v>
      </c>
      <c r="E2589" s="469">
        <v>5.1100000000000003</v>
      </c>
      <c r="F2589" s="469">
        <v>16</v>
      </c>
      <c r="G2589" s="469">
        <v>6.6</v>
      </c>
      <c r="H2589" s="470">
        <v>174</v>
      </c>
      <c r="I2589" s="470">
        <v>679</v>
      </c>
      <c r="J2589" s="470">
        <v>3820</v>
      </c>
      <c r="K2589" s="469">
        <v>1.84</v>
      </c>
    </row>
    <row r="2590" spans="2:11" x14ac:dyDescent="0.35">
      <c r="B2590" s="62">
        <v>12.25</v>
      </c>
      <c r="C2590" s="471">
        <v>2606</v>
      </c>
      <c r="D2590" s="471">
        <v>2589</v>
      </c>
      <c r="E2590" s="469">
        <v>7.34</v>
      </c>
      <c r="F2590" s="469">
        <v>15.4</v>
      </c>
      <c r="G2590" s="469">
        <v>7.7</v>
      </c>
      <c r="H2590" s="470">
        <v>174</v>
      </c>
      <c r="I2590" s="470">
        <v>682</v>
      </c>
      <c r="J2590" s="470">
        <v>3830</v>
      </c>
      <c r="K2590" s="469">
        <v>1.84</v>
      </c>
    </row>
    <row r="2591" spans="2:11" x14ac:dyDescent="0.35">
      <c r="B2591" s="62">
        <v>12.25</v>
      </c>
      <c r="C2591" s="471">
        <v>2607</v>
      </c>
      <c r="D2591" s="471">
        <v>2590</v>
      </c>
      <c r="E2591" s="469">
        <v>4.12</v>
      </c>
      <c r="F2591" s="469">
        <v>16.2</v>
      </c>
      <c r="G2591" s="469">
        <v>6.1</v>
      </c>
      <c r="H2591" s="470">
        <v>174</v>
      </c>
      <c r="I2591" s="470">
        <v>681</v>
      </c>
      <c r="J2591" s="470">
        <v>3811</v>
      </c>
      <c r="K2591" s="469">
        <v>1.84</v>
      </c>
    </row>
    <row r="2592" spans="2:11" x14ac:dyDescent="0.35">
      <c r="B2592" s="62">
        <v>12.25</v>
      </c>
      <c r="C2592" s="471">
        <v>2608</v>
      </c>
      <c r="D2592" s="471">
        <v>2591</v>
      </c>
      <c r="E2592" s="469">
        <v>4.42</v>
      </c>
      <c r="F2592" s="469">
        <v>15.8</v>
      </c>
      <c r="G2592" s="469">
        <v>4.8</v>
      </c>
      <c r="H2592" s="470">
        <v>177</v>
      </c>
      <c r="I2592" s="470">
        <v>704</v>
      </c>
      <c r="J2592" s="470">
        <v>3994</v>
      </c>
      <c r="K2592" s="469">
        <v>1.84</v>
      </c>
    </row>
    <row r="2593" spans="2:11" x14ac:dyDescent="0.35">
      <c r="B2593" s="62">
        <v>12.25</v>
      </c>
      <c r="C2593" s="471">
        <v>2609</v>
      </c>
      <c r="D2593" s="471">
        <v>2592</v>
      </c>
      <c r="E2593" s="469">
        <v>4.76</v>
      </c>
      <c r="F2593" s="469">
        <v>15.9</v>
      </c>
      <c r="G2593" s="469">
        <v>5</v>
      </c>
      <c r="H2593" s="470">
        <v>178</v>
      </c>
      <c r="I2593" s="470">
        <v>711</v>
      </c>
      <c r="J2593" s="470">
        <v>4038</v>
      </c>
      <c r="K2593" s="469">
        <v>1.84</v>
      </c>
    </row>
    <row r="2594" spans="2:11" x14ac:dyDescent="0.35">
      <c r="B2594" s="62">
        <v>12.25</v>
      </c>
      <c r="C2594" s="471">
        <v>2610</v>
      </c>
      <c r="D2594" s="471">
        <v>2592.9</v>
      </c>
      <c r="E2594" s="469">
        <v>4.72</v>
      </c>
      <c r="F2594" s="469">
        <v>16.100000000000001</v>
      </c>
      <c r="G2594" s="469">
        <v>7.4</v>
      </c>
      <c r="H2594" s="470">
        <v>178</v>
      </c>
      <c r="I2594" s="470">
        <v>707</v>
      </c>
      <c r="J2594" s="470">
        <v>4024</v>
      </c>
      <c r="K2594" s="469">
        <v>1.84</v>
      </c>
    </row>
    <row r="2595" spans="2:11" x14ac:dyDescent="0.35">
      <c r="B2595" s="62">
        <v>12.25</v>
      </c>
      <c r="C2595" s="471">
        <v>2611</v>
      </c>
      <c r="D2595" s="471">
        <v>2593.9</v>
      </c>
      <c r="E2595" s="469">
        <v>5.6</v>
      </c>
      <c r="F2595" s="469">
        <v>14.9</v>
      </c>
      <c r="G2595" s="469">
        <v>7.7</v>
      </c>
      <c r="H2595" s="470">
        <v>177</v>
      </c>
      <c r="I2595" s="470">
        <v>703</v>
      </c>
      <c r="J2595" s="470">
        <v>4064</v>
      </c>
      <c r="K2595" s="469">
        <v>1.84</v>
      </c>
    </row>
    <row r="2596" spans="2:11" x14ac:dyDescent="0.35">
      <c r="B2596" s="62">
        <v>12.25</v>
      </c>
      <c r="C2596" s="471">
        <v>2612</v>
      </c>
      <c r="D2596" s="471">
        <v>2594.9</v>
      </c>
      <c r="E2596" s="469">
        <v>22.78</v>
      </c>
      <c r="F2596" s="469">
        <v>12.9</v>
      </c>
      <c r="G2596" s="469">
        <v>10.5</v>
      </c>
      <c r="H2596" s="470">
        <v>177</v>
      </c>
      <c r="I2596" s="470">
        <v>701</v>
      </c>
      <c r="J2596" s="470">
        <v>4109</v>
      </c>
      <c r="K2596" s="469">
        <v>1.84</v>
      </c>
    </row>
    <row r="2597" spans="2:11" x14ac:dyDescent="0.35">
      <c r="B2597" s="62">
        <v>12.25</v>
      </c>
      <c r="C2597" s="471">
        <v>2613</v>
      </c>
      <c r="D2597" s="471">
        <v>2595.9</v>
      </c>
      <c r="E2597" s="469">
        <v>19.77</v>
      </c>
      <c r="F2597" s="469">
        <v>12.5</v>
      </c>
      <c r="G2597" s="469">
        <v>6.1</v>
      </c>
      <c r="H2597" s="470">
        <v>177</v>
      </c>
      <c r="I2597" s="470">
        <v>699</v>
      </c>
      <c r="J2597" s="470">
        <v>4115</v>
      </c>
      <c r="K2597" s="469">
        <v>1.84</v>
      </c>
    </row>
    <row r="2598" spans="2:11" x14ac:dyDescent="0.35">
      <c r="B2598" s="62">
        <v>12.25</v>
      </c>
      <c r="C2598" s="471">
        <v>2614</v>
      </c>
      <c r="D2598" s="471">
        <v>2596.9</v>
      </c>
      <c r="E2598" s="469">
        <v>26.11</v>
      </c>
      <c r="F2598" s="469">
        <v>10.9</v>
      </c>
      <c r="G2598" s="469">
        <v>7.2</v>
      </c>
      <c r="H2598" s="470">
        <v>176</v>
      </c>
      <c r="I2598" s="470">
        <v>700</v>
      </c>
      <c r="J2598" s="470">
        <v>4120</v>
      </c>
      <c r="K2598" s="469">
        <v>1.84</v>
      </c>
    </row>
    <row r="2599" spans="2:11" x14ac:dyDescent="0.35">
      <c r="B2599" s="62">
        <v>12.25</v>
      </c>
      <c r="C2599" s="471">
        <v>2615</v>
      </c>
      <c r="D2599" s="471">
        <v>2597.9</v>
      </c>
      <c r="E2599" s="469">
        <v>22.53</v>
      </c>
      <c r="F2599" s="469">
        <v>11.3</v>
      </c>
      <c r="G2599" s="469">
        <v>9.3000000000000007</v>
      </c>
      <c r="H2599" s="470">
        <v>177</v>
      </c>
      <c r="I2599" s="470">
        <v>700</v>
      </c>
      <c r="J2599" s="470">
        <v>4132</v>
      </c>
      <c r="K2599" s="469">
        <v>1.84</v>
      </c>
    </row>
    <row r="2600" spans="2:11" x14ac:dyDescent="0.35">
      <c r="B2600" s="62">
        <v>12.25</v>
      </c>
      <c r="C2600" s="471">
        <v>2616</v>
      </c>
      <c r="D2600" s="471">
        <v>2598.9</v>
      </c>
      <c r="E2600" s="469">
        <v>17.36</v>
      </c>
      <c r="F2600" s="469">
        <v>12.6</v>
      </c>
      <c r="G2600" s="469">
        <v>7.7</v>
      </c>
      <c r="H2600" s="470">
        <v>178</v>
      </c>
      <c r="I2600" s="470">
        <v>704</v>
      </c>
      <c r="J2600" s="470">
        <v>4107</v>
      </c>
      <c r="K2600" s="469">
        <v>1.84</v>
      </c>
    </row>
    <row r="2601" spans="2:11" x14ac:dyDescent="0.35">
      <c r="B2601" s="62">
        <v>12.25</v>
      </c>
      <c r="C2601" s="471">
        <v>2617</v>
      </c>
      <c r="D2601" s="471">
        <v>2599.9</v>
      </c>
      <c r="E2601" s="469">
        <v>19.579999999999998</v>
      </c>
      <c r="F2601" s="469">
        <v>13.6</v>
      </c>
      <c r="G2601" s="469">
        <v>5.0999999999999996</v>
      </c>
      <c r="H2601" s="470">
        <v>178</v>
      </c>
      <c r="I2601" s="470">
        <v>706</v>
      </c>
      <c r="J2601" s="470">
        <v>4154</v>
      </c>
      <c r="K2601" s="469">
        <v>1.84</v>
      </c>
    </row>
    <row r="2602" spans="2:11" x14ac:dyDescent="0.35">
      <c r="B2602" s="62">
        <v>12.25</v>
      </c>
      <c r="C2602" s="471">
        <v>2618</v>
      </c>
      <c r="D2602" s="471">
        <v>2600.8000000000002</v>
      </c>
      <c r="E2602" s="469">
        <v>18.399999999999999</v>
      </c>
      <c r="F2602" s="469">
        <v>14.1</v>
      </c>
      <c r="G2602" s="469">
        <v>6.1</v>
      </c>
      <c r="H2602" s="470">
        <v>178</v>
      </c>
      <c r="I2602" s="470">
        <v>706</v>
      </c>
      <c r="J2602" s="470">
        <v>4163</v>
      </c>
      <c r="K2602" s="469">
        <v>1.84</v>
      </c>
    </row>
    <row r="2603" spans="2:11" x14ac:dyDescent="0.35">
      <c r="B2603" s="62">
        <v>12.25</v>
      </c>
      <c r="C2603" s="471">
        <v>2619</v>
      </c>
      <c r="D2603" s="471">
        <v>2601.8000000000002</v>
      </c>
      <c r="E2603" s="469">
        <v>20.78</v>
      </c>
      <c r="F2603" s="469">
        <v>13.3</v>
      </c>
      <c r="G2603" s="469">
        <v>8.6999999999999993</v>
      </c>
      <c r="H2603" s="470">
        <v>177</v>
      </c>
      <c r="I2603" s="470">
        <v>706</v>
      </c>
      <c r="J2603" s="470">
        <v>4219</v>
      </c>
      <c r="K2603" s="469">
        <v>1.84</v>
      </c>
    </row>
    <row r="2604" spans="2:11" x14ac:dyDescent="0.35">
      <c r="B2604" s="62">
        <v>12.25</v>
      </c>
      <c r="C2604" s="471">
        <v>2620</v>
      </c>
      <c r="D2604" s="471">
        <v>2602.8000000000002</v>
      </c>
      <c r="E2604" s="469">
        <v>12.89</v>
      </c>
      <c r="F2604" s="469">
        <v>14.6</v>
      </c>
      <c r="G2604" s="469">
        <v>8.3000000000000007</v>
      </c>
      <c r="H2604" s="470">
        <v>178</v>
      </c>
      <c r="I2604" s="470">
        <v>703</v>
      </c>
      <c r="J2604" s="470">
        <v>4241</v>
      </c>
      <c r="K2604" s="469">
        <v>1.84</v>
      </c>
    </row>
    <row r="2605" spans="2:11" x14ac:dyDescent="0.35">
      <c r="B2605" s="62">
        <v>12.25</v>
      </c>
      <c r="C2605" s="471">
        <v>2621</v>
      </c>
      <c r="D2605" s="471">
        <v>2603.8000000000002</v>
      </c>
      <c r="E2605" s="469">
        <v>7.36</v>
      </c>
      <c r="F2605" s="469">
        <v>15.1</v>
      </c>
      <c r="G2605" s="469">
        <v>7.2</v>
      </c>
      <c r="H2605" s="470">
        <v>177</v>
      </c>
      <c r="I2605" s="470">
        <v>698</v>
      </c>
      <c r="J2605" s="470">
        <v>4160</v>
      </c>
      <c r="K2605" s="469">
        <v>1.84</v>
      </c>
    </row>
    <row r="2606" spans="2:11" x14ac:dyDescent="0.35">
      <c r="B2606" s="62">
        <v>12.25</v>
      </c>
      <c r="C2606" s="471">
        <v>2622</v>
      </c>
      <c r="D2606" s="471">
        <v>2604.8000000000002</v>
      </c>
      <c r="E2606" s="469">
        <v>3.83</v>
      </c>
      <c r="F2606" s="469">
        <v>13.3</v>
      </c>
      <c r="G2606" s="469">
        <v>7.1</v>
      </c>
      <c r="H2606" s="470">
        <v>176</v>
      </c>
      <c r="I2606" s="470">
        <v>705</v>
      </c>
      <c r="J2606" s="470">
        <v>4008</v>
      </c>
      <c r="K2606" s="469">
        <v>1.84</v>
      </c>
    </row>
    <row r="2607" spans="2:11" x14ac:dyDescent="0.35">
      <c r="B2607" s="62">
        <v>12.25</v>
      </c>
      <c r="C2607" s="471">
        <v>2623</v>
      </c>
      <c r="D2607" s="471">
        <v>2605.8000000000002</v>
      </c>
      <c r="E2607" s="469">
        <v>7.65</v>
      </c>
      <c r="F2607" s="469">
        <v>15.4</v>
      </c>
      <c r="G2607" s="469">
        <v>6.6</v>
      </c>
      <c r="H2607" s="470">
        <v>175</v>
      </c>
      <c r="I2607" s="470">
        <v>715</v>
      </c>
      <c r="J2607" s="470">
        <v>4066</v>
      </c>
      <c r="K2607" s="469">
        <v>1.84</v>
      </c>
    </row>
    <row r="2608" spans="2:11" x14ac:dyDescent="0.35">
      <c r="B2608" s="62">
        <v>12.25</v>
      </c>
      <c r="C2608" s="471">
        <v>2624</v>
      </c>
      <c r="D2608" s="471">
        <v>2606.8000000000002</v>
      </c>
      <c r="E2608" s="469">
        <v>2.84</v>
      </c>
      <c r="F2608" s="469">
        <v>14.3</v>
      </c>
      <c r="G2608" s="469">
        <v>5.9</v>
      </c>
      <c r="H2608" s="470">
        <v>176</v>
      </c>
      <c r="I2608" s="470">
        <v>718</v>
      </c>
      <c r="J2608" s="470">
        <v>4112</v>
      </c>
      <c r="K2608" s="469">
        <v>1.84</v>
      </c>
    </row>
    <row r="2609" spans="2:11" x14ac:dyDescent="0.35">
      <c r="B2609" s="62">
        <v>12.25</v>
      </c>
      <c r="C2609" s="471">
        <v>2625</v>
      </c>
      <c r="D2609" s="471">
        <v>2607.6999999999998</v>
      </c>
      <c r="E2609" s="469">
        <v>2.98</v>
      </c>
      <c r="F2609" s="469">
        <v>13.6</v>
      </c>
      <c r="G2609" s="469">
        <v>4.4000000000000004</v>
      </c>
      <c r="H2609" s="470">
        <v>176</v>
      </c>
      <c r="I2609" s="470">
        <v>727</v>
      </c>
      <c r="J2609" s="470">
        <v>4227</v>
      </c>
      <c r="K2609" s="469">
        <v>1.84</v>
      </c>
    </row>
    <row r="2610" spans="2:11" x14ac:dyDescent="0.35">
      <c r="B2610" s="62">
        <v>12.25</v>
      </c>
      <c r="C2610" s="471">
        <v>2626</v>
      </c>
      <c r="D2610" s="471">
        <v>2608.6999999999998</v>
      </c>
      <c r="E2610" s="469">
        <v>14.22</v>
      </c>
      <c r="F2610" s="469">
        <v>11.1</v>
      </c>
      <c r="G2610" s="469">
        <v>6.9</v>
      </c>
      <c r="H2610" s="470">
        <v>175</v>
      </c>
      <c r="I2610" s="470">
        <v>715</v>
      </c>
      <c r="J2610" s="470">
        <v>4265</v>
      </c>
      <c r="K2610" s="469">
        <v>1.84</v>
      </c>
    </row>
    <row r="2611" spans="2:11" x14ac:dyDescent="0.35">
      <c r="B2611" s="62">
        <v>12.25</v>
      </c>
      <c r="C2611" s="471">
        <v>2627</v>
      </c>
      <c r="D2611" s="471">
        <v>2609.6999999999998</v>
      </c>
      <c r="E2611" s="469">
        <v>12.99</v>
      </c>
      <c r="F2611" s="469">
        <v>11.9</v>
      </c>
      <c r="G2611" s="469">
        <v>6.9</v>
      </c>
      <c r="H2611" s="470">
        <v>175</v>
      </c>
      <c r="I2611" s="470">
        <v>712</v>
      </c>
      <c r="J2611" s="470">
        <v>4243</v>
      </c>
      <c r="K2611" s="469">
        <v>1.84</v>
      </c>
    </row>
    <row r="2612" spans="2:11" x14ac:dyDescent="0.35">
      <c r="B2612" s="62">
        <v>12.25</v>
      </c>
      <c r="C2612" s="471">
        <v>2628</v>
      </c>
      <c r="D2612" s="471">
        <v>2610.6999999999998</v>
      </c>
      <c r="E2612" s="469">
        <v>16.670000000000002</v>
      </c>
      <c r="F2612" s="469">
        <v>12.7</v>
      </c>
      <c r="G2612" s="469">
        <v>7.9</v>
      </c>
      <c r="H2612" s="470">
        <v>174</v>
      </c>
      <c r="I2612" s="470">
        <v>705</v>
      </c>
      <c r="J2612" s="470">
        <v>4233</v>
      </c>
      <c r="K2612" s="469">
        <v>1.84</v>
      </c>
    </row>
    <row r="2613" spans="2:11" x14ac:dyDescent="0.35">
      <c r="B2613" s="62">
        <v>12.25</v>
      </c>
      <c r="C2613" s="471">
        <v>2629</v>
      </c>
      <c r="D2613" s="471">
        <v>2611.6999999999998</v>
      </c>
      <c r="E2613" s="469">
        <v>16</v>
      </c>
      <c r="F2613" s="469">
        <v>12.8</v>
      </c>
      <c r="G2613" s="469">
        <v>7</v>
      </c>
      <c r="H2613" s="470">
        <v>174</v>
      </c>
      <c r="I2613" s="470">
        <v>706</v>
      </c>
      <c r="J2613" s="470">
        <v>4227</v>
      </c>
      <c r="K2613" s="469">
        <v>1.84</v>
      </c>
    </row>
    <row r="2614" spans="2:11" x14ac:dyDescent="0.35">
      <c r="B2614" s="62">
        <v>12.25</v>
      </c>
      <c r="C2614" s="471">
        <v>2630</v>
      </c>
      <c r="D2614" s="471">
        <v>2612.6</v>
      </c>
      <c r="E2614" s="469">
        <v>16.010000000000002</v>
      </c>
      <c r="F2614" s="469">
        <v>12.4</v>
      </c>
      <c r="G2614" s="469">
        <v>7.9</v>
      </c>
      <c r="H2614" s="470">
        <v>175</v>
      </c>
      <c r="I2614" s="470">
        <v>706</v>
      </c>
      <c r="J2614" s="470">
        <v>4162</v>
      </c>
      <c r="K2614" s="469">
        <v>1.84</v>
      </c>
    </row>
    <row r="2615" spans="2:11" x14ac:dyDescent="0.35">
      <c r="B2615" s="62">
        <v>12.25</v>
      </c>
      <c r="C2615" s="471">
        <v>2631</v>
      </c>
      <c r="D2615" s="471">
        <v>2613.6999999999998</v>
      </c>
      <c r="E2615" s="469">
        <v>26.99</v>
      </c>
      <c r="F2615" s="469">
        <v>11.9</v>
      </c>
      <c r="G2615" s="469">
        <v>7.9</v>
      </c>
      <c r="H2615" s="470">
        <v>176</v>
      </c>
      <c r="I2615" s="470">
        <v>700</v>
      </c>
      <c r="J2615" s="470">
        <v>4183</v>
      </c>
      <c r="K2615" s="469">
        <v>1.84</v>
      </c>
    </row>
    <row r="2616" spans="2:11" x14ac:dyDescent="0.35">
      <c r="B2616" s="62">
        <v>12.25</v>
      </c>
      <c r="C2616" s="471">
        <v>2632</v>
      </c>
      <c r="D2616" s="471">
        <v>2614.6999999999998</v>
      </c>
      <c r="E2616" s="469">
        <v>23.17</v>
      </c>
      <c r="F2616" s="469">
        <v>12</v>
      </c>
      <c r="G2616" s="469">
        <v>9.4</v>
      </c>
      <c r="H2616" s="470">
        <v>176</v>
      </c>
      <c r="I2616" s="470">
        <v>707</v>
      </c>
      <c r="J2616" s="470">
        <v>4206</v>
      </c>
      <c r="K2616" s="469">
        <v>1.84</v>
      </c>
    </row>
    <row r="2617" spans="2:11" x14ac:dyDescent="0.35">
      <c r="B2617" s="62">
        <v>12.25</v>
      </c>
      <c r="C2617" s="471">
        <v>2633</v>
      </c>
      <c r="D2617" s="471">
        <v>2615.6</v>
      </c>
      <c r="E2617" s="469">
        <v>10.52</v>
      </c>
      <c r="F2617" s="469">
        <v>12.7</v>
      </c>
      <c r="G2617" s="469">
        <v>6.9</v>
      </c>
      <c r="H2617" s="470">
        <v>177</v>
      </c>
      <c r="I2617" s="470">
        <v>705</v>
      </c>
      <c r="J2617" s="470">
        <v>4177</v>
      </c>
      <c r="K2617" s="469">
        <v>1.84</v>
      </c>
    </row>
    <row r="2618" spans="2:11" x14ac:dyDescent="0.35">
      <c r="B2618" s="62">
        <v>12.25</v>
      </c>
      <c r="C2618" s="471">
        <v>2634</v>
      </c>
      <c r="D2618" s="471">
        <v>2616.6</v>
      </c>
      <c r="E2618" s="469">
        <v>24.14</v>
      </c>
      <c r="F2618" s="469">
        <v>11.8</v>
      </c>
      <c r="G2618" s="469">
        <v>8</v>
      </c>
      <c r="H2618" s="470">
        <v>177</v>
      </c>
      <c r="I2618" s="470">
        <v>706</v>
      </c>
      <c r="J2618" s="470">
        <v>4245</v>
      </c>
      <c r="K2618" s="469">
        <v>1.84</v>
      </c>
    </row>
    <row r="2619" spans="2:11" x14ac:dyDescent="0.35">
      <c r="B2619" s="62">
        <v>12.25</v>
      </c>
      <c r="C2619" s="471">
        <v>2635</v>
      </c>
      <c r="D2619" s="471">
        <v>2617.6</v>
      </c>
      <c r="E2619" s="469">
        <v>13.92</v>
      </c>
      <c r="F2619" s="469">
        <v>12.2</v>
      </c>
      <c r="G2619" s="469">
        <v>7.5</v>
      </c>
      <c r="H2619" s="470">
        <v>177</v>
      </c>
      <c r="I2619" s="470">
        <v>708</v>
      </c>
      <c r="J2619" s="470">
        <v>4188</v>
      </c>
      <c r="K2619" s="469">
        <v>1.84</v>
      </c>
    </row>
    <row r="2620" spans="2:11" x14ac:dyDescent="0.35">
      <c r="B2620" s="62">
        <v>12.25</v>
      </c>
      <c r="C2620" s="471">
        <v>2636</v>
      </c>
      <c r="D2620" s="471">
        <v>2618.6</v>
      </c>
      <c r="E2620" s="469">
        <v>10.83</v>
      </c>
      <c r="F2620" s="469">
        <v>12.7</v>
      </c>
      <c r="G2620" s="469">
        <v>6.6</v>
      </c>
      <c r="H2620" s="470">
        <v>178</v>
      </c>
      <c r="I2620" s="470">
        <v>714</v>
      </c>
      <c r="J2620" s="470">
        <v>4182</v>
      </c>
      <c r="K2620" s="469">
        <v>1.84</v>
      </c>
    </row>
    <row r="2621" spans="2:11" x14ac:dyDescent="0.35">
      <c r="B2621" s="62">
        <v>12.25</v>
      </c>
      <c r="C2621" s="471">
        <v>2637</v>
      </c>
      <c r="D2621" s="471">
        <v>2619.6</v>
      </c>
      <c r="E2621" s="469">
        <v>12.03</v>
      </c>
      <c r="F2621" s="469">
        <v>12.8</v>
      </c>
      <c r="G2621" s="469">
        <v>9</v>
      </c>
      <c r="H2621" s="470">
        <v>178</v>
      </c>
      <c r="I2621" s="470">
        <v>719</v>
      </c>
      <c r="J2621" s="470">
        <v>4201</v>
      </c>
      <c r="K2621" s="469">
        <v>1.84</v>
      </c>
    </row>
    <row r="2622" spans="2:11" x14ac:dyDescent="0.35">
      <c r="B2622" s="62">
        <v>12.25</v>
      </c>
      <c r="C2622" s="471">
        <v>2638</v>
      </c>
      <c r="D2622" s="471">
        <v>2620.6</v>
      </c>
      <c r="E2622" s="469">
        <v>13.55</v>
      </c>
      <c r="F2622" s="469">
        <v>12.9</v>
      </c>
      <c r="G2622" s="469">
        <v>6</v>
      </c>
      <c r="H2622" s="470">
        <v>178</v>
      </c>
      <c r="I2622" s="470">
        <v>719</v>
      </c>
      <c r="J2622" s="470">
        <v>4204</v>
      </c>
      <c r="K2622" s="469">
        <v>1.84</v>
      </c>
    </row>
    <row r="2623" spans="2:11" x14ac:dyDescent="0.35">
      <c r="B2623" s="62">
        <v>12.25</v>
      </c>
      <c r="C2623" s="471">
        <v>2639</v>
      </c>
      <c r="D2623" s="471">
        <v>2621.5</v>
      </c>
      <c r="E2623" s="469">
        <v>19.89</v>
      </c>
      <c r="F2623" s="469">
        <v>12.6</v>
      </c>
      <c r="G2623" s="469">
        <v>7.9</v>
      </c>
      <c r="H2623" s="470">
        <v>178</v>
      </c>
      <c r="I2623" s="470">
        <v>718</v>
      </c>
      <c r="J2623" s="470">
        <v>4217</v>
      </c>
      <c r="K2623" s="469">
        <v>1.84</v>
      </c>
    </row>
    <row r="2624" spans="2:11" x14ac:dyDescent="0.35">
      <c r="B2624" s="62">
        <v>12.25</v>
      </c>
      <c r="C2624" s="471">
        <v>2640</v>
      </c>
      <c r="D2624" s="471">
        <v>2622.5</v>
      </c>
      <c r="E2624" s="469">
        <v>16.32</v>
      </c>
      <c r="F2624" s="469">
        <v>11.3</v>
      </c>
      <c r="G2624" s="469">
        <v>6.6</v>
      </c>
      <c r="H2624" s="470">
        <v>178</v>
      </c>
      <c r="I2624" s="470">
        <v>723</v>
      </c>
      <c r="J2624" s="470">
        <v>4197</v>
      </c>
      <c r="K2624" s="469">
        <v>1.84</v>
      </c>
    </row>
    <row r="2625" spans="2:11" x14ac:dyDescent="0.35">
      <c r="B2625" s="62">
        <v>12.25</v>
      </c>
      <c r="C2625" s="471">
        <v>2641</v>
      </c>
      <c r="D2625" s="471">
        <v>2623.5</v>
      </c>
      <c r="E2625" s="469">
        <v>7.83</v>
      </c>
      <c r="F2625" s="469">
        <v>10.6</v>
      </c>
      <c r="G2625" s="469">
        <v>5.3</v>
      </c>
      <c r="H2625" s="470">
        <v>179</v>
      </c>
      <c r="I2625" s="470">
        <v>725</v>
      </c>
      <c r="J2625" s="470">
        <v>4146</v>
      </c>
      <c r="K2625" s="469">
        <v>1.84</v>
      </c>
    </row>
    <row r="2626" spans="2:11" x14ac:dyDescent="0.35">
      <c r="B2626" s="62">
        <v>12.25</v>
      </c>
      <c r="C2626" s="471">
        <v>2642</v>
      </c>
      <c r="D2626" s="471">
        <v>2624.5</v>
      </c>
      <c r="E2626" s="469">
        <v>8.89</v>
      </c>
      <c r="F2626" s="469">
        <v>10.5</v>
      </c>
      <c r="G2626" s="469">
        <v>6.3</v>
      </c>
      <c r="H2626" s="470">
        <v>163</v>
      </c>
      <c r="I2626" s="470">
        <v>726</v>
      </c>
      <c r="J2626" s="470">
        <v>4165</v>
      </c>
      <c r="K2626" s="469">
        <v>1.84</v>
      </c>
    </row>
    <row r="2627" spans="2:11" x14ac:dyDescent="0.35">
      <c r="B2627" s="62">
        <v>12.25</v>
      </c>
      <c r="C2627" s="471">
        <v>2643</v>
      </c>
      <c r="D2627" s="471">
        <v>2625.5</v>
      </c>
      <c r="E2627" s="469">
        <v>3.46</v>
      </c>
      <c r="F2627" s="469">
        <v>11.1</v>
      </c>
      <c r="G2627" s="469">
        <v>5.0999999999999996</v>
      </c>
      <c r="H2627" s="470">
        <v>161</v>
      </c>
      <c r="I2627" s="470">
        <v>725</v>
      </c>
      <c r="J2627" s="470">
        <v>4162</v>
      </c>
      <c r="K2627" s="469">
        <v>1.84</v>
      </c>
    </row>
    <row r="2628" spans="2:11" x14ac:dyDescent="0.35">
      <c r="B2628" s="62">
        <v>12.25</v>
      </c>
      <c r="C2628" s="471">
        <v>2644</v>
      </c>
      <c r="D2628" s="471">
        <v>2626.5</v>
      </c>
      <c r="E2628" s="469">
        <v>5.41</v>
      </c>
      <c r="F2628" s="469">
        <v>11.2</v>
      </c>
      <c r="G2628" s="469">
        <v>5.8</v>
      </c>
      <c r="H2628" s="470">
        <v>161</v>
      </c>
      <c r="I2628" s="470">
        <v>722</v>
      </c>
      <c r="J2628" s="470">
        <v>4215</v>
      </c>
      <c r="K2628" s="469">
        <v>1.84</v>
      </c>
    </row>
    <row r="2629" spans="2:11" x14ac:dyDescent="0.35">
      <c r="B2629" s="62">
        <v>12.25</v>
      </c>
      <c r="C2629" s="471">
        <v>2645</v>
      </c>
      <c r="D2629" s="471">
        <v>2627.5</v>
      </c>
      <c r="E2629" s="469">
        <v>16.93</v>
      </c>
      <c r="F2629" s="469">
        <v>10.8</v>
      </c>
      <c r="G2629" s="469">
        <v>6.8</v>
      </c>
      <c r="H2629" s="470">
        <v>160</v>
      </c>
      <c r="I2629" s="470">
        <v>720</v>
      </c>
      <c r="J2629" s="470">
        <v>4261</v>
      </c>
      <c r="K2629" s="469">
        <v>1.84</v>
      </c>
    </row>
    <row r="2630" spans="2:11" x14ac:dyDescent="0.35">
      <c r="B2630" s="62">
        <v>12.25</v>
      </c>
      <c r="C2630" s="471">
        <v>2646</v>
      </c>
      <c r="D2630" s="471">
        <v>2628.5</v>
      </c>
      <c r="E2630" s="469">
        <v>16.07</v>
      </c>
      <c r="F2630" s="469">
        <v>10.6</v>
      </c>
      <c r="G2630" s="469">
        <v>6</v>
      </c>
      <c r="H2630" s="470">
        <v>160</v>
      </c>
      <c r="I2630" s="470">
        <v>721</v>
      </c>
      <c r="J2630" s="470">
        <v>4256</v>
      </c>
      <c r="K2630" s="469">
        <v>1.84</v>
      </c>
    </row>
    <row r="2631" spans="2:11" x14ac:dyDescent="0.35">
      <c r="B2631" s="62">
        <v>12.25</v>
      </c>
      <c r="C2631" s="471">
        <v>2647</v>
      </c>
      <c r="D2631" s="471">
        <v>2629.4</v>
      </c>
      <c r="E2631" s="469">
        <v>18.809999999999999</v>
      </c>
      <c r="F2631" s="469">
        <v>10.4</v>
      </c>
      <c r="G2631" s="469">
        <v>6.9</v>
      </c>
      <c r="H2631" s="470">
        <v>160</v>
      </c>
      <c r="I2631" s="470">
        <v>720</v>
      </c>
      <c r="J2631" s="470">
        <v>4271</v>
      </c>
      <c r="K2631" s="469">
        <v>1.84</v>
      </c>
    </row>
    <row r="2632" spans="2:11" x14ac:dyDescent="0.35">
      <c r="B2632" s="62">
        <v>12.25</v>
      </c>
      <c r="C2632" s="471">
        <v>2648</v>
      </c>
      <c r="D2632" s="471">
        <v>2630.4</v>
      </c>
      <c r="E2632" s="469">
        <v>15.28</v>
      </c>
      <c r="F2632" s="469">
        <v>10.7</v>
      </c>
      <c r="G2632" s="469">
        <v>6.6</v>
      </c>
      <c r="H2632" s="470">
        <v>160</v>
      </c>
      <c r="I2632" s="470">
        <v>721</v>
      </c>
      <c r="J2632" s="470">
        <v>4284</v>
      </c>
      <c r="K2632" s="469">
        <v>1.84</v>
      </c>
    </row>
    <row r="2633" spans="2:11" x14ac:dyDescent="0.35">
      <c r="B2633" s="62">
        <v>12.25</v>
      </c>
      <c r="C2633" s="471">
        <v>2649</v>
      </c>
      <c r="D2633" s="471">
        <v>2631.4</v>
      </c>
      <c r="E2633" s="469">
        <v>23.8</v>
      </c>
      <c r="F2633" s="469">
        <v>11.8</v>
      </c>
      <c r="G2633" s="469">
        <v>8.8000000000000007</v>
      </c>
      <c r="H2633" s="470">
        <v>159</v>
      </c>
      <c r="I2633" s="470">
        <v>713</v>
      </c>
      <c r="J2633" s="470">
        <v>4257</v>
      </c>
      <c r="K2633" s="469">
        <v>1.84</v>
      </c>
    </row>
    <row r="2634" spans="2:11" x14ac:dyDescent="0.35">
      <c r="B2634" s="62">
        <v>12.25</v>
      </c>
      <c r="C2634" s="471">
        <v>2650</v>
      </c>
      <c r="D2634" s="471">
        <v>2632.4</v>
      </c>
      <c r="E2634" s="469">
        <v>24.58</v>
      </c>
      <c r="F2634" s="469">
        <v>12.3</v>
      </c>
      <c r="G2634" s="469">
        <v>9.8000000000000007</v>
      </c>
      <c r="H2634" s="470">
        <v>158</v>
      </c>
      <c r="I2634" s="470">
        <v>700</v>
      </c>
      <c r="J2634" s="470">
        <v>4200</v>
      </c>
      <c r="K2634" s="469">
        <v>1.84</v>
      </c>
    </row>
    <row r="2635" spans="2:11" x14ac:dyDescent="0.35">
      <c r="B2635" s="62">
        <v>12.25</v>
      </c>
      <c r="C2635" s="471">
        <v>2651</v>
      </c>
      <c r="D2635" s="471">
        <v>2633.3</v>
      </c>
      <c r="E2635" s="469">
        <v>8.3000000000000007</v>
      </c>
      <c r="F2635" s="469">
        <v>5.8</v>
      </c>
      <c r="G2635" s="469">
        <v>4.5</v>
      </c>
      <c r="H2635" s="470">
        <v>157</v>
      </c>
      <c r="I2635" s="470">
        <v>701</v>
      </c>
      <c r="J2635" s="470">
        <v>3992</v>
      </c>
      <c r="K2635" s="469">
        <v>1.84</v>
      </c>
    </row>
    <row r="2636" spans="2:11" x14ac:dyDescent="0.35">
      <c r="B2636" s="62">
        <v>12.25</v>
      </c>
      <c r="C2636" s="471">
        <v>2652</v>
      </c>
      <c r="D2636" s="471">
        <v>2634.4</v>
      </c>
      <c r="E2636" s="469">
        <v>15.97</v>
      </c>
      <c r="F2636" s="469">
        <v>10.5</v>
      </c>
      <c r="G2636" s="469">
        <v>6.3</v>
      </c>
      <c r="H2636" s="470">
        <v>156</v>
      </c>
      <c r="I2636" s="470">
        <v>697</v>
      </c>
      <c r="J2636" s="470">
        <v>4089</v>
      </c>
      <c r="K2636" s="469">
        <v>1.84</v>
      </c>
    </row>
    <row r="2637" spans="2:11" x14ac:dyDescent="0.35">
      <c r="B2637" s="62">
        <v>12.25</v>
      </c>
      <c r="C2637" s="471">
        <v>2653</v>
      </c>
      <c r="D2637" s="471">
        <v>2635.3</v>
      </c>
      <c r="E2637" s="469">
        <v>8.36</v>
      </c>
      <c r="F2637" s="469">
        <v>11.7</v>
      </c>
      <c r="G2637" s="469">
        <v>6.9</v>
      </c>
      <c r="H2637" s="470">
        <v>157</v>
      </c>
      <c r="I2637" s="470">
        <v>706</v>
      </c>
      <c r="J2637" s="470">
        <v>4146</v>
      </c>
      <c r="K2637" s="469">
        <v>1.84</v>
      </c>
    </row>
    <row r="2638" spans="2:11" x14ac:dyDescent="0.35">
      <c r="B2638" s="62">
        <v>12.25</v>
      </c>
      <c r="C2638" s="471">
        <v>2654</v>
      </c>
      <c r="D2638" s="471">
        <v>2636.3</v>
      </c>
      <c r="E2638" s="469">
        <v>7.03</v>
      </c>
      <c r="F2638" s="469">
        <v>10.8</v>
      </c>
      <c r="G2638" s="469">
        <v>7.2</v>
      </c>
      <c r="H2638" s="470">
        <v>159</v>
      </c>
      <c r="I2638" s="470">
        <v>706</v>
      </c>
      <c r="J2638" s="470">
        <v>4102</v>
      </c>
      <c r="K2638" s="469">
        <v>1.84</v>
      </c>
    </row>
    <row r="2639" spans="2:11" x14ac:dyDescent="0.35">
      <c r="B2639" s="62">
        <v>12.25</v>
      </c>
      <c r="C2639" s="471">
        <v>2655</v>
      </c>
      <c r="D2639" s="471">
        <v>2637.3</v>
      </c>
      <c r="E2639" s="469">
        <v>7.24</v>
      </c>
      <c r="F2639" s="469">
        <v>11.7</v>
      </c>
      <c r="G2639" s="469">
        <v>5.8</v>
      </c>
      <c r="H2639" s="470">
        <v>160</v>
      </c>
      <c r="I2639" s="470">
        <v>713</v>
      </c>
      <c r="J2639" s="470">
        <v>4160</v>
      </c>
      <c r="K2639" s="469">
        <v>1.84</v>
      </c>
    </row>
    <row r="2640" spans="2:11" x14ac:dyDescent="0.35">
      <c r="B2640" s="62">
        <v>12.25</v>
      </c>
      <c r="C2640" s="471">
        <v>2656</v>
      </c>
      <c r="D2640" s="471">
        <v>2638.3</v>
      </c>
      <c r="E2640" s="469">
        <v>19.850000000000001</v>
      </c>
      <c r="F2640" s="469">
        <v>11</v>
      </c>
      <c r="G2640" s="469">
        <v>9.5</v>
      </c>
      <c r="H2640" s="470">
        <v>160</v>
      </c>
      <c r="I2640" s="470">
        <v>713</v>
      </c>
      <c r="J2640" s="470">
        <v>4218</v>
      </c>
      <c r="K2640" s="469">
        <v>1.84</v>
      </c>
    </row>
    <row r="2641" spans="2:11" x14ac:dyDescent="0.35">
      <c r="B2641" s="62">
        <v>12.25</v>
      </c>
      <c r="C2641" s="471">
        <v>2657</v>
      </c>
      <c r="D2641" s="471">
        <v>2639.3</v>
      </c>
      <c r="E2641" s="469">
        <v>18.600000000000001</v>
      </c>
      <c r="F2641" s="469">
        <v>9.9</v>
      </c>
      <c r="G2641" s="469">
        <v>7.8</v>
      </c>
      <c r="H2641" s="470">
        <v>160</v>
      </c>
      <c r="I2641" s="470">
        <v>716</v>
      </c>
      <c r="J2641" s="470">
        <v>4222</v>
      </c>
      <c r="K2641" s="469">
        <v>1.84</v>
      </c>
    </row>
    <row r="2642" spans="2:11" x14ac:dyDescent="0.35">
      <c r="B2642" s="62">
        <v>12.25</v>
      </c>
      <c r="C2642" s="471">
        <v>2658</v>
      </c>
      <c r="D2642" s="471">
        <v>2640.3</v>
      </c>
      <c r="E2642" s="469">
        <v>16.41</v>
      </c>
      <c r="F2642" s="469">
        <v>10.199999999999999</v>
      </c>
      <c r="G2642" s="469">
        <v>8</v>
      </c>
      <c r="H2642" s="470">
        <v>161</v>
      </c>
      <c r="I2642" s="470">
        <v>718</v>
      </c>
      <c r="J2642" s="470">
        <v>4195</v>
      </c>
      <c r="K2642" s="469">
        <v>1.84</v>
      </c>
    </row>
    <row r="2643" spans="2:11" x14ac:dyDescent="0.35">
      <c r="B2643" s="62">
        <v>12.25</v>
      </c>
      <c r="C2643" s="471">
        <v>2659</v>
      </c>
      <c r="D2643" s="471">
        <v>2641.2</v>
      </c>
      <c r="E2643" s="469">
        <v>7.52</v>
      </c>
      <c r="F2643" s="469">
        <v>9</v>
      </c>
      <c r="G2643" s="469">
        <v>5.5</v>
      </c>
      <c r="H2643" s="470">
        <v>161</v>
      </c>
      <c r="I2643" s="470">
        <v>717</v>
      </c>
      <c r="J2643" s="470">
        <v>3761</v>
      </c>
      <c r="K2643" s="469">
        <v>1.84</v>
      </c>
    </row>
    <row r="2644" spans="2:11" x14ac:dyDescent="0.35">
      <c r="B2644" s="62">
        <v>12.25</v>
      </c>
      <c r="C2644" s="471">
        <v>2660</v>
      </c>
      <c r="D2644" s="471">
        <v>2642.3</v>
      </c>
      <c r="E2644" s="469">
        <v>1.75</v>
      </c>
      <c r="F2644" s="469">
        <v>9</v>
      </c>
      <c r="G2644" s="469">
        <v>4.2</v>
      </c>
      <c r="H2644" s="470">
        <v>163</v>
      </c>
      <c r="I2644" s="470">
        <v>632</v>
      </c>
      <c r="J2644" s="470">
        <v>3338</v>
      </c>
      <c r="K2644" s="469">
        <v>1.84</v>
      </c>
    </row>
    <row r="2645" spans="2:11" x14ac:dyDescent="0.35">
      <c r="B2645" s="62">
        <v>12.25</v>
      </c>
      <c r="C2645" s="471">
        <v>2661</v>
      </c>
      <c r="D2645" s="471">
        <v>2643.2</v>
      </c>
      <c r="E2645" s="469">
        <v>2.6</v>
      </c>
      <c r="F2645" s="469">
        <v>10.1</v>
      </c>
      <c r="G2645" s="469">
        <v>4.0999999999999996</v>
      </c>
      <c r="H2645" s="470">
        <v>175</v>
      </c>
      <c r="I2645" s="470">
        <v>667</v>
      </c>
      <c r="J2645" s="470">
        <v>3628</v>
      </c>
      <c r="K2645" s="469">
        <v>1.84</v>
      </c>
    </row>
    <row r="2646" spans="2:11" x14ac:dyDescent="0.35">
      <c r="B2646" s="62">
        <v>12.25</v>
      </c>
      <c r="C2646" s="471">
        <v>2662</v>
      </c>
      <c r="D2646" s="471">
        <v>2644.2</v>
      </c>
      <c r="E2646" s="469">
        <v>3.67</v>
      </c>
      <c r="F2646" s="469">
        <v>14.4</v>
      </c>
      <c r="G2646" s="469">
        <v>4.7</v>
      </c>
      <c r="H2646" s="470">
        <v>179</v>
      </c>
      <c r="I2646" s="470">
        <v>712</v>
      </c>
      <c r="J2646" s="470">
        <v>4070</v>
      </c>
      <c r="K2646" s="469">
        <v>1.84</v>
      </c>
    </row>
    <row r="2647" spans="2:11" x14ac:dyDescent="0.35">
      <c r="B2647" s="62">
        <v>12.25</v>
      </c>
      <c r="C2647" s="471">
        <v>2663</v>
      </c>
      <c r="D2647" s="471">
        <v>2645.1</v>
      </c>
      <c r="E2647" s="469">
        <v>24.41</v>
      </c>
      <c r="F2647" s="469">
        <v>13.8</v>
      </c>
      <c r="G2647" s="469">
        <v>10.9</v>
      </c>
      <c r="H2647" s="470">
        <v>178</v>
      </c>
      <c r="I2647" s="470">
        <v>711</v>
      </c>
      <c r="J2647" s="470">
        <v>4306</v>
      </c>
      <c r="K2647" s="469">
        <v>1.84</v>
      </c>
    </row>
    <row r="2648" spans="2:11" x14ac:dyDescent="0.35">
      <c r="B2648" s="62">
        <v>12.25</v>
      </c>
      <c r="C2648" s="471">
        <v>2664</v>
      </c>
      <c r="D2648" s="471">
        <v>2646.2</v>
      </c>
      <c r="E2648" s="469">
        <v>26.58</v>
      </c>
      <c r="F2648" s="469">
        <v>13.4</v>
      </c>
      <c r="G2648" s="469">
        <v>10.3</v>
      </c>
      <c r="H2648" s="470">
        <v>179</v>
      </c>
      <c r="I2648" s="470">
        <v>716</v>
      </c>
      <c r="J2648" s="470">
        <v>4339</v>
      </c>
      <c r="K2648" s="469">
        <v>1.84</v>
      </c>
    </row>
    <row r="2649" spans="2:11" x14ac:dyDescent="0.35">
      <c r="B2649" s="62">
        <v>12.25</v>
      </c>
      <c r="C2649" s="471">
        <v>2665</v>
      </c>
      <c r="D2649" s="471">
        <v>2647.2</v>
      </c>
      <c r="E2649" s="469">
        <v>12.99</v>
      </c>
      <c r="F2649" s="469">
        <v>10.6</v>
      </c>
      <c r="G2649" s="469">
        <v>7.8</v>
      </c>
      <c r="H2649" s="470">
        <v>176</v>
      </c>
      <c r="I2649" s="470">
        <v>691</v>
      </c>
      <c r="J2649" s="470">
        <v>4082</v>
      </c>
      <c r="K2649" s="469">
        <v>1.84</v>
      </c>
    </row>
    <row r="2650" spans="2:11" x14ac:dyDescent="0.35">
      <c r="B2650" s="62">
        <v>12.25</v>
      </c>
      <c r="C2650" s="471">
        <v>2666</v>
      </c>
      <c r="D2650" s="471">
        <v>2648.1</v>
      </c>
      <c r="E2650" s="469">
        <v>27.24</v>
      </c>
      <c r="F2650" s="469">
        <v>14</v>
      </c>
      <c r="G2650" s="469">
        <v>8.5</v>
      </c>
      <c r="H2650" s="470">
        <v>172</v>
      </c>
      <c r="I2650" s="470">
        <v>651</v>
      </c>
      <c r="J2650" s="470">
        <v>4113</v>
      </c>
      <c r="K2650" s="469">
        <v>1.84</v>
      </c>
    </row>
    <row r="2651" spans="2:11" x14ac:dyDescent="0.35">
      <c r="B2651" s="62">
        <v>12.25</v>
      </c>
      <c r="C2651" s="471">
        <v>2667</v>
      </c>
      <c r="D2651" s="471">
        <v>2649.1</v>
      </c>
      <c r="E2651" s="469">
        <v>23.93</v>
      </c>
      <c r="F2651" s="469">
        <v>13.9</v>
      </c>
      <c r="G2651" s="469">
        <v>9.3000000000000007</v>
      </c>
      <c r="H2651" s="470">
        <v>166</v>
      </c>
      <c r="I2651" s="470">
        <v>599</v>
      </c>
      <c r="J2651" s="470">
        <v>3671</v>
      </c>
      <c r="K2651" s="469">
        <v>1.84</v>
      </c>
    </row>
    <row r="2652" spans="2:11" x14ac:dyDescent="0.35">
      <c r="B2652" s="62">
        <v>12.25</v>
      </c>
      <c r="C2652" s="471">
        <v>2668</v>
      </c>
      <c r="D2652" s="471">
        <v>2650.1</v>
      </c>
      <c r="E2652" s="469">
        <v>29.47</v>
      </c>
      <c r="F2652" s="469">
        <v>14.4</v>
      </c>
      <c r="G2652" s="469">
        <v>9.6</v>
      </c>
      <c r="H2652" s="470">
        <v>172</v>
      </c>
      <c r="I2652" s="470">
        <v>652</v>
      </c>
      <c r="J2652" s="470">
        <v>4078</v>
      </c>
      <c r="K2652" s="469">
        <v>1.84</v>
      </c>
    </row>
    <row r="2653" spans="2:11" x14ac:dyDescent="0.35">
      <c r="B2653" s="62">
        <v>12.25</v>
      </c>
      <c r="C2653" s="471">
        <v>2669</v>
      </c>
      <c r="D2653" s="471">
        <v>2651.1</v>
      </c>
      <c r="E2653" s="469">
        <v>28.4</v>
      </c>
      <c r="F2653" s="469">
        <v>14.4</v>
      </c>
      <c r="G2653" s="469">
        <v>10.199999999999999</v>
      </c>
      <c r="H2653" s="470">
        <v>169</v>
      </c>
      <c r="I2653" s="470">
        <v>624</v>
      </c>
      <c r="J2653" s="470">
        <v>3986</v>
      </c>
      <c r="K2653" s="469">
        <v>1.84</v>
      </c>
    </row>
    <row r="2654" spans="2:11" x14ac:dyDescent="0.35">
      <c r="B2654" s="62">
        <v>12.25</v>
      </c>
      <c r="C2654" s="471">
        <v>2670</v>
      </c>
      <c r="D2654" s="471">
        <v>2652.1</v>
      </c>
      <c r="E2654" s="469">
        <v>24.91</v>
      </c>
      <c r="F2654" s="469">
        <v>14.3</v>
      </c>
      <c r="G2654" s="469">
        <v>10.3</v>
      </c>
      <c r="H2654" s="470">
        <v>167</v>
      </c>
      <c r="I2654" s="470">
        <v>607</v>
      </c>
      <c r="J2654" s="470">
        <v>3862</v>
      </c>
      <c r="K2654" s="469">
        <v>1.84</v>
      </c>
    </row>
    <row r="2655" spans="2:11" x14ac:dyDescent="0.35">
      <c r="B2655" s="62">
        <v>12.25</v>
      </c>
      <c r="C2655" s="471">
        <v>2671</v>
      </c>
      <c r="D2655" s="471">
        <v>2653.1</v>
      </c>
      <c r="E2655" s="469">
        <v>23.35</v>
      </c>
      <c r="F2655" s="469">
        <v>14.8</v>
      </c>
      <c r="G2655" s="469">
        <v>9.9</v>
      </c>
      <c r="H2655" s="470">
        <v>177</v>
      </c>
      <c r="I2655" s="470">
        <v>699</v>
      </c>
      <c r="J2655" s="470">
        <v>4527</v>
      </c>
      <c r="K2655" s="469">
        <v>1.84</v>
      </c>
    </row>
    <row r="2656" spans="2:11" x14ac:dyDescent="0.35">
      <c r="B2656" s="62">
        <v>12.25</v>
      </c>
      <c r="C2656" s="471">
        <v>2672</v>
      </c>
      <c r="D2656" s="471">
        <v>2654</v>
      </c>
      <c r="E2656" s="469">
        <v>15.97</v>
      </c>
      <c r="F2656" s="469">
        <v>13.5</v>
      </c>
      <c r="G2656" s="469">
        <v>8.4</v>
      </c>
      <c r="H2656" s="470">
        <v>177</v>
      </c>
      <c r="I2656" s="470">
        <v>703</v>
      </c>
      <c r="J2656" s="470">
        <v>4418</v>
      </c>
      <c r="K2656" s="469">
        <v>1.84</v>
      </c>
    </row>
    <row r="2657" spans="2:11" x14ac:dyDescent="0.35">
      <c r="B2657" s="62">
        <v>12.25</v>
      </c>
      <c r="C2657" s="471">
        <v>2673</v>
      </c>
      <c r="D2657" s="471">
        <v>2655.1</v>
      </c>
      <c r="E2657" s="469">
        <v>21.29</v>
      </c>
      <c r="F2657" s="469">
        <v>14.4</v>
      </c>
      <c r="G2657" s="469">
        <v>8.6</v>
      </c>
      <c r="H2657" s="470">
        <v>176</v>
      </c>
      <c r="I2657" s="470">
        <v>695</v>
      </c>
      <c r="J2657" s="470">
        <v>4309</v>
      </c>
      <c r="K2657" s="469">
        <v>1.84</v>
      </c>
    </row>
    <row r="2658" spans="2:11" x14ac:dyDescent="0.35">
      <c r="B2658" s="62">
        <v>12.25</v>
      </c>
      <c r="C2658" s="471">
        <v>2674</v>
      </c>
      <c r="D2658" s="471">
        <v>2656</v>
      </c>
      <c r="E2658" s="469">
        <v>18.2</v>
      </c>
      <c r="F2658" s="469">
        <v>15.5</v>
      </c>
      <c r="G2658" s="469">
        <v>8.8000000000000007</v>
      </c>
      <c r="H2658" s="470">
        <v>176</v>
      </c>
      <c r="I2658" s="470">
        <v>695</v>
      </c>
      <c r="J2658" s="470">
        <v>4321</v>
      </c>
      <c r="K2658" s="469">
        <v>1.84</v>
      </c>
    </row>
    <row r="2659" spans="2:11" x14ac:dyDescent="0.35">
      <c r="B2659" s="62">
        <v>12.25</v>
      </c>
      <c r="C2659" s="471">
        <v>2675</v>
      </c>
      <c r="D2659" s="471">
        <v>2657</v>
      </c>
      <c r="E2659" s="469">
        <v>20.05</v>
      </c>
      <c r="F2659" s="469">
        <v>15</v>
      </c>
      <c r="G2659" s="469">
        <v>9.1</v>
      </c>
      <c r="H2659" s="470">
        <v>176</v>
      </c>
      <c r="I2659" s="470">
        <v>692</v>
      </c>
      <c r="J2659" s="470">
        <v>4330</v>
      </c>
      <c r="K2659" s="469">
        <v>1.84</v>
      </c>
    </row>
    <row r="2660" spans="2:11" x14ac:dyDescent="0.35">
      <c r="B2660" s="62">
        <v>12.25</v>
      </c>
      <c r="C2660" s="471">
        <v>2676</v>
      </c>
      <c r="D2660" s="471">
        <v>2658</v>
      </c>
      <c r="E2660" s="469">
        <v>25.07</v>
      </c>
      <c r="F2660" s="469">
        <v>15.6</v>
      </c>
      <c r="G2660" s="469">
        <v>9.1999999999999993</v>
      </c>
      <c r="H2660" s="470">
        <v>176</v>
      </c>
      <c r="I2660" s="470">
        <v>692</v>
      </c>
      <c r="J2660" s="470">
        <v>4346</v>
      </c>
      <c r="K2660" s="469">
        <v>1.84</v>
      </c>
    </row>
    <row r="2661" spans="2:11" x14ac:dyDescent="0.35">
      <c r="B2661" s="62">
        <v>12.25</v>
      </c>
      <c r="C2661" s="471">
        <v>2677</v>
      </c>
      <c r="D2661" s="471">
        <v>2659</v>
      </c>
      <c r="E2661" s="469">
        <v>23.93</v>
      </c>
      <c r="F2661" s="469">
        <v>15.9</v>
      </c>
      <c r="G2661" s="469">
        <v>9.6999999999999993</v>
      </c>
      <c r="H2661" s="470">
        <v>176</v>
      </c>
      <c r="I2661" s="470">
        <v>696</v>
      </c>
      <c r="J2661" s="470">
        <v>4352</v>
      </c>
      <c r="K2661" s="469">
        <v>1.84</v>
      </c>
    </row>
    <row r="2662" spans="2:11" x14ac:dyDescent="0.35">
      <c r="B2662" s="62">
        <v>12.25</v>
      </c>
      <c r="C2662" s="471">
        <v>2678</v>
      </c>
      <c r="D2662" s="471">
        <v>2660</v>
      </c>
      <c r="E2662" s="469">
        <v>33.42</v>
      </c>
      <c r="F2662" s="469">
        <v>14.2</v>
      </c>
      <c r="G2662" s="469">
        <v>8.6</v>
      </c>
      <c r="H2662" s="470">
        <v>176</v>
      </c>
      <c r="I2662" s="470">
        <v>691</v>
      </c>
      <c r="J2662" s="470">
        <v>4459</v>
      </c>
      <c r="K2662" s="469">
        <v>1.84</v>
      </c>
    </row>
    <row r="2663" spans="2:11" x14ac:dyDescent="0.35">
      <c r="B2663" s="62">
        <v>12.25</v>
      </c>
      <c r="C2663" s="471">
        <v>2679</v>
      </c>
      <c r="D2663" s="471">
        <v>2661</v>
      </c>
      <c r="E2663" s="469">
        <v>17.190000000000001</v>
      </c>
      <c r="F2663" s="469">
        <v>15.1</v>
      </c>
      <c r="G2663" s="469">
        <v>10.7</v>
      </c>
      <c r="H2663" s="470">
        <v>176</v>
      </c>
      <c r="I2663" s="470">
        <v>695</v>
      </c>
      <c r="J2663" s="470">
        <v>4398</v>
      </c>
      <c r="K2663" s="469">
        <v>1.84</v>
      </c>
    </row>
    <row r="2664" spans="2:11" x14ac:dyDescent="0.35">
      <c r="B2664" s="62">
        <v>12.25</v>
      </c>
      <c r="C2664" s="471">
        <v>2680</v>
      </c>
      <c r="D2664" s="471">
        <v>2662</v>
      </c>
      <c r="E2664" s="469">
        <v>10.33</v>
      </c>
      <c r="F2664" s="469">
        <v>7.2</v>
      </c>
      <c r="G2664" s="469">
        <v>7.7</v>
      </c>
      <c r="H2664" s="470">
        <v>146</v>
      </c>
      <c r="I2664" s="470">
        <v>608</v>
      </c>
      <c r="J2664" s="470">
        <v>2549</v>
      </c>
      <c r="K2664" s="469">
        <v>1.84</v>
      </c>
    </row>
    <row r="2665" spans="2:11" x14ac:dyDescent="0.35">
      <c r="B2665" s="62">
        <v>12.25</v>
      </c>
      <c r="C2665" s="471">
        <v>2681</v>
      </c>
      <c r="D2665" s="471">
        <v>2663</v>
      </c>
      <c r="E2665" s="469">
        <v>14.65</v>
      </c>
      <c r="F2665" s="469">
        <v>11.5</v>
      </c>
      <c r="G2665" s="469">
        <v>9.1</v>
      </c>
      <c r="H2665" s="470">
        <v>177</v>
      </c>
      <c r="I2665" s="470">
        <v>691</v>
      </c>
      <c r="J2665" s="470">
        <v>4131</v>
      </c>
      <c r="K2665" s="469">
        <v>1.84</v>
      </c>
    </row>
    <row r="2666" spans="2:11" x14ac:dyDescent="0.35">
      <c r="B2666" s="62">
        <v>12.25</v>
      </c>
      <c r="C2666" s="471">
        <v>2682</v>
      </c>
      <c r="D2666" s="471">
        <v>2663.9</v>
      </c>
      <c r="E2666" s="469">
        <v>28.6</v>
      </c>
      <c r="F2666" s="469">
        <v>12.4</v>
      </c>
      <c r="G2666" s="469">
        <v>9.5</v>
      </c>
      <c r="H2666" s="470">
        <v>177</v>
      </c>
      <c r="I2666" s="470">
        <v>688</v>
      </c>
      <c r="J2666" s="470">
        <v>4337</v>
      </c>
      <c r="K2666" s="469">
        <v>1.84</v>
      </c>
    </row>
    <row r="2667" spans="2:11" x14ac:dyDescent="0.35">
      <c r="B2667" s="62">
        <v>12.25</v>
      </c>
      <c r="C2667" s="471">
        <v>2683</v>
      </c>
      <c r="D2667" s="471">
        <v>2664.9</v>
      </c>
      <c r="E2667" s="469">
        <v>32.6</v>
      </c>
      <c r="F2667" s="469">
        <v>13.2</v>
      </c>
      <c r="G2667" s="469">
        <v>9.4</v>
      </c>
      <c r="H2667" s="470">
        <v>178</v>
      </c>
      <c r="I2667" s="470">
        <v>693</v>
      </c>
      <c r="J2667" s="470">
        <v>4414</v>
      </c>
      <c r="K2667" s="469">
        <v>1.84</v>
      </c>
    </row>
    <row r="2668" spans="2:11" x14ac:dyDescent="0.35">
      <c r="B2668" s="62">
        <v>12.25</v>
      </c>
      <c r="C2668" s="471">
        <v>2684</v>
      </c>
      <c r="D2668" s="471">
        <v>2665.9</v>
      </c>
      <c r="E2668" s="469">
        <v>25.03</v>
      </c>
      <c r="F2668" s="469">
        <v>13.8</v>
      </c>
      <c r="G2668" s="469">
        <v>9</v>
      </c>
      <c r="H2668" s="470">
        <v>178</v>
      </c>
      <c r="I2668" s="470">
        <v>695</v>
      </c>
      <c r="J2668" s="470">
        <v>4430</v>
      </c>
      <c r="K2668" s="469">
        <v>1.84</v>
      </c>
    </row>
    <row r="2669" spans="2:11" x14ac:dyDescent="0.35">
      <c r="B2669" s="62">
        <v>12.25</v>
      </c>
      <c r="C2669" s="471">
        <v>2685</v>
      </c>
      <c r="D2669" s="471">
        <v>2666.9</v>
      </c>
      <c r="E2669" s="469">
        <v>24.04</v>
      </c>
      <c r="F2669" s="469">
        <v>15</v>
      </c>
      <c r="G2669" s="469">
        <v>9.1999999999999993</v>
      </c>
      <c r="H2669" s="470">
        <v>178</v>
      </c>
      <c r="I2669" s="470">
        <v>695</v>
      </c>
      <c r="J2669" s="470">
        <v>4455</v>
      </c>
      <c r="K2669" s="469">
        <v>1.84</v>
      </c>
    </row>
    <row r="2670" spans="2:11" x14ac:dyDescent="0.35">
      <c r="B2670" s="62">
        <v>12.25</v>
      </c>
      <c r="C2670" s="471">
        <v>2686</v>
      </c>
      <c r="D2670" s="471">
        <v>2667.9</v>
      </c>
      <c r="E2670" s="469">
        <v>8.27</v>
      </c>
      <c r="F2670" s="469">
        <v>15.6</v>
      </c>
      <c r="G2670" s="469">
        <v>6.2</v>
      </c>
      <c r="H2670" s="470">
        <v>179</v>
      </c>
      <c r="I2670" s="470">
        <v>701</v>
      </c>
      <c r="J2670" s="470">
        <v>4372</v>
      </c>
      <c r="K2670" s="469">
        <v>1.84</v>
      </c>
    </row>
    <row r="2671" spans="2:11" x14ac:dyDescent="0.35">
      <c r="B2671" s="62">
        <v>12.25</v>
      </c>
      <c r="C2671" s="471">
        <v>2687</v>
      </c>
      <c r="D2671" s="471">
        <v>2668.9</v>
      </c>
      <c r="E2671" s="469">
        <v>32.590000000000003</v>
      </c>
      <c r="F2671" s="469">
        <v>14.8</v>
      </c>
      <c r="G2671" s="469">
        <v>11.1</v>
      </c>
      <c r="H2671" s="470">
        <v>178</v>
      </c>
      <c r="I2671" s="470">
        <v>699</v>
      </c>
      <c r="J2671" s="470">
        <v>4558</v>
      </c>
      <c r="K2671" s="469">
        <v>1.84</v>
      </c>
    </row>
    <row r="2672" spans="2:11" x14ac:dyDescent="0.35">
      <c r="B2672" s="62">
        <v>12.25</v>
      </c>
      <c r="C2672" s="471">
        <v>2688</v>
      </c>
      <c r="D2672" s="471">
        <v>2669.9</v>
      </c>
      <c r="E2672" s="469">
        <v>28.94</v>
      </c>
      <c r="F2672" s="469">
        <v>15.3</v>
      </c>
      <c r="G2672" s="469">
        <v>10</v>
      </c>
      <c r="H2672" s="470">
        <v>178</v>
      </c>
      <c r="I2672" s="470">
        <v>700</v>
      </c>
      <c r="J2672" s="470">
        <v>4554</v>
      </c>
      <c r="K2672" s="469">
        <v>1.84</v>
      </c>
    </row>
    <row r="2673" spans="2:11" x14ac:dyDescent="0.35">
      <c r="B2673" s="62">
        <v>12.25</v>
      </c>
      <c r="C2673" s="471">
        <v>2689</v>
      </c>
      <c r="D2673" s="471">
        <v>2670.9</v>
      </c>
      <c r="E2673" s="469">
        <v>17.100000000000001</v>
      </c>
      <c r="F2673" s="469">
        <v>13.7</v>
      </c>
      <c r="G2673" s="469">
        <v>8.6999999999999993</v>
      </c>
      <c r="H2673" s="470">
        <v>179</v>
      </c>
      <c r="I2673" s="470">
        <v>702</v>
      </c>
      <c r="J2673" s="470">
        <v>4465</v>
      </c>
      <c r="K2673" s="469">
        <v>1.84</v>
      </c>
    </row>
    <row r="2674" spans="2:11" x14ac:dyDescent="0.35">
      <c r="B2674" s="62">
        <v>12.25</v>
      </c>
      <c r="C2674" s="471">
        <v>2690</v>
      </c>
      <c r="D2674" s="471">
        <v>2671.8</v>
      </c>
      <c r="E2674" s="469">
        <v>28.38</v>
      </c>
      <c r="F2674" s="469">
        <v>14</v>
      </c>
      <c r="G2674" s="469">
        <v>9.9</v>
      </c>
      <c r="H2674" s="470">
        <v>179</v>
      </c>
      <c r="I2674" s="470">
        <v>702</v>
      </c>
      <c r="J2674" s="470">
        <v>4511</v>
      </c>
      <c r="K2674" s="469">
        <v>1.84</v>
      </c>
    </row>
    <row r="2675" spans="2:11" x14ac:dyDescent="0.35">
      <c r="B2675" s="62">
        <v>12.25</v>
      </c>
      <c r="C2675" s="471">
        <v>2691</v>
      </c>
      <c r="D2675" s="471">
        <v>2672.8</v>
      </c>
      <c r="E2675" s="469">
        <v>20.350000000000001</v>
      </c>
      <c r="F2675" s="469">
        <v>15</v>
      </c>
      <c r="G2675" s="469">
        <v>9.1</v>
      </c>
      <c r="H2675" s="470">
        <v>178</v>
      </c>
      <c r="I2675" s="470">
        <v>702</v>
      </c>
      <c r="J2675" s="470">
        <v>4502</v>
      </c>
      <c r="K2675" s="469">
        <v>1.84</v>
      </c>
    </row>
    <row r="2676" spans="2:11" x14ac:dyDescent="0.35">
      <c r="B2676" s="62">
        <v>12.25</v>
      </c>
      <c r="C2676" s="471">
        <v>2692</v>
      </c>
      <c r="D2676" s="471">
        <v>2673.8</v>
      </c>
      <c r="E2676" s="469">
        <v>25.31</v>
      </c>
      <c r="F2676" s="469">
        <v>13.6</v>
      </c>
      <c r="G2676" s="469">
        <v>9.6</v>
      </c>
      <c r="H2676" s="470">
        <v>184</v>
      </c>
      <c r="I2676" s="470">
        <v>750</v>
      </c>
      <c r="J2676" s="470">
        <v>4473</v>
      </c>
      <c r="K2676" s="469">
        <v>1.84</v>
      </c>
    </row>
    <row r="2677" spans="2:11" x14ac:dyDescent="0.35">
      <c r="B2677" s="62">
        <v>12.25</v>
      </c>
      <c r="C2677" s="471">
        <v>2693</v>
      </c>
      <c r="D2677" s="471">
        <v>2674.8</v>
      </c>
      <c r="E2677" s="469">
        <v>17.989999999999998</v>
      </c>
      <c r="F2677" s="469">
        <v>14.4</v>
      </c>
      <c r="G2677" s="469">
        <v>8.1999999999999993</v>
      </c>
      <c r="H2677" s="470">
        <v>179</v>
      </c>
      <c r="I2677" s="470">
        <v>700</v>
      </c>
      <c r="J2677" s="470">
        <v>4442</v>
      </c>
      <c r="K2677" s="469">
        <v>1.84</v>
      </c>
    </row>
    <row r="2678" spans="2:11" x14ac:dyDescent="0.35">
      <c r="B2678" s="62">
        <v>12.25</v>
      </c>
      <c r="C2678" s="471">
        <v>2694</v>
      </c>
      <c r="D2678" s="471">
        <v>2675.8</v>
      </c>
      <c r="E2678" s="469">
        <v>16.23</v>
      </c>
      <c r="F2678" s="469">
        <v>15.5</v>
      </c>
      <c r="G2678" s="469">
        <v>8</v>
      </c>
      <c r="H2678" s="470">
        <v>179</v>
      </c>
      <c r="I2678" s="470">
        <v>700</v>
      </c>
      <c r="J2678" s="470">
        <v>4419</v>
      </c>
      <c r="K2678" s="469">
        <v>1.84</v>
      </c>
    </row>
    <row r="2679" spans="2:11" x14ac:dyDescent="0.35">
      <c r="B2679" s="62">
        <v>12.25</v>
      </c>
      <c r="C2679" s="471">
        <v>2695</v>
      </c>
      <c r="D2679" s="471">
        <v>2676.4</v>
      </c>
      <c r="E2679" s="469">
        <v>12.13</v>
      </c>
      <c r="F2679" s="469">
        <v>14.4</v>
      </c>
      <c r="G2679" s="469">
        <v>7.4</v>
      </c>
      <c r="H2679" s="470">
        <v>178</v>
      </c>
      <c r="I2679" s="470">
        <v>699</v>
      </c>
      <c r="J2679" s="470">
        <v>4386</v>
      </c>
      <c r="K2679" s="469">
        <v>1.84</v>
      </c>
    </row>
    <row r="2680" spans="2:11" x14ac:dyDescent="0.35">
      <c r="B2680" s="62">
        <v>12.25</v>
      </c>
      <c r="C2680" s="471">
        <v>2696</v>
      </c>
      <c r="D2680" s="471">
        <v>2677.3</v>
      </c>
      <c r="E2680" s="469">
        <v>25.49</v>
      </c>
      <c r="F2680" s="469">
        <v>14.1</v>
      </c>
      <c r="G2680" s="469">
        <v>7.6</v>
      </c>
      <c r="H2680" s="470">
        <v>179</v>
      </c>
      <c r="I2680" s="470">
        <v>701</v>
      </c>
      <c r="J2680" s="470">
        <v>4441</v>
      </c>
      <c r="K2680" s="469">
        <v>1.84</v>
      </c>
    </row>
    <row r="2681" spans="2:11" x14ac:dyDescent="0.35">
      <c r="B2681" s="62">
        <v>12.25</v>
      </c>
      <c r="C2681" s="471">
        <v>2697</v>
      </c>
      <c r="D2681" s="471">
        <v>2678.4</v>
      </c>
      <c r="E2681" s="469">
        <v>18.88</v>
      </c>
      <c r="F2681" s="469">
        <v>13.9</v>
      </c>
      <c r="G2681" s="469">
        <v>8.1999999999999993</v>
      </c>
      <c r="H2681" s="470">
        <v>179</v>
      </c>
      <c r="I2681" s="470">
        <v>703</v>
      </c>
      <c r="J2681" s="470">
        <v>4460</v>
      </c>
      <c r="K2681" s="469">
        <v>1.84</v>
      </c>
    </row>
    <row r="2682" spans="2:11" x14ac:dyDescent="0.35">
      <c r="B2682" s="62">
        <v>12.25</v>
      </c>
      <c r="C2682" s="471">
        <v>2698</v>
      </c>
      <c r="D2682" s="471">
        <v>2679.3</v>
      </c>
      <c r="E2682" s="469">
        <v>30.25</v>
      </c>
      <c r="F2682" s="469">
        <v>13.6</v>
      </c>
      <c r="G2682" s="469">
        <v>10.1</v>
      </c>
      <c r="H2682" s="470">
        <v>179</v>
      </c>
      <c r="I2682" s="470">
        <v>701</v>
      </c>
      <c r="J2682" s="470">
        <v>4437</v>
      </c>
      <c r="K2682" s="469">
        <v>1.84</v>
      </c>
    </row>
    <row r="2683" spans="2:11" x14ac:dyDescent="0.35">
      <c r="B2683" s="62">
        <v>12.25</v>
      </c>
      <c r="C2683" s="471">
        <v>2699</v>
      </c>
      <c r="D2683" s="471">
        <v>2680.3</v>
      </c>
      <c r="E2683" s="469">
        <v>16.03</v>
      </c>
      <c r="F2683" s="469">
        <v>14.8</v>
      </c>
      <c r="G2683" s="469">
        <v>5.3</v>
      </c>
      <c r="H2683" s="470">
        <v>179</v>
      </c>
      <c r="I2683" s="470">
        <v>702</v>
      </c>
      <c r="J2683" s="470">
        <v>4435</v>
      </c>
      <c r="K2683" s="469">
        <v>1.84</v>
      </c>
    </row>
    <row r="2684" spans="2:11" x14ac:dyDescent="0.35">
      <c r="B2684" s="62">
        <v>12.25</v>
      </c>
      <c r="C2684" s="471">
        <v>2700</v>
      </c>
      <c r="D2684" s="471">
        <v>2681.3</v>
      </c>
      <c r="E2684" s="469">
        <v>5.22</v>
      </c>
      <c r="F2684" s="469">
        <v>15.7</v>
      </c>
      <c r="G2684" s="469">
        <v>6.4</v>
      </c>
      <c r="H2684" s="470">
        <v>178</v>
      </c>
      <c r="I2684" s="470">
        <v>701</v>
      </c>
      <c r="J2684" s="470">
        <v>4265</v>
      </c>
      <c r="K2684" s="469">
        <v>1.84</v>
      </c>
    </row>
    <row r="2685" spans="2:11" x14ac:dyDescent="0.35">
      <c r="B2685" s="62">
        <v>12.25</v>
      </c>
      <c r="C2685" s="471">
        <v>2701</v>
      </c>
      <c r="D2685" s="471">
        <v>2682.3</v>
      </c>
      <c r="E2685" s="469">
        <v>4.24</v>
      </c>
      <c r="F2685" s="469">
        <v>15.7</v>
      </c>
      <c r="G2685" s="469">
        <v>5.9</v>
      </c>
      <c r="H2685" s="470">
        <v>163</v>
      </c>
      <c r="I2685" s="470">
        <v>700</v>
      </c>
      <c r="J2685" s="470">
        <v>4272</v>
      </c>
      <c r="K2685" s="469">
        <v>1.84</v>
      </c>
    </row>
    <row r="2686" spans="2:11" x14ac:dyDescent="0.35">
      <c r="B2686" s="62">
        <v>12.25</v>
      </c>
      <c r="C2686" s="471">
        <v>2702</v>
      </c>
      <c r="D2686" s="471">
        <v>2683.3</v>
      </c>
      <c r="E2686" s="469">
        <v>2.66</v>
      </c>
      <c r="F2686" s="469">
        <v>16.2</v>
      </c>
      <c r="G2686" s="469">
        <v>4.5</v>
      </c>
      <c r="H2686" s="470">
        <v>155</v>
      </c>
      <c r="I2686" s="470">
        <v>702</v>
      </c>
      <c r="J2686" s="470">
        <v>4242</v>
      </c>
      <c r="K2686" s="469">
        <v>1.84</v>
      </c>
    </row>
    <row r="2687" spans="2:11" x14ac:dyDescent="0.35">
      <c r="B2687" s="62">
        <v>12.25</v>
      </c>
      <c r="C2687" s="471">
        <v>2703</v>
      </c>
      <c r="D2687" s="471">
        <v>2684.2</v>
      </c>
      <c r="E2687" s="469">
        <v>2.73</v>
      </c>
      <c r="F2687" s="469">
        <v>15.7</v>
      </c>
      <c r="G2687" s="469">
        <v>4.0999999999999996</v>
      </c>
      <c r="H2687" s="470">
        <v>158</v>
      </c>
      <c r="I2687" s="470">
        <v>703</v>
      </c>
      <c r="J2687" s="470">
        <v>4230</v>
      </c>
      <c r="K2687" s="469">
        <v>1.84</v>
      </c>
    </row>
    <row r="2688" spans="2:11" x14ac:dyDescent="0.35">
      <c r="B2688" s="62">
        <v>12.25</v>
      </c>
      <c r="C2688" s="471">
        <v>2704</v>
      </c>
      <c r="D2688" s="471">
        <v>2685.3</v>
      </c>
      <c r="E2688" s="469">
        <v>2.62</v>
      </c>
      <c r="F2688" s="469">
        <v>15.3</v>
      </c>
      <c r="G2688" s="469">
        <v>4.4000000000000004</v>
      </c>
      <c r="H2688" s="470">
        <v>159</v>
      </c>
      <c r="I2688" s="470">
        <v>704</v>
      </c>
      <c r="J2688" s="470">
        <v>4261</v>
      </c>
      <c r="K2688" s="469">
        <v>1.84</v>
      </c>
    </row>
    <row r="2689" spans="2:11" x14ac:dyDescent="0.35">
      <c r="B2689" s="62">
        <v>12.25</v>
      </c>
      <c r="C2689" s="471">
        <v>2705</v>
      </c>
      <c r="D2689" s="471">
        <v>2686.2</v>
      </c>
      <c r="E2689" s="469">
        <v>2.83</v>
      </c>
      <c r="F2689" s="469">
        <v>15.5</v>
      </c>
      <c r="G2689" s="469">
        <v>4.2</v>
      </c>
      <c r="H2689" s="470">
        <v>160</v>
      </c>
      <c r="I2689" s="470">
        <v>705</v>
      </c>
      <c r="J2689" s="470">
        <v>4331</v>
      </c>
      <c r="K2689" s="469">
        <v>1.84</v>
      </c>
    </row>
    <row r="2690" spans="2:11" x14ac:dyDescent="0.35">
      <c r="B2690" s="62">
        <v>12.25</v>
      </c>
      <c r="C2690" s="471">
        <v>2706</v>
      </c>
      <c r="D2690" s="471">
        <v>2687.2</v>
      </c>
      <c r="E2690" s="469">
        <v>3.04</v>
      </c>
      <c r="F2690" s="469">
        <v>15.4</v>
      </c>
      <c r="G2690" s="469">
        <v>4.9000000000000004</v>
      </c>
      <c r="H2690" s="470">
        <v>162</v>
      </c>
      <c r="I2690" s="470">
        <v>703</v>
      </c>
      <c r="J2690" s="470">
        <v>4161</v>
      </c>
      <c r="K2690" s="469">
        <v>1.84</v>
      </c>
    </row>
    <row r="2691" spans="2:11" x14ac:dyDescent="0.35">
      <c r="B2691" s="62">
        <v>12.25</v>
      </c>
      <c r="C2691" s="471">
        <v>2707</v>
      </c>
      <c r="D2691" s="471">
        <v>2688.2</v>
      </c>
      <c r="E2691" s="469">
        <v>3.12</v>
      </c>
      <c r="F2691" s="469">
        <v>15.3</v>
      </c>
      <c r="G2691" s="469">
        <v>4.7</v>
      </c>
      <c r="H2691" s="470">
        <v>164</v>
      </c>
      <c r="I2691" s="470">
        <v>719</v>
      </c>
      <c r="J2691" s="470">
        <v>4032</v>
      </c>
      <c r="K2691" s="469">
        <v>1.84</v>
      </c>
    </row>
    <row r="2692" spans="2:11" x14ac:dyDescent="0.35">
      <c r="B2692" s="62">
        <v>12.25</v>
      </c>
      <c r="C2692" s="471">
        <v>2708</v>
      </c>
      <c r="D2692" s="471">
        <v>2689.2</v>
      </c>
      <c r="E2692" s="469">
        <v>3.26</v>
      </c>
      <c r="F2692" s="469">
        <v>15.6</v>
      </c>
      <c r="G2692" s="469">
        <v>4.5999999999999996</v>
      </c>
      <c r="H2692" s="470">
        <v>162</v>
      </c>
      <c r="I2692" s="470">
        <v>703</v>
      </c>
      <c r="J2692" s="470">
        <v>3995</v>
      </c>
      <c r="K2692" s="469">
        <v>1.84</v>
      </c>
    </row>
    <row r="2693" spans="2:11" x14ac:dyDescent="0.35">
      <c r="B2693" s="62">
        <v>12.25</v>
      </c>
      <c r="C2693" s="471">
        <v>2709</v>
      </c>
      <c r="D2693" s="471">
        <v>2690.1</v>
      </c>
      <c r="E2693" s="469">
        <v>2.4500000000000002</v>
      </c>
      <c r="F2693" s="469">
        <v>13.4</v>
      </c>
      <c r="G2693" s="469">
        <v>4</v>
      </c>
      <c r="H2693" s="470">
        <v>157</v>
      </c>
      <c r="I2693" s="470">
        <v>680</v>
      </c>
      <c r="J2693" s="470">
        <v>4074</v>
      </c>
      <c r="K2693" s="469">
        <v>1.84</v>
      </c>
    </row>
    <row r="2694" spans="2:11" x14ac:dyDescent="0.35">
      <c r="B2694" s="62">
        <v>12.25</v>
      </c>
      <c r="C2694" s="471">
        <v>2710</v>
      </c>
      <c r="D2694" s="471">
        <v>2691</v>
      </c>
      <c r="E2694" s="469">
        <v>2.3199999999999998</v>
      </c>
      <c r="F2694" s="469">
        <v>14.7</v>
      </c>
      <c r="G2694" s="469">
        <v>4.7</v>
      </c>
      <c r="H2694" s="470">
        <v>158</v>
      </c>
      <c r="I2694" s="470">
        <v>704</v>
      </c>
      <c r="J2694" s="470">
        <v>4282</v>
      </c>
      <c r="K2694" s="469">
        <v>1.84</v>
      </c>
    </row>
    <row r="2695" spans="2:11" x14ac:dyDescent="0.35">
      <c r="B2695" s="62">
        <v>12.25</v>
      </c>
      <c r="C2695" s="471">
        <v>2711</v>
      </c>
      <c r="D2695" s="471">
        <v>2692</v>
      </c>
      <c r="E2695" s="469">
        <v>2.57</v>
      </c>
      <c r="F2695" s="469">
        <v>15.3</v>
      </c>
      <c r="G2695" s="469">
        <v>5.5</v>
      </c>
      <c r="H2695" s="470">
        <v>159</v>
      </c>
      <c r="I2695" s="470">
        <v>706</v>
      </c>
      <c r="J2695" s="470">
        <v>4237</v>
      </c>
      <c r="K2695" s="469">
        <v>1.84</v>
      </c>
    </row>
    <row r="2696" spans="2:11" x14ac:dyDescent="0.35">
      <c r="B2696" s="62">
        <v>12.25</v>
      </c>
      <c r="C2696" s="471">
        <v>2712</v>
      </c>
      <c r="D2696" s="471">
        <v>2693</v>
      </c>
      <c r="E2696" s="469">
        <v>2.63</v>
      </c>
      <c r="F2696" s="469">
        <v>15.1</v>
      </c>
      <c r="G2696" s="469">
        <v>5</v>
      </c>
      <c r="H2696" s="470">
        <v>158</v>
      </c>
      <c r="I2696" s="470">
        <v>702</v>
      </c>
      <c r="J2696" s="470">
        <v>4363</v>
      </c>
      <c r="K2696" s="469">
        <v>1.84</v>
      </c>
    </row>
    <row r="2697" spans="2:11" x14ac:dyDescent="0.35">
      <c r="B2697" s="62">
        <v>12.25</v>
      </c>
      <c r="C2697" s="471">
        <v>2713</v>
      </c>
      <c r="D2697" s="471">
        <v>2694</v>
      </c>
      <c r="E2697" s="469">
        <v>8.57</v>
      </c>
      <c r="F2697" s="469">
        <v>14.8</v>
      </c>
      <c r="G2697" s="469">
        <v>8.1999999999999993</v>
      </c>
      <c r="H2697" s="470">
        <v>158</v>
      </c>
      <c r="I2697" s="470">
        <v>701</v>
      </c>
      <c r="J2697" s="470">
        <v>4481</v>
      </c>
      <c r="K2697" s="469">
        <v>1.84</v>
      </c>
    </row>
    <row r="2698" spans="2:11" x14ac:dyDescent="0.35">
      <c r="B2698" s="62">
        <v>12.25</v>
      </c>
      <c r="C2698" s="471">
        <v>2714</v>
      </c>
      <c r="D2698" s="471">
        <v>2695</v>
      </c>
      <c r="E2698" s="469">
        <v>32.92</v>
      </c>
      <c r="F2698" s="469">
        <v>12.5</v>
      </c>
      <c r="G2698" s="469">
        <v>9.8000000000000007</v>
      </c>
      <c r="H2698" s="470">
        <v>157</v>
      </c>
      <c r="I2698" s="470">
        <v>690</v>
      </c>
      <c r="J2698" s="470">
        <v>4462</v>
      </c>
      <c r="K2698" s="469">
        <v>1.84</v>
      </c>
    </row>
    <row r="2699" spans="2:11" x14ac:dyDescent="0.35">
      <c r="B2699" s="62">
        <v>12.25</v>
      </c>
      <c r="C2699" s="471">
        <v>2715</v>
      </c>
      <c r="D2699" s="471">
        <v>2695.9</v>
      </c>
      <c r="E2699" s="469">
        <v>23.66</v>
      </c>
      <c r="F2699" s="469">
        <v>15.4</v>
      </c>
      <c r="G2699" s="469">
        <v>9.1999999999999993</v>
      </c>
      <c r="H2699" s="470">
        <v>156</v>
      </c>
      <c r="I2699" s="470">
        <v>685</v>
      </c>
      <c r="J2699" s="470">
        <v>4486</v>
      </c>
      <c r="K2699" s="469">
        <v>1.84</v>
      </c>
    </row>
    <row r="2700" spans="2:11" x14ac:dyDescent="0.35">
      <c r="B2700" s="62">
        <v>12.25</v>
      </c>
      <c r="C2700" s="471">
        <v>2716</v>
      </c>
      <c r="D2700" s="471">
        <v>2696.9</v>
      </c>
      <c r="E2700" s="469">
        <v>14.8</v>
      </c>
      <c r="F2700" s="469">
        <v>14.1</v>
      </c>
      <c r="G2700" s="469">
        <v>7.7</v>
      </c>
      <c r="H2700" s="470">
        <v>139</v>
      </c>
      <c r="I2700" s="470">
        <v>498</v>
      </c>
      <c r="J2700" s="470">
        <v>4256</v>
      </c>
      <c r="K2700" s="469">
        <v>1.84</v>
      </c>
    </row>
    <row r="2701" spans="2:11" x14ac:dyDescent="0.35">
      <c r="B2701" s="62">
        <v>12.25</v>
      </c>
      <c r="C2701" s="471">
        <v>2717</v>
      </c>
      <c r="D2701" s="471">
        <v>2697.9</v>
      </c>
      <c r="E2701" s="469">
        <v>18.86</v>
      </c>
      <c r="F2701" s="469">
        <v>15.6</v>
      </c>
      <c r="G2701" s="469">
        <v>9</v>
      </c>
      <c r="H2701" s="470">
        <v>159</v>
      </c>
      <c r="I2701" s="470">
        <v>685</v>
      </c>
      <c r="J2701" s="470">
        <v>4347</v>
      </c>
      <c r="K2701" s="469">
        <v>1.84</v>
      </c>
    </row>
    <row r="2702" spans="2:11" x14ac:dyDescent="0.35">
      <c r="B2702" s="62">
        <v>12.25</v>
      </c>
      <c r="C2702" s="471">
        <v>2718</v>
      </c>
      <c r="D2702" s="471">
        <v>2698.9</v>
      </c>
      <c r="E2702" s="469">
        <v>15.63</v>
      </c>
      <c r="F2702" s="469">
        <v>15.3</v>
      </c>
      <c r="G2702" s="469">
        <v>7.4</v>
      </c>
      <c r="H2702" s="470">
        <v>158</v>
      </c>
      <c r="I2702" s="470">
        <v>673</v>
      </c>
      <c r="J2702" s="470">
        <v>4249</v>
      </c>
      <c r="K2702" s="469">
        <v>1.84</v>
      </c>
    </row>
    <row r="2703" spans="2:11" x14ac:dyDescent="0.35">
      <c r="B2703" s="62">
        <v>12.25</v>
      </c>
      <c r="C2703" s="471">
        <v>2719</v>
      </c>
      <c r="D2703" s="471">
        <v>2699.9</v>
      </c>
      <c r="E2703" s="469">
        <v>9.4</v>
      </c>
      <c r="F2703" s="469">
        <v>15.4</v>
      </c>
      <c r="G2703" s="469">
        <v>6.5</v>
      </c>
      <c r="H2703" s="470">
        <v>158</v>
      </c>
      <c r="I2703" s="470">
        <v>672</v>
      </c>
      <c r="J2703" s="470">
        <v>4108</v>
      </c>
      <c r="K2703" s="469">
        <v>1.84</v>
      </c>
    </row>
    <row r="2704" spans="2:11" x14ac:dyDescent="0.35">
      <c r="B2704" s="62">
        <v>12.25</v>
      </c>
      <c r="C2704" s="471">
        <v>2720</v>
      </c>
      <c r="D2704" s="471">
        <v>2700.8</v>
      </c>
      <c r="E2704" s="469">
        <v>6.73</v>
      </c>
      <c r="F2704" s="469">
        <v>15.8</v>
      </c>
      <c r="G2704" s="469">
        <v>6.4</v>
      </c>
      <c r="H2704" s="470">
        <v>158</v>
      </c>
      <c r="I2704" s="470">
        <v>673</v>
      </c>
      <c r="J2704" s="470">
        <v>4086</v>
      </c>
      <c r="K2704" s="469">
        <v>1.84</v>
      </c>
    </row>
    <row r="2705" spans="2:11" x14ac:dyDescent="0.35">
      <c r="B2705" s="62">
        <v>12.25</v>
      </c>
      <c r="C2705" s="471">
        <v>2721</v>
      </c>
      <c r="D2705" s="471">
        <v>2701.8</v>
      </c>
      <c r="E2705" s="469">
        <v>6.24</v>
      </c>
      <c r="F2705" s="469">
        <v>15.4</v>
      </c>
      <c r="G2705" s="469">
        <v>5.9</v>
      </c>
      <c r="H2705" s="470">
        <v>158</v>
      </c>
      <c r="I2705" s="470">
        <v>673</v>
      </c>
      <c r="J2705" s="470">
        <v>4048</v>
      </c>
      <c r="K2705" s="469">
        <v>1.84</v>
      </c>
    </row>
    <row r="2706" spans="2:11" x14ac:dyDescent="0.35">
      <c r="B2706" s="62">
        <v>12.25</v>
      </c>
      <c r="C2706" s="471">
        <v>2722</v>
      </c>
      <c r="D2706" s="471">
        <v>2702.8</v>
      </c>
      <c r="E2706" s="469">
        <v>7.86</v>
      </c>
      <c r="F2706" s="469">
        <v>15.2</v>
      </c>
      <c r="G2706" s="469">
        <v>7.1</v>
      </c>
      <c r="H2706" s="470">
        <v>158</v>
      </c>
      <c r="I2706" s="470">
        <v>671</v>
      </c>
      <c r="J2706" s="470">
        <v>4057</v>
      </c>
      <c r="K2706" s="469">
        <v>1.84</v>
      </c>
    </row>
    <row r="2707" spans="2:11" x14ac:dyDescent="0.35">
      <c r="B2707" s="62">
        <v>12.25</v>
      </c>
      <c r="C2707" s="471">
        <v>2723</v>
      </c>
      <c r="D2707" s="471">
        <v>2703.8</v>
      </c>
      <c r="E2707" s="469">
        <v>4.7</v>
      </c>
      <c r="F2707" s="469">
        <v>15.5</v>
      </c>
      <c r="G2707" s="469">
        <v>5.3</v>
      </c>
      <c r="H2707" s="470">
        <v>159</v>
      </c>
      <c r="I2707" s="470">
        <v>679</v>
      </c>
      <c r="J2707" s="470">
        <v>3979</v>
      </c>
      <c r="K2707" s="469">
        <v>1.84</v>
      </c>
    </row>
    <row r="2708" spans="2:11" x14ac:dyDescent="0.35">
      <c r="B2708" s="62">
        <v>12.25</v>
      </c>
      <c r="C2708" s="471">
        <v>2724</v>
      </c>
      <c r="D2708" s="471">
        <v>2704.8</v>
      </c>
      <c r="E2708" s="469">
        <v>6.26</v>
      </c>
      <c r="F2708" s="469">
        <v>14.5</v>
      </c>
      <c r="G2708" s="469">
        <v>5.9</v>
      </c>
      <c r="H2708" s="470">
        <v>160</v>
      </c>
      <c r="I2708" s="470">
        <v>690</v>
      </c>
      <c r="J2708" s="470">
        <v>3981</v>
      </c>
      <c r="K2708" s="469">
        <v>1.84</v>
      </c>
    </row>
    <row r="2709" spans="2:11" x14ac:dyDescent="0.35">
      <c r="B2709" s="62">
        <v>12.25</v>
      </c>
      <c r="C2709" s="471">
        <v>2725</v>
      </c>
      <c r="D2709" s="471">
        <v>2705.7</v>
      </c>
      <c r="E2709" s="469">
        <v>4.34</v>
      </c>
      <c r="F2709" s="469">
        <v>14.8</v>
      </c>
      <c r="G2709" s="469">
        <v>4.7</v>
      </c>
      <c r="H2709" s="470">
        <v>159</v>
      </c>
      <c r="I2709" s="470">
        <v>692</v>
      </c>
      <c r="J2709" s="470">
        <v>4063</v>
      </c>
      <c r="K2709" s="469">
        <v>1.84</v>
      </c>
    </row>
    <row r="2710" spans="2:11" x14ac:dyDescent="0.35">
      <c r="B2710" s="62">
        <v>12.25</v>
      </c>
      <c r="C2710" s="471">
        <v>2726</v>
      </c>
      <c r="D2710" s="471">
        <v>2706.7</v>
      </c>
      <c r="E2710" s="469">
        <v>4.53</v>
      </c>
      <c r="F2710" s="469">
        <v>15.3</v>
      </c>
      <c r="G2710" s="469">
        <v>4.4000000000000004</v>
      </c>
      <c r="H2710" s="470">
        <v>157</v>
      </c>
      <c r="I2710" s="470">
        <v>705</v>
      </c>
      <c r="J2710" s="470">
        <v>4219</v>
      </c>
      <c r="K2710" s="469">
        <v>1.84</v>
      </c>
    </row>
    <row r="2711" spans="2:11" x14ac:dyDescent="0.35">
      <c r="B2711" s="62">
        <v>12.25</v>
      </c>
      <c r="C2711" s="471">
        <v>2727</v>
      </c>
      <c r="D2711" s="471">
        <v>2707.7</v>
      </c>
      <c r="E2711" s="469">
        <v>5.34</v>
      </c>
      <c r="F2711" s="469">
        <v>15.4</v>
      </c>
      <c r="G2711" s="469">
        <v>5.4</v>
      </c>
      <c r="H2711" s="470">
        <v>157</v>
      </c>
      <c r="I2711" s="470">
        <v>703</v>
      </c>
      <c r="J2711" s="470">
        <v>4312</v>
      </c>
      <c r="K2711" s="469">
        <v>1.84</v>
      </c>
    </row>
    <row r="2712" spans="2:11" x14ac:dyDescent="0.35">
      <c r="B2712" s="62">
        <v>12.25</v>
      </c>
      <c r="C2712" s="471">
        <v>2728</v>
      </c>
      <c r="D2712" s="471">
        <v>2708.7</v>
      </c>
      <c r="E2712" s="469">
        <v>6.75</v>
      </c>
      <c r="F2712" s="469">
        <v>15.7</v>
      </c>
      <c r="G2712" s="469">
        <v>5.9</v>
      </c>
      <c r="H2712" s="470">
        <v>157</v>
      </c>
      <c r="I2712" s="470">
        <v>695</v>
      </c>
      <c r="J2712" s="470">
        <v>4273</v>
      </c>
      <c r="K2712" s="469">
        <v>1.84</v>
      </c>
    </row>
    <row r="2713" spans="2:11" x14ac:dyDescent="0.35">
      <c r="B2713" s="62">
        <v>12.25</v>
      </c>
      <c r="C2713" s="471">
        <v>2729</v>
      </c>
      <c r="D2713" s="471">
        <v>2709.7</v>
      </c>
      <c r="E2713" s="469">
        <v>5.65</v>
      </c>
      <c r="F2713" s="469">
        <v>16.100000000000001</v>
      </c>
      <c r="G2713" s="469">
        <v>5.4</v>
      </c>
      <c r="H2713" s="470">
        <v>157</v>
      </c>
      <c r="I2713" s="470">
        <v>695</v>
      </c>
      <c r="J2713" s="470">
        <v>4231</v>
      </c>
      <c r="K2713" s="469">
        <v>1.84</v>
      </c>
    </row>
    <row r="2714" spans="2:11" x14ac:dyDescent="0.35">
      <c r="B2714" s="62">
        <v>12.25</v>
      </c>
      <c r="C2714" s="471">
        <v>2730</v>
      </c>
      <c r="D2714" s="471">
        <v>2710.6</v>
      </c>
      <c r="E2714" s="469">
        <v>9.41</v>
      </c>
      <c r="F2714" s="469">
        <v>15.8</v>
      </c>
      <c r="G2714" s="469">
        <v>6.6</v>
      </c>
      <c r="H2714" s="470">
        <v>157</v>
      </c>
      <c r="I2714" s="470">
        <v>695</v>
      </c>
      <c r="J2714" s="470">
        <v>4234</v>
      </c>
      <c r="K2714" s="469">
        <v>1.84</v>
      </c>
    </row>
    <row r="2715" spans="2:11" x14ac:dyDescent="0.35">
      <c r="B2715" s="62">
        <v>12.25</v>
      </c>
      <c r="C2715" s="471">
        <v>2731</v>
      </c>
      <c r="D2715" s="471">
        <v>2711.6</v>
      </c>
      <c r="E2715" s="469">
        <v>9.83</v>
      </c>
      <c r="F2715" s="469">
        <v>16</v>
      </c>
      <c r="G2715" s="469">
        <v>6.5</v>
      </c>
      <c r="H2715" s="470">
        <v>157</v>
      </c>
      <c r="I2715" s="470">
        <v>694</v>
      </c>
      <c r="J2715" s="470">
        <v>4219</v>
      </c>
      <c r="K2715" s="469">
        <v>1.84</v>
      </c>
    </row>
    <row r="2716" spans="2:11" x14ac:dyDescent="0.35">
      <c r="B2716" s="62">
        <v>12.25</v>
      </c>
      <c r="C2716" s="471">
        <v>2732</v>
      </c>
      <c r="D2716" s="471">
        <v>2712.6</v>
      </c>
      <c r="E2716" s="469">
        <v>5.63</v>
      </c>
      <c r="F2716" s="469">
        <v>16</v>
      </c>
      <c r="G2716" s="469">
        <v>5.7</v>
      </c>
      <c r="H2716" s="470">
        <v>157</v>
      </c>
      <c r="I2716" s="470">
        <v>694</v>
      </c>
      <c r="J2716" s="470">
        <v>4174</v>
      </c>
      <c r="K2716" s="469">
        <v>1.84</v>
      </c>
    </row>
    <row r="2717" spans="2:11" x14ac:dyDescent="0.35">
      <c r="B2717" s="62">
        <v>12.25</v>
      </c>
      <c r="C2717" s="471">
        <v>2733</v>
      </c>
      <c r="D2717" s="471">
        <v>2713.6</v>
      </c>
      <c r="E2717" s="469">
        <v>5.78</v>
      </c>
      <c r="F2717" s="469">
        <v>16</v>
      </c>
      <c r="G2717" s="469">
        <v>5.4</v>
      </c>
      <c r="H2717" s="470">
        <v>157</v>
      </c>
      <c r="I2717" s="470">
        <v>694</v>
      </c>
      <c r="J2717" s="470">
        <v>4177</v>
      </c>
      <c r="K2717" s="469">
        <v>1.84</v>
      </c>
    </row>
    <row r="2718" spans="2:11" x14ac:dyDescent="0.35">
      <c r="B2718" s="62">
        <v>12.25</v>
      </c>
      <c r="C2718" s="471">
        <v>2734</v>
      </c>
      <c r="D2718" s="471">
        <v>2714.6</v>
      </c>
      <c r="E2718" s="469">
        <v>3.39</v>
      </c>
      <c r="F2718" s="469">
        <v>16.399999999999999</v>
      </c>
      <c r="G2718" s="469">
        <v>5.8</v>
      </c>
      <c r="H2718" s="470">
        <v>157</v>
      </c>
      <c r="I2718" s="470">
        <v>694</v>
      </c>
      <c r="J2718" s="470">
        <v>4180</v>
      </c>
      <c r="K2718" s="469">
        <v>1.84</v>
      </c>
    </row>
    <row r="2719" spans="2:11" x14ac:dyDescent="0.35">
      <c r="B2719" s="62">
        <v>12.25</v>
      </c>
      <c r="C2719" s="471">
        <v>2735</v>
      </c>
      <c r="D2719" s="471">
        <v>2715.6</v>
      </c>
      <c r="E2719" s="469">
        <v>7.19</v>
      </c>
      <c r="F2719" s="469">
        <v>15.1</v>
      </c>
      <c r="G2719" s="469">
        <v>6.1</v>
      </c>
      <c r="H2719" s="470">
        <v>157</v>
      </c>
      <c r="I2719" s="470">
        <v>692</v>
      </c>
      <c r="J2719" s="470">
        <v>4223</v>
      </c>
      <c r="K2719" s="469">
        <v>1.84</v>
      </c>
    </row>
    <row r="2720" spans="2:11" x14ac:dyDescent="0.35">
      <c r="B2720" s="62">
        <v>12.25</v>
      </c>
      <c r="C2720" s="471">
        <v>2736</v>
      </c>
      <c r="D2720" s="471">
        <v>2716.6</v>
      </c>
      <c r="E2720" s="469">
        <v>2.7</v>
      </c>
      <c r="F2720" s="469">
        <v>16.100000000000001</v>
      </c>
      <c r="G2720" s="469">
        <v>6.3</v>
      </c>
      <c r="H2720" s="470">
        <v>157</v>
      </c>
      <c r="I2720" s="470">
        <v>695</v>
      </c>
      <c r="J2720" s="470">
        <v>4174</v>
      </c>
      <c r="K2720" s="469">
        <v>1.84</v>
      </c>
    </row>
    <row r="2721" spans="2:11" x14ac:dyDescent="0.35">
      <c r="B2721" s="62">
        <v>12.25</v>
      </c>
      <c r="C2721" s="471">
        <v>2737</v>
      </c>
      <c r="D2721" s="471">
        <v>2717.5</v>
      </c>
      <c r="E2721" s="469">
        <v>2.14</v>
      </c>
      <c r="F2721" s="469">
        <v>15.2</v>
      </c>
      <c r="G2721" s="469">
        <v>5.7</v>
      </c>
      <c r="H2721" s="470">
        <v>156</v>
      </c>
      <c r="I2721" s="470">
        <v>686</v>
      </c>
      <c r="J2721" s="470">
        <v>4059</v>
      </c>
      <c r="K2721" s="469">
        <v>1.84</v>
      </c>
    </row>
    <row r="2722" spans="2:11" x14ac:dyDescent="0.35">
      <c r="B2722" s="62">
        <v>12.25</v>
      </c>
      <c r="C2722" s="471">
        <v>2738</v>
      </c>
      <c r="D2722" s="471">
        <v>2718.6</v>
      </c>
      <c r="E2722" s="469">
        <v>4.32</v>
      </c>
      <c r="F2722" s="469">
        <v>11.4</v>
      </c>
      <c r="G2722" s="469">
        <v>4.9000000000000004</v>
      </c>
      <c r="H2722" s="470">
        <v>158</v>
      </c>
      <c r="I2722" s="470">
        <v>694</v>
      </c>
      <c r="J2722" s="470">
        <v>4096</v>
      </c>
      <c r="K2722" s="469">
        <v>1.84</v>
      </c>
    </row>
    <row r="2723" spans="2:11" x14ac:dyDescent="0.35">
      <c r="B2723" s="62">
        <v>12.25</v>
      </c>
      <c r="C2723" s="471">
        <v>2739</v>
      </c>
      <c r="D2723" s="471">
        <v>2719.6</v>
      </c>
      <c r="E2723" s="469">
        <v>5.54</v>
      </c>
      <c r="F2723" s="469">
        <v>16.600000000000001</v>
      </c>
      <c r="G2723" s="469">
        <v>7.4</v>
      </c>
      <c r="H2723" s="470">
        <v>158</v>
      </c>
      <c r="I2723" s="470">
        <v>699</v>
      </c>
      <c r="J2723" s="470">
        <v>4265</v>
      </c>
      <c r="K2723" s="469">
        <v>1.84</v>
      </c>
    </row>
    <row r="2724" spans="2:11" x14ac:dyDescent="0.35">
      <c r="B2724" s="62">
        <v>12.25</v>
      </c>
      <c r="C2724" s="471">
        <v>2740</v>
      </c>
      <c r="D2724" s="471">
        <v>2720.5</v>
      </c>
      <c r="E2724" s="469">
        <v>5.34</v>
      </c>
      <c r="F2724" s="469">
        <v>15.2</v>
      </c>
      <c r="G2724" s="469">
        <v>7.2</v>
      </c>
      <c r="H2724" s="470">
        <v>158</v>
      </c>
      <c r="I2724" s="470">
        <v>699</v>
      </c>
      <c r="J2724" s="470">
        <v>4291</v>
      </c>
      <c r="K2724" s="469">
        <v>1.84</v>
      </c>
    </row>
    <row r="2725" spans="2:11" x14ac:dyDescent="0.35">
      <c r="B2725" s="62">
        <v>12.25</v>
      </c>
      <c r="C2725" s="471">
        <v>2741</v>
      </c>
      <c r="D2725" s="471">
        <v>2721.6</v>
      </c>
      <c r="E2725" s="469">
        <v>15.33</v>
      </c>
      <c r="F2725" s="469">
        <v>14.3</v>
      </c>
      <c r="G2725" s="469">
        <v>8</v>
      </c>
      <c r="H2725" s="470">
        <v>158</v>
      </c>
      <c r="I2725" s="470">
        <v>698</v>
      </c>
      <c r="J2725" s="470">
        <v>4374</v>
      </c>
      <c r="K2725" s="469">
        <v>1.84</v>
      </c>
    </row>
    <row r="2726" spans="2:11" x14ac:dyDescent="0.35">
      <c r="B2726" s="62">
        <v>12.25</v>
      </c>
      <c r="C2726" s="471">
        <v>2742</v>
      </c>
      <c r="D2726" s="471">
        <v>2722.5</v>
      </c>
      <c r="E2726" s="469">
        <v>10.16</v>
      </c>
      <c r="F2726" s="469">
        <v>14.2</v>
      </c>
      <c r="G2726" s="469">
        <v>5.8</v>
      </c>
      <c r="H2726" s="470">
        <v>157</v>
      </c>
      <c r="I2726" s="470">
        <v>685</v>
      </c>
      <c r="J2726" s="470">
        <v>4199</v>
      </c>
      <c r="K2726" s="469">
        <v>1.84</v>
      </c>
    </row>
    <row r="2727" spans="2:11" x14ac:dyDescent="0.35">
      <c r="B2727" s="62">
        <v>12.25</v>
      </c>
      <c r="C2727" s="471">
        <v>2743</v>
      </c>
      <c r="D2727" s="471">
        <v>2723.5</v>
      </c>
      <c r="E2727" s="469">
        <v>17.72</v>
      </c>
      <c r="F2727" s="469">
        <v>15.4</v>
      </c>
      <c r="G2727" s="469">
        <v>8.8000000000000007</v>
      </c>
      <c r="H2727" s="470">
        <v>157</v>
      </c>
      <c r="I2727" s="470">
        <v>686</v>
      </c>
      <c r="J2727" s="470">
        <v>4230</v>
      </c>
      <c r="K2727" s="469">
        <v>1.84</v>
      </c>
    </row>
    <row r="2728" spans="2:11" x14ac:dyDescent="0.35">
      <c r="B2728" s="62">
        <v>12.25</v>
      </c>
      <c r="C2728" s="471">
        <v>2744</v>
      </c>
      <c r="D2728" s="471">
        <v>2724.5</v>
      </c>
      <c r="E2728" s="469">
        <v>11.07</v>
      </c>
      <c r="F2728" s="469">
        <v>14.4</v>
      </c>
      <c r="G2728" s="469">
        <v>7.2</v>
      </c>
      <c r="H2728" s="470">
        <v>161</v>
      </c>
      <c r="I2728" s="470">
        <v>729</v>
      </c>
      <c r="J2728" s="470">
        <v>4243</v>
      </c>
      <c r="K2728" s="469">
        <v>1.84</v>
      </c>
    </row>
    <row r="2729" spans="2:11" x14ac:dyDescent="0.35">
      <c r="B2729" s="62">
        <v>12.25</v>
      </c>
      <c r="C2729" s="471">
        <v>2745</v>
      </c>
      <c r="D2729" s="471">
        <v>2725.5</v>
      </c>
      <c r="E2729" s="469">
        <v>8.61</v>
      </c>
      <c r="F2729" s="469">
        <v>14.9</v>
      </c>
      <c r="G2729" s="469">
        <v>6.4</v>
      </c>
      <c r="H2729" s="470">
        <v>157</v>
      </c>
      <c r="I2729" s="470">
        <v>686</v>
      </c>
      <c r="J2729" s="470">
        <v>4244</v>
      </c>
      <c r="K2729" s="469">
        <v>1.84</v>
      </c>
    </row>
    <row r="2730" spans="2:11" x14ac:dyDescent="0.35">
      <c r="B2730" s="62">
        <v>12.25</v>
      </c>
      <c r="C2730" s="471">
        <v>2746</v>
      </c>
      <c r="D2730" s="471">
        <v>2726.5</v>
      </c>
      <c r="E2730" s="469">
        <v>3.89</v>
      </c>
      <c r="F2730" s="469">
        <v>13.9</v>
      </c>
      <c r="G2730" s="469">
        <v>5.3</v>
      </c>
      <c r="H2730" s="470">
        <v>156</v>
      </c>
      <c r="I2730" s="470">
        <v>682</v>
      </c>
      <c r="J2730" s="470">
        <v>4334</v>
      </c>
      <c r="K2730" s="469">
        <v>1.84</v>
      </c>
    </row>
    <row r="2731" spans="2:11" x14ac:dyDescent="0.35">
      <c r="B2731" s="62">
        <v>12.25</v>
      </c>
      <c r="C2731" s="471">
        <v>2747</v>
      </c>
      <c r="D2731" s="471">
        <v>2727.4</v>
      </c>
      <c r="E2731" s="469">
        <v>3.4</v>
      </c>
      <c r="F2731" s="469">
        <v>15</v>
      </c>
      <c r="G2731" s="469">
        <v>4.8</v>
      </c>
      <c r="H2731" s="470">
        <v>157</v>
      </c>
      <c r="I2731" s="470">
        <v>686</v>
      </c>
      <c r="J2731" s="470">
        <v>4194</v>
      </c>
      <c r="K2731" s="469">
        <v>1.84</v>
      </c>
    </row>
    <row r="2732" spans="2:11" x14ac:dyDescent="0.35">
      <c r="B2732" s="62">
        <v>12.25</v>
      </c>
      <c r="C2732" s="471">
        <v>2748</v>
      </c>
      <c r="D2732" s="471">
        <v>2728.4</v>
      </c>
      <c r="E2732" s="469">
        <v>8.39</v>
      </c>
      <c r="F2732" s="469">
        <v>15.2</v>
      </c>
      <c r="G2732" s="469">
        <v>8.3000000000000007</v>
      </c>
      <c r="H2732" s="470">
        <v>156</v>
      </c>
      <c r="I2732" s="470">
        <v>685</v>
      </c>
      <c r="J2732" s="470">
        <v>4207</v>
      </c>
      <c r="K2732" s="469">
        <v>1.84</v>
      </c>
    </row>
    <row r="2733" spans="2:11" x14ac:dyDescent="0.35">
      <c r="B2733" s="62">
        <v>12.25</v>
      </c>
      <c r="C2733" s="471">
        <v>2749</v>
      </c>
      <c r="D2733" s="471">
        <v>2729.4</v>
      </c>
      <c r="E2733" s="469">
        <v>25.89</v>
      </c>
      <c r="F2733" s="469">
        <v>14.9</v>
      </c>
      <c r="G2733" s="469">
        <v>10.199999999999999</v>
      </c>
      <c r="H2733" s="470">
        <v>156</v>
      </c>
      <c r="I2733" s="470">
        <v>680</v>
      </c>
      <c r="J2733" s="470">
        <v>4314</v>
      </c>
      <c r="K2733" s="469">
        <v>1.84</v>
      </c>
    </row>
    <row r="2734" spans="2:11" x14ac:dyDescent="0.35">
      <c r="B2734" s="62">
        <v>12.25</v>
      </c>
      <c r="C2734" s="471">
        <v>2750</v>
      </c>
      <c r="D2734" s="471">
        <v>2730.4</v>
      </c>
      <c r="E2734" s="469">
        <v>23.76</v>
      </c>
      <c r="F2734" s="469">
        <v>15.1</v>
      </c>
      <c r="G2734" s="469">
        <v>7.3</v>
      </c>
      <c r="H2734" s="470">
        <v>156</v>
      </c>
      <c r="I2734" s="470">
        <v>681</v>
      </c>
      <c r="J2734" s="470">
        <v>4340</v>
      </c>
      <c r="K2734" s="469">
        <v>1.84</v>
      </c>
    </row>
    <row r="2735" spans="2:11" x14ac:dyDescent="0.35">
      <c r="B2735" s="62">
        <v>12.25</v>
      </c>
      <c r="C2735" s="471">
        <v>2751</v>
      </c>
      <c r="D2735" s="471">
        <v>2731.4</v>
      </c>
      <c r="E2735" s="469">
        <v>9.25</v>
      </c>
      <c r="F2735" s="469">
        <v>15</v>
      </c>
      <c r="G2735" s="469">
        <v>6.1</v>
      </c>
      <c r="H2735" s="470">
        <v>156</v>
      </c>
      <c r="I2735" s="470">
        <v>684</v>
      </c>
      <c r="J2735" s="470">
        <v>4241</v>
      </c>
      <c r="K2735" s="469">
        <v>1.84</v>
      </c>
    </row>
    <row r="2736" spans="2:11" x14ac:dyDescent="0.35">
      <c r="B2736" s="62">
        <v>12.25</v>
      </c>
      <c r="C2736" s="471">
        <v>2752</v>
      </c>
      <c r="D2736" s="471">
        <v>2732.4</v>
      </c>
      <c r="E2736" s="469">
        <v>2.37</v>
      </c>
      <c r="F2736" s="469">
        <v>15.6</v>
      </c>
      <c r="G2736" s="469">
        <v>4.8</v>
      </c>
      <c r="H2736" s="470">
        <v>157</v>
      </c>
      <c r="I2736" s="470">
        <v>691</v>
      </c>
      <c r="J2736" s="470">
        <v>4171</v>
      </c>
      <c r="K2736" s="469">
        <v>1.84</v>
      </c>
    </row>
    <row r="2737" spans="2:11" x14ac:dyDescent="0.35">
      <c r="B2737" s="62">
        <v>12.25</v>
      </c>
      <c r="C2737" s="471">
        <v>2753</v>
      </c>
      <c r="D2737" s="471">
        <v>2733.3</v>
      </c>
      <c r="E2737" s="469">
        <v>17.850000000000001</v>
      </c>
      <c r="F2737" s="469">
        <v>14.5</v>
      </c>
      <c r="G2737" s="469">
        <v>8.5</v>
      </c>
      <c r="H2737" s="470">
        <v>156</v>
      </c>
      <c r="I2737" s="470">
        <v>685</v>
      </c>
      <c r="J2737" s="470">
        <v>4292</v>
      </c>
      <c r="K2737" s="469">
        <v>1.84</v>
      </c>
    </row>
    <row r="2738" spans="2:11" x14ac:dyDescent="0.35">
      <c r="B2738" s="62">
        <v>12.25</v>
      </c>
      <c r="C2738" s="471">
        <v>2754</v>
      </c>
      <c r="D2738" s="471">
        <v>2734.3</v>
      </c>
      <c r="E2738" s="469">
        <v>24.52</v>
      </c>
      <c r="F2738" s="469">
        <v>14.6</v>
      </c>
      <c r="G2738" s="469">
        <v>9.1</v>
      </c>
      <c r="H2738" s="470">
        <v>157</v>
      </c>
      <c r="I2738" s="470">
        <v>686</v>
      </c>
      <c r="J2738" s="470">
        <v>4342</v>
      </c>
      <c r="K2738" s="469">
        <v>1.84</v>
      </c>
    </row>
    <row r="2739" spans="2:11" x14ac:dyDescent="0.35">
      <c r="B2739" s="62">
        <v>12.25</v>
      </c>
      <c r="C2739" s="471">
        <v>2755</v>
      </c>
      <c r="D2739" s="471">
        <v>2735.3</v>
      </c>
      <c r="E2739" s="469">
        <v>5.03</v>
      </c>
      <c r="F2739" s="469">
        <v>14.8</v>
      </c>
      <c r="G2739" s="469">
        <v>5.6</v>
      </c>
      <c r="H2739" s="470">
        <v>158</v>
      </c>
      <c r="I2739" s="470">
        <v>696</v>
      </c>
      <c r="J2739" s="470">
        <v>4284</v>
      </c>
      <c r="K2739" s="469">
        <v>1.84</v>
      </c>
    </row>
    <row r="2740" spans="2:11" x14ac:dyDescent="0.35">
      <c r="B2740" s="62">
        <v>12.25</v>
      </c>
      <c r="C2740" s="471">
        <v>2756</v>
      </c>
      <c r="D2740" s="471">
        <v>2736.3</v>
      </c>
      <c r="E2740" s="469">
        <v>2.69</v>
      </c>
      <c r="F2740" s="469">
        <v>15.5</v>
      </c>
      <c r="G2740" s="469">
        <v>6.1</v>
      </c>
      <c r="H2740" s="470">
        <v>157</v>
      </c>
      <c r="I2740" s="470">
        <v>696</v>
      </c>
      <c r="J2740" s="470">
        <v>4279</v>
      </c>
      <c r="K2740" s="469">
        <v>1.84</v>
      </c>
    </row>
    <row r="2741" spans="2:11" x14ac:dyDescent="0.35">
      <c r="B2741" s="62">
        <v>12.25</v>
      </c>
      <c r="C2741" s="471">
        <v>2757</v>
      </c>
      <c r="D2741" s="471">
        <v>2737.3</v>
      </c>
      <c r="E2741" s="469">
        <v>2.67</v>
      </c>
      <c r="F2741" s="469">
        <v>15.2</v>
      </c>
      <c r="G2741" s="469">
        <v>4.8</v>
      </c>
      <c r="H2741" s="470">
        <v>158</v>
      </c>
      <c r="I2741" s="470">
        <v>697</v>
      </c>
      <c r="J2741" s="470">
        <v>4177</v>
      </c>
      <c r="K2741" s="469">
        <v>1.84</v>
      </c>
    </row>
    <row r="2742" spans="2:11" x14ac:dyDescent="0.35">
      <c r="B2742" s="62">
        <v>12.25</v>
      </c>
      <c r="C2742" s="471">
        <v>2758</v>
      </c>
      <c r="D2742" s="471">
        <v>2738.2</v>
      </c>
      <c r="E2742" s="469">
        <v>8.7899999999999991</v>
      </c>
      <c r="F2742" s="469">
        <v>14.6</v>
      </c>
      <c r="G2742" s="469">
        <v>8.6999999999999993</v>
      </c>
      <c r="H2742" s="470">
        <v>157</v>
      </c>
      <c r="I2742" s="470">
        <v>689</v>
      </c>
      <c r="J2742" s="470">
        <v>4293</v>
      </c>
      <c r="K2742" s="469">
        <v>1.84</v>
      </c>
    </row>
    <row r="2743" spans="2:11" x14ac:dyDescent="0.35">
      <c r="B2743" s="62">
        <v>12.25</v>
      </c>
      <c r="C2743" s="471">
        <v>2759</v>
      </c>
      <c r="D2743" s="471">
        <v>2739.2</v>
      </c>
      <c r="E2743" s="469">
        <v>26.32</v>
      </c>
      <c r="F2743" s="469">
        <v>13.9</v>
      </c>
      <c r="G2743" s="469">
        <v>9.4</v>
      </c>
      <c r="H2743" s="470">
        <v>157</v>
      </c>
      <c r="I2743" s="470">
        <v>686</v>
      </c>
      <c r="J2743" s="470">
        <v>4324</v>
      </c>
      <c r="K2743" s="469">
        <v>1.84</v>
      </c>
    </row>
    <row r="2744" spans="2:11" x14ac:dyDescent="0.35">
      <c r="B2744" s="62">
        <v>12.25</v>
      </c>
      <c r="C2744" s="471">
        <v>2760</v>
      </c>
      <c r="D2744" s="471">
        <v>2740.2</v>
      </c>
      <c r="E2744" s="469">
        <v>23.35</v>
      </c>
      <c r="F2744" s="469">
        <v>14.3</v>
      </c>
      <c r="G2744" s="469">
        <v>10</v>
      </c>
      <c r="H2744" s="470">
        <v>157</v>
      </c>
      <c r="I2744" s="470">
        <v>687</v>
      </c>
      <c r="J2744" s="470">
        <v>4356</v>
      </c>
      <c r="K2744" s="469">
        <v>1.84</v>
      </c>
    </row>
    <row r="2745" spans="2:11" x14ac:dyDescent="0.35">
      <c r="B2745" s="62">
        <v>12.25</v>
      </c>
      <c r="C2745" s="471">
        <v>2761</v>
      </c>
      <c r="D2745" s="471">
        <v>2741.2</v>
      </c>
      <c r="E2745" s="469">
        <v>13</v>
      </c>
      <c r="F2745" s="469">
        <v>13.7</v>
      </c>
      <c r="G2745" s="469">
        <v>7.6</v>
      </c>
      <c r="H2745" s="470">
        <v>158</v>
      </c>
      <c r="I2745" s="470">
        <v>696</v>
      </c>
      <c r="J2745" s="470">
        <v>4307</v>
      </c>
      <c r="K2745" s="469">
        <v>1.84</v>
      </c>
    </row>
    <row r="2746" spans="2:11" x14ac:dyDescent="0.35">
      <c r="B2746" s="62">
        <v>12.25</v>
      </c>
      <c r="C2746" s="471">
        <v>2762</v>
      </c>
      <c r="D2746" s="471">
        <v>2742.2</v>
      </c>
      <c r="E2746" s="469">
        <v>9.19</v>
      </c>
      <c r="F2746" s="469">
        <v>14.5</v>
      </c>
      <c r="G2746" s="469">
        <v>7.5</v>
      </c>
      <c r="H2746" s="470">
        <v>158</v>
      </c>
      <c r="I2746" s="470">
        <v>695</v>
      </c>
      <c r="J2746" s="470">
        <v>4292</v>
      </c>
      <c r="K2746" s="469">
        <v>1.84</v>
      </c>
    </row>
    <row r="2747" spans="2:11" x14ac:dyDescent="0.35">
      <c r="B2747" s="62">
        <v>12.25</v>
      </c>
      <c r="C2747" s="471">
        <v>2763</v>
      </c>
      <c r="D2747" s="471">
        <v>2743.1</v>
      </c>
      <c r="E2747" s="469">
        <v>10.72</v>
      </c>
      <c r="F2747" s="469">
        <v>14.4</v>
      </c>
      <c r="G2747" s="469">
        <v>7.5</v>
      </c>
      <c r="H2747" s="470">
        <v>158</v>
      </c>
      <c r="I2747" s="470">
        <v>692</v>
      </c>
      <c r="J2747" s="470">
        <v>4337</v>
      </c>
      <c r="K2747" s="469">
        <v>1.84</v>
      </c>
    </row>
    <row r="2748" spans="2:11" x14ac:dyDescent="0.35">
      <c r="B2748" s="62">
        <v>12.25</v>
      </c>
      <c r="C2748" s="471">
        <v>2764</v>
      </c>
      <c r="D2748" s="471">
        <v>2744.1</v>
      </c>
      <c r="E2748" s="469">
        <v>2.74</v>
      </c>
      <c r="F2748" s="469">
        <v>15.2</v>
      </c>
      <c r="G2748" s="469">
        <v>5.7</v>
      </c>
      <c r="H2748" s="470">
        <v>158</v>
      </c>
      <c r="I2748" s="470">
        <v>697</v>
      </c>
      <c r="J2748" s="470">
        <v>4254</v>
      </c>
      <c r="K2748" s="469">
        <v>1.84</v>
      </c>
    </row>
    <row r="2749" spans="2:11" x14ac:dyDescent="0.35">
      <c r="B2749" s="62">
        <v>12.25</v>
      </c>
      <c r="C2749" s="471">
        <v>2765</v>
      </c>
      <c r="D2749" s="471">
        <v>2745.1</v>
      </c>
      <c r="E2749" s="469">
        <v>18.690000000000001</v>
      </c>
      <c r="F2749" s="469">
        <v>12.7</v>
      </c>
      <c r="G2749" s="469">
        <v>8.6999999999999993</v>
      </c>
      <c r="H2749" s="470">
        <v>157</v>
      </c>
      <c r="I2749" s="470">
        <v>691</v>
      </c>
      <c r="J2749" s="470">
        <v>4377</v>
      </c>
      <c r="K2749" s="469">
        <v>1.84</v>
      </c>
    </row>
    <row r="2750" spans="2:11" x14ac:dyDescent="0.35">
      <c r="B2750" s="62">
        <v>12.25</v>
      </c>
      <c r="C2750" s="471">
        <v>2766</v>
      </c>
      <c r="D2750" s="471">
        <v>2746.1</v>
      </c>
      <c r="E2750" s="469">
        <v>12.02</v>
      </c>
      <c r="F2750" s="469">
        <v>11.5</v>
      </c>
      <c r="G2750" s="469">
        <v>5.2</v>
      </c>
      <c r="H2750" s="470">
        <v>158</v>
      </c>
      <c r="I2750" s="470">
        <v>693</v>
      </c>
      <c r="J2750" s="470">
        <v>4291</v>
      </c>
      <c r="K2750" s="469">
        <v>1.84</v>
      </c>
    </row>
    <row r="2751" spans="2:11" x14ac:dyDescent="0.35">
      <c r="B2751" s="62">
        <v>12.25</v>
      </c>
      <c r="C2751" s="471">
        <v>2767</v>
      </c>
      <c r="D2751" s="471">
        <v>2747.1</v>
      </c>
      <c r="E2751" s="469">
        <v>13.71</v>
      </c>
      <c r="F2751" s="469">
        <v>12.3</v>
      </c>
      <c r="G2751" s="469">
        <v>7.5</v>
      </c>
      <c r="H2751" s="470">
        <v>157</v>
      </c>
      <c r="I2751" s="470">
        <v>686</v>
      </c>
      <c r="J2751" s="470">
        <v>4259</v>
      </c>
      <c r="K2751" s="469">
        <v>1.84</v>
      </c>
    </row>
    <row r="2752" spans="2:11" x14ac:dyDescent="0.35">
      <c r="B2752" s="62">
        <v>12.25</v>
      </c>
      <c r="C2752" s="471">
        <v>2768</v>
      </c>
      <c r="D2752" s="471">
        <v>2748</v>
      </c>
      <c r="E2752" s="469">
        <v>9.91</v>
      </c>
      <c r="F2752" s="469">
        <v>14.4</v>
      </c>
      <c r="G2752" s="469">
        <v>7.9</v>
      </c>
      <c r="H2752" s="470">
        <v>158</v>
      </c>
      <c r="I2752" s="470">
        <v>690</v>
      </c>
      <c r="J2752" s="470">
        <v>4346</v>
      </c>
      <c r="K2752" s="469">
        <v>1.84</v>
      </c>
    </row>
    <row r="2753" spans="2:11" x14ac:dyDescent="0.35">
      <c r="B2753" s="62">
        <v>12.25</v>
      </c>
      <c r="C2753" s="471">
        <v>2769</v>
      </c>
      <c r="D2753" s="471">
        <v>2749.1</v>
      </c>
      <c r="E2753" s="469">
        <v>6.97</v>
      </c>
      <c r="F2753" s="469">
        <v>14.2</v>
      </c>
      <c r="G2753" s="469">
        <v>6.5</v>
      </c>
      <c r="H2753" s="470">
        <v>159</v>
      </c>
      <c r="I2753" s="470">
        <v>694</v>
      </c>
      <c r="J2753" s="470">
        <v>4365</v>
      </c>
      <c r="K2753" s="469">
        <v>1.84</v>
      </c>
    </row>
    <row r="2754" spans="2:11" x14ac:dyDescent="0.35">
      <c r="B2754" s="62">
        <v>12.25</v>
      </c>
      <c r="C2754" s="471">
        <v>2770</v>
      </c>
      <c r="D2754" s="471">
        <v>2750</v>
      </c>
      <c r="E2754" s="469">
        <v>4.38</v>
      </c>
      <c r="F2754" s="469">
        <v>12.4</v>
      </c>
      <c r="G2754" s="469">
        <v>6.4</v>
      </c>
      <c r="H2754" s="470">
        <v>159</v>
      </c>
      <c r="I2754" s="470">
        <v>699</v>
      </c>
      <c r="J2754" s="470">
        <v>4342</v>
      </c>
      <c r="K2754" s="469">
        <v>1.84</v>
      </c>
    </row>
    <row r="2755" spans="2:11" x14ac:dyDescent="0.35">
      <c r="B2755" s="62">
        <v>12.25</v>
      </c>
      <c r="C2755" s="471">
        <v>2771</v>
      </c>
      <c r="D2755" s="471">
        <v>2751</v>
      </c>
      <c r="E2755" s="469">
        <v>5.34</v>
      </c>
      <c r="F2755" s="469">
        <v>12</v>
      </c>
      <c r="G2755" s="469">
        <v>5.5</v>
      </c>
      <c r="H2755" s="470">
        <v>158</v>
      </c>
      <c r="I2755" s="470">
        <v>686</v>
      </c>
      <c r="J2755" s="470">
        <v>4277</v>
      </c>
      <c r="K2755" s="469">
        <v>1.84</v>
      </c>
    </row>
    <row r="2756" spans="2:11" x14ac:dyDescent="0.35">
      <c r="B2756" s="62">
        <v>12.25</v>
      </c>
      <c r="C2756" s="471">
        <v>2772</v>
      </c>
      <c r="D2756" s="471">
        <v>2752</v>
      </c>
      <c r="E2756" s="469">
        <v>2.14</v>
      </c>
      <c r="F2756" s="469">
        <v>12.8</v>
      </c>
      <c r="G2756" s="469">
        <v>4.3</v>
      </c>
      <c r="H2756" s="470">
        <v>158</v>
      </c>
      <c r="I2756" s="470">
        <v>694</v>
      </c>
      <c r="J2756" s="470">
        <v>4250</v>
      </c>
      <c r="K2756" s="469">
        <v>1.84</v>
      </c>
    </row>
    <row r="2757" spans="2:11" x14ac:dyDescent="0.35">
      <c r="B2757" s="62">
        <v>12.25</v>
      </c>
      <c r="C2757" s="471">
        <v>2773</v>
      </c>
      <c r="D2757" s="471">
        <v>2753.2</v>
      </c>
      <c r="E2757" s="469">
        <v>2.83</v>
      </c>
      <c r="F2757" s="469">
        <v>13.8</v>
      </c>
      <c r="G2757" s="469">
        <v>5.3</v>
      </c>
      <c r="H2757" s="470">
        <v>159</v>
      </c>
      <c r="I2757" s="470">
        <v>697</v>
      </c>
      <c r="J2757" s="470">
        <v>4277</v>
      </c>
      <c r="K2757" s="469">
        <v>1.84</v>
      </c>
    </row>
    <row r="2758" spans="2:11" x14ac:dyDescent="0.35">
      <c r="B2758" s="62">
        <v>12.25</v>
      </c>
      <c r="C2758" s="471">
        <v>2774</v>
      </c>
      <c r="D2758" s="471">
        <v>2754.2</v>
      </c>
      <c r="E2758" s="469">
        <v>12.07</v>
      </c>
      <c r="F2758" s="469">
        <v>12.2</v>
      </c>
      <c r="G2758" s="469">
        <v>7</v>
      </c>
      <c r="H2758" s="470">
        <v>159</v>
      </c>
      <c r="I2758" s="470">
        <v>695</v>
      </c>
      <c r="J2758" s="470">
        <v>4354</v>
      </c>
      <c r="K2758" s="469">
        <v>1.84</v>
      </c>
    </row>
    <row r="2759" spans="2:11" x14ac:dyDescent="0.35">
      <c r="B2759" s="62">
        <v>12.25</v>
      </c>
      <c r="C2759" s="471">
        <v>2775</v>
      </c>
      <c r="D2759" s="471">
        <v>2755.2</v>
      </c>
      <c r="E2759" s="469">
        <v>8.43</v>
      </c>
      <c r="F2759" s="469">
        <v>12.3</v>
      </c>
      <c r="G2759" s="469">
        <v>7.1</v>
      </c>
      <c r="H2759" s="470">
        <v>160</v>
      </c>
      <c r="I2759" s="470">
        <v>697</v>
      </c>
      <c r="J2759" s="470">
        <v>4387</v>
      </c>
      <c r="K2759" s="469">
        <v>1.84</v>
      </c>
    </row>
    <row r="2760" spans="2:11" x14ac:dyDescent="0.35">
      <c r="B2760" s="62">
        <v>12.25</v>
      </c>
      <c r="C2760" s="471">
        <v>2776</v>
      </c>
      <c r="D2760" s="471">
        <v>2756.2</v>
      </c>
      <c r="E2760" s="469">
        <v>13</v>
      </c>
      <c r="F2760" s="469">
        <v>13.6</v>
      </c>
      <c r="G2760" s="469">
        <v>8.6</v>
      </c>
      <c r="H2760" s="470">
        <v>158</v>
      </c>
      <c r="I2760" s="470">
        <v>688</v>
      </c>
      <c r="J2760" s="470">
        <v>4314</v>
      </c>
      <c r="K2760" s="469">
        <v>1.84</v>
      </c>
    </row>
    <row r="2761" spans="2:11" x14ac:dyDescent="0.35">
      <c r="B2761" s="62">
        <v>12.25</v>
      </c>
      <c r="C2761" s="471">
        <v>2777</v>
      </c>
      <c r="D2761" s="471">
        <v>2757.2</v>
      </c>
      <c r="E2761" s="469">
        <v>11.77</v>
      </c>
      <c r="F2761" s="469">
        <v>14.3</v>
      </c>
      <c r="G2761" s="469">
        <v>8.6999999999999993</v>
      </c>
      <c r="H2761" s="470">
        <v>158</v>
      </c>
      <c r="I2761" s="470">
        <v>689</v>
      </c>
      <c r="J2761" s="470">
        <v>4356</v>
      </c>
      <c r="K2761" s="469">
        <v>1.84</v>
      </c>
    </row>
    <row r="2762" spans="2:11" x14ac:dyDescent="0.35">
      <c r="B2762" s="62">
        <v>12.25</v>
      </c>
      <c r="C2762" s="471">
        <v>2778</v>
      </c>
      <c r="D2762" s="471">
        <v>2758.1</v>
      </c>
      <c r="E2762" s="469">
        <v>6.58</v>
      </c>
      <c r="F2762" s="469">
        <v>14.7</v>
      </c>
      <c r="G2762" s="469">
        <v>6.9</v>
      </c>
      <c r="H2762" s="470">
        <v>159</v>
      </c>
      <c r="I2762" s="470">
        <v>691</v>
      </c>
      <c r="J2762" s="470">
        <v>4345</v>
      </c>
      <c r="K2762" s="469">
        <v>1.84</v>
      </c>
    </row>
    <row r="2763" spans="2:11" x14ac:dyDescent="0.35">
      <c r="B2763" s="62">
        <v>12.25</v>
      </c>
      <c r="C2763" s="471">
        <v>2779</v>
      </c>
      <c r="D2763" s="471">
        <v>2759.1</v>
      </c>
      <c r="E2763" s="469">
        <v>5.88</v>
      </c>
      <c r="F2763" s="469">
        <v>15.1</v>
      </c>
      <c r="G2763" s="469">
        <v>6.5</v>
      </c>
      <c r="H2763" s="470">
        <v>158</v>
      </c>
      <c r="I2763" s="470">
        <v>689</v>
      </c>
      <c r="J2763" s="470">
        <v>4302</v>
      </c>
      <c r="K2763" s="469">
        <v>1.84</v>
      </c>
    </row>
    <row r="2764" spans="2:11" x14ac:dyDescent="0.35">
      <c r="B2764" s="62">
        <v>12.25</v>
      </c>
      <c r="C2764" s="471">
        <v>2780</v>
      </c>
      <c r="D2764" s="471">
        <v>2760.1</v>
      </c>
      <c r="E2764" s="469">
        <v>2.17</v>
      </c>
      <c r="F2764" s="469">
        <v>15</v>
      </c>
      <c r="G2764" s="469">
        <v>4.5</v>
      </c>
      <c r="H2764" s="470">
        <v>160</v>
      </c>
      <c r="I2764" s="470">
        <v>699</v>
      </c>
      <c r="J2764" s="470">
        <v>4213</v>
      </c>
      <c r="K2764" s="469">
        <v>1.84</v>
      </c>
    </row>
    <row r="2765" spans="2:11" x14ac:dyDescent="0.35">
      <c r="B2765" s="62">
        <v>12.25</v>
      </c>
      <c r="C2765" s="471">
        <v>2781</v>
      </c>
      <c r="D2765" s="471">
        <v>2761.1</v>
      </c>
      <c r="E2765" s="469">
        <v>2.85</v>
      </c>
      <c r="F2765" s="469">
        <v>15.5</v>
      </c>
      <c r="G2765" s="469">
        <v>5</v>
      </c>
      <c r="H2765" s="470">
        <v>157</v>
      </c>
      <c r="I2765" s="470">
        <v>699</v>
      </c>
      <c r="J2765" s="470">
        <v>4196</v>
      </c>
      <c r="K2765" s="469">
        <v>1.84</v>
      </c>
    </row>
    <row r="2766" spans="2:11" x14ac:dyDescent="0.35">
      <c r="B2766" s="62">
        <v>12.25</v>
      </c>
      <c r="C2766" s="471">
        <v>2782</v>
      </c>
      <c r="D2766" s="471">
        <v>2762.1</v>
      </c>
      <c r="E2766" s="469">
        <v>2.56</v>
      </c>
      <c r="F2766" s="469">
        <v>15.3</v>
      </c>
      <c r="G2766" s="469">
        <v>5.0999999999999996</v>
      </c>
      <c r="H2766" s="470">
        <v>156</v>
      </c>
      <c r="I2766" s="470">
        <v>697</v>
      </c>
      <c r="J2766" s="470">
        <v>4233</v>
      </c>
      <c r="K2766" s="469">
        <v>1.84</v>
      </c>
    </row>
    <row r="2767" spans="2:11" x14ac:dyDescent="0.35">
      <c r="B2767" s="62">
        <v>12.25</v>
      </c>
      <c r="C2767" s="471">
        <v>2783</v>
      </c>
      <c r="D2767" s="471">
        <v>2763.1</v>
      </c>
      <c r="E2767" s="469">
        <v>3.96</v>
      </c>
      <c r="F2767" s="469">
        <v>14.2</v>
      </c>
      <c r="G2767" s="469">
        <v>5.0999999999999996</v>
      </c>
      <c r="H2767" s="470">
        <v>157</v>
      </c>
      <c r="I2767" s="470">
        <v>702</v>
      </c>
      <c r="J2767" s="470">
        <v>4288</v>
      </c>
      <c r="K2767" s="469">
        <v>1.84</v>
      </c>
    </row>
    <row r="2768" spans="2:11" x14ac:dyDescent="0.35">
      <c r="B2768" s="62">
        <v>12.25</v>
      </c>
      <c r="C2768" s="471">
        <v>2784</v>
      </c>
      <c r="D2768" s="471">
        <v>2764.1</v>
      </c>
      <c r="E2768" s="469">
        <v>16.399999999999999</v>
      </c>
      <c r="F2768" s="469">
        <v>11.7</v>
      </c>
      <c r="G2768" s="469">
        <v>7.3</v>
      </c>
      <c r="H2768" s="470">
        <v>156</v>
      </c>
      <c r="I2768" s="470">
        <v>691</v>
      </c>
      <c r="J2768" s="470">
        <v>4333</v>
      </c>
      <c r="K2768" s="469">
        <v>1.84</v>
      </c>
    </row>
    <row r="2769" spans="2:11" x14ac:dyDescent="0.35">
      <c r="B2769" s="62">
        <v>12.25</v>
      </c>
      <c r="C2769" s="471">
        <v>2785</v>
      </c>
      <c r="D2769" s="471">
        <v>2765</v>
      </c>
      <c r="E2769" s="469">
        <v>13.04</v>
      </c>
      <c r="F2769" s="469">
        <v>10.4</v>
      </c>
      <c r="G2769" s="469">
        <v>6.4</v>
      </c>
      <c r="H2769" s="470">
        <v>157</v>
      </c>
      <c r="I2769" s="470">
        <v>699</v>
      </c>
      <c r="J2769" s="470">
        <v>4341</v>
      </c>
      <c r="K2769" s="469">
        <v>1.84</v>
      </c>
    </row>
    <row r="2770" spans="2:11" x14ac:dyDescent="0.35">
      <c r="B2770" s="62">
        <v>12.25</v>
      </c>
      <c r="C2770" s="471">
        <v>2786</v>
      </c>
      <c r="D2770" s="471">
        <v>2766.1</v>
      </c>
      <c r="E2770" s="469">
        <v>14.23</v>
      </c>
      <c r="F2770" s="469">
        <v>9.6</v>
      </c>
      <c r="G2770" s="469">
        <v>6.6</v>
      </c>
      <c r="H2770" s="470">
        <v>157</v>
      </c>
      <c r="I2770" s="470">
        <v>706</v>
      </c>
      <c r="J2770" s="470">
        <v>4362</v>
      </c>
      <c r="K2770" s="469">
        <v>1.84</v>
      </c>
    </row>
    <row r="2771" spans="2:11" x14ac:dyDescent="0.35">
      <c r="B2771" s="62">
        <v>12.25</v>
      </c>
      <c r="C2771" s="471">
        <v>2787</v>
      </c>
      <c r="D2771" s="471">
        <v>2767</v>
      </c>
      <c r="E2771" s="469">
        <v>8.93</v>
      </c>
      <c r="F2771" s="469">
        <v>10.7</v>
      </c>
      <c r="G2771" s="469">
        <v>6.5</v>
      </c>
      <c r="H2771" s="470">
        <v>164</v>
      </c>
      <c r="I2771" s="470">
        <v>705</v>
      </c>
      <c r="J2771" s="470">
        <v>4323</v>
      </c>
      <c r="K2771" s="469">
        <v>1.84</v>
      </c>
    </row>
    <row r="2772" spans="2:11" x14ac:dyDescent="0.35">
      <c r="B2772" s="62">
        <v>12.25</v>
      </c>
      <c r="C2772" s="471">
        <v>2788</v>
      </c>
      <c r="D2772" s="471">
        <v>2768</v>
      </c>
      <c r="E2772" s="469">
        <v>5.83</v>
      </c>
      <c r="F2772" s="469">
        <v>12.6</v>
      </c>
      <c r="G2772" s="469">
        <v>6.2</v>
      </c>
      <c r="H2772" s="470">
        <v>178</v>
      </c>
      <c r="I2772" s="470">
        <v>706</v>
      </c>
      <c r="J2772" s="470">
        <v>4284</v>
      </c>
      <c r="K2772" s="469">
        <v>1.84</v>
      </c>
    </row>
    <row r="2773" spans="2:11" x14ac:dyDescent="0.35">
      <c r="B2773" s="62">
        <v>12.25</v>
      </c>
      <c r="C2773" s="471">
        <v>2789</v>
      </c>
      <c r="D2773" s="471">
        <v>2769</v>
      </c>
      <c r="E2773" s="469">
        <v>9.44</v>
      </c>
      <c r="F2773" s="469">
        <v>13.5</v>
      </c>
      <c r="G2773" s="469">
        <v>8.1999999999999993</v>
      </c>
      <c r="H2773" s="470">
        <v>178</v>
      </c>
      <c r="I2773" s="470">
        <v>706</v>
      </c>
      <c r="J2773" s="470">
        <v>4301</v>
      </c>
      <c r="K2773" s="469">
        <v>1.84</v>
      </c>
    </row>
    <row r="2774" spans="2:11" x14ac:dyDescent="0.35">
      <c r="B2774" s="62">
        <v>12.25</v>
      </c>
      <c r="C2774" s="471">
        <v>2790</v>
      </c>
      <c r="D2774" s="471">
        <v>2770</v>
      </c>
      <c r="E2774" s="469">
        <v>10.220000000000001</v>
      </c>
      <c r="F2774" s="469">
        <v>14.6</v>
      </c>
      <c r="G2774" s="469">
        <v>8.4</v>
      </c>
      <c r="H2774" s="470">
        <v>179</v>
      </c>
      <c r="I2774" s="470">
        <v>709</v>
      </c>
      <c r="J2774" s="470">
        <v>4290</v>
      </c>
      <c r="K2774" s="469">
        <v>1.84</v>
      </c>
    </row>
    <row r="2775" spans="2:11" x14ac:dyDescent="0.35">
      <c r="B2775" s="62">
        <v>12.25</v>
      </c>
      <c r="C2775" s="471">
        <v>2791</v>
      </c>
      <c r="D2775" s="471">
        <v>2770.9</v>
      </c>
      <c r="E2775" s="469">
        <v>15.93</v>
      </c>
      <c r="F2775" s="469">
        <v>11.6</v>
      </c>
      <c r="G2775" s="469">
        <v>7.8</v>
      </c>
      <c r="H2775" s="470">
        <v>178</v>
      </c>
      <c r="I2775" s="470">
        <v>706</v>
      </c>
      <c r="J2775" s="470">
        <v>4315</v>
      </c>
      <c r="K2775" s="469">
        <v>1.84</v>
      </c>
    </row>
    <row r="2776" spans="2:11" x14ac:dyDescent="0.35">
      <c r="B2776" s="62">
        <v>12.25</v>
      </c>
      <c r="C2776" s="471">
        <v>2792</v>
      </c>
      <c r="D2776" s="471">
        <v>2771.9</v>
      </c>
      <c r="E2776" s="469">
        <v>14.75</v>
      </c>
      <c r="F2776" s="469">
        <v>11.2</v>
      </c>
      <c r="G2776" s="469">
        <v>7.2</v>
      </c>
      <c r="H2776" s="470">
        <v>178</v>
      </c>
      <c r="I2776" s="470">
        <v>708</v>
      </c>
      <c r="J2776" s="470">
        <v>4314</v>
      </c>
      <c r="K2776" s="469">
        <v>1.84</v>
      </c>
    </row>
    <row r="2777" spans="2:11" x14ac:dyDescent="0.35">
      <c r="B2777" s="62">
        <v>12.25</v>
      </c>
      <c r="C2777" s="471">
        <v>2793</v>
      </c>
      <c r="D2777" s="471">
        <v>2772.9</v>
      </c>
      <c r="E2777" s="469">
        <v>7.27</v>
      </c>
      <c r="F2777" s="469">
        <v>12.8</v>
      </c>
      <c r="G2777" s="469">
        <v>6.7</v>
      </c>
      <c r="H2777" s="470">
        <v>178</v>
      </c>
      <c r="I2777" s="470">
        <v>707</v>
      </c>
      <c r="J2777" s="470">
        <v>4291</v>
      </c>
      <c r="K2777" s="469">
        <v>1.84</v>
      </c>
    </row>
    <row r="2778" spans="2:11" x14ac:dyDescent="0.35">
      <c r="B2778" s="62">
        <v>12.25</v>
      </c>
      <c r="C2778" s="471">
        <v>2794</v>
      </c>
      <c r="D2778" s="471">
        <v>2773.9</v>
      </c>
      <c r="E2778" s="469">
        <v>2.44</v>
      </c>
      <c r="F2778" s="469">
        <v>15.1</v>
      </c>
      <c r="G2778" s="469">
        <v>4.9000000000000004</v>
      </c>
      <c r="H2778" s="470">
        <v>178</v>
      </c>
      <c r="I2778" s="470">
        <v>707</v>
      </c>
      <c r="J2778" s="470">
        <v>4239</v>
      </c>
      <c r="K2778" s="469">
        <v>1.84</v>
      </c>
    </row>
    <row r="2779" spans="2:11" x14ac:dyDescent="0.35">
      <c r="B2779" s="62">
        <v>12.25</v>
      </c>
      <c r="C2779" s="471">
        <v>2795</v>
      </c>
      <c r="D2779" s="471">
        <v>2774.9</v>
      </c>
      <c r="E2779" s="469">
        <v>2.86</v>
      </c>
      <c r="F2779" s="469">
        <v>12.2</v>
      </c>
      <c r="G2779" s="469">
        <v>5.0999999999999996</v>
      </c>
      <c r="H2779" s="470">
        <v>178</v>
      </c>
      <c r="I2779" s="470">
        <v>704</v>
      </c>
      <c r="J2779" s="470">
        <v>4232</v>
      </c>
      <c r="K2779" s="469">
        <v>1.84</v>
      </c>
    </row>
    <row r="2780" spans="2:11" x14ac:dyDescent="0.35">
      <c r="B2780" s="62">
        <v>12.25</v>
      </c>
      <c r="C2780" s="471">
        <v>2796</v>
      </c>
      <c r="D2780" s="471">
        <v>2775.9</v>
      </c>
      <c r="E2780" s="469">
        <v>4.4000000000000004</v>
      </c>
      <c r="F2780" s="469">
        <v>16.3</v>
      </c>
      <c r="G2780" s="469">
        <v>5.6</v>
      </c>
      <c r="H2780" s="470">
        <v>176</v>
      </c>
      <c r="I2780" s="470">
        <v>696</v>
      </c>
      <c r="J2780" s="470">
        <v>4183</v>
      </c>
      <c r="K2780" s="469">
        <v>1.84</v>
      </c>
    </row>
    <row r="2781" spans="2:11" x14ac:dyDescent="0.35">
      <c r="B2781" s="62">
        <v>12.25</v>
      </c>
      <c r="C2781" s="471">
        <v>2797</v>
      </c>
      <c r="D2781" s="471">
        <v>2776.9</v>
      </c>
      <c r="E2781" s="469">
        <v>6.74</v>
      </c>
      <c r="F2781" s="469">
        <v>16</v>
      </c>
      <c r="G2781" s="469">
        <v>8.1</v>
      </c>
      <c r="H2781" s="470">
        <v>176</v>
      </c>
      <c r="I2781" s="470">
        <v>693</v>
      </c>
      <c r="J2781" s="470">
        <v>4321</v>
      </c>
      <c r="K2781" s="469">
        <v>1.84</v>
      </c>
    </row>
    <row r="2782" spans="2:11" x14ac:dyDescent="0.35">
      <c r="B2782" s="62">
        <v>12.25</v>
      </c>
      <c r="C2782" s="471">
        <v>2798</v>
      </c>
      <c r="D2782" s="471">
        <v>2777.9</v>
      </c>
      <c r="E2782" s="469">
        <v>17.82</v>
      </c>
      <c r="F2782" s="469">
        <v>15.7</v>
      </c>
      <c r="G2782" s="469">
        <v>9.5</v>
      </c>
      <c r="H2782" s="470">
        <v>176</v>
      </c>
      <c r="I2782" s="470">
        <v>691</v>
      </c>
      <c r="J2782" s="470">
        <v>4350</v>
      </c>
      <c r="K2782" s="469">
        <v>1.84</v>
      </c>
    </row>
    <row r="2783" spans="2:11" x14ac:dyDescent="0.35">
      <c r="B2783" s="62">
        <v>12.25</v>
      </c>
      <c r="C2783" s="471">
        <v>2799</v>
      </c>
      <c r="D2783" s="471">
        <v>2778.9</v>
      </c>
      <c r="E2783" s="469">
        <v>15.46</v>
      </c>
      <c r="F2783" s="469">
        <v>14.7</v>
      </c>
      <c r="G2783" s="469">
        <v>9.1</v>
      </c>
      <c r="H2783" s="470">
        <v>177</v>
      </c>
      <c r="I2783" s="470">
        <v>701</v>
      </c>
      <c r="J2783" s="470">
        <v>4364</v>
      </c>
      <c r="K2783" s="469">
        <v>1.84</v>
      </c>
    </row>
    <row r="2784" spans="2:11" x14ac:dyDescent="0.35">
      <c r="B2784" s="62">
        <v>12.25</v>
      </c>
      <c r="C2784" s="471">
        <v>2800</v>
      </c>
      <c r="D2784" s="471">
        <v>2779.8</v>
      </c>
      <c r="E2784" s="469">
        <v>4.1500000000000004</v>
      </c>
      <c r="F2784" s="469">
        <v>16.7</v>
      </c>
      <c r="G2784" s="469">
        <v>5.5</v>
      </c>
      <c r="H2784" s="470">
        <v>177</v>
      </c>
      <c r="I2784" s="470">
        <v>701</v>
      </c>
      <c r="J2784" s="470">
        <v>4226</v>
      </c>
      <c r="K2784" s="469">
        <v>1.84</v>
      </c>
    </row>
    <row r="2785" spans="2:11" x14ac:dyDescent="0.35">
      <c r="B2785" s="62">
        <v>12.25</v>
      </c>
      <c r="C2785" s="471">
        <v>2801</v>
      </c>
      <c r="D2785" s="471">
        <v>2780.8</v>
      </c>
      <c r="E2785" s="469">
        <v>2.64</v>
      </c>
      <c r="F2785" s="469">
        <v>16.600000000000001</v>
      </c>
      <c r="G2785" s="469">
        <v>4.8</v>
      </c>
      <c r="H2785" s="470">
        <v>177</v>
      </c>
      <c r="I2785" s="470">
        <v>700</v>
      </c>
      <c r="J2785" s="470">
        <v>4209</v>
      </c>
      <c r="K2785" s="469">
        <v>1.84</v>
      </c>
    </row>
    <row r="2786" spans="2:11" x14ac:dyDescent="0.35">
      <c r="B2786" s="62">
        <v>12.25</v>
      </c>
      <c r="C2786" s="471">
        <v>2802</v>
      </c>
      <c r="D2786" s="471">
        <v>2781.8</v>
      </c>
      <c r="E2786" s="469">
        <v>2.42</v>
      </c>
      <c r="F2786" s="469">
        <v>16.7</v>
      </c>
      <c r="G2786" s="469">
        <v>4.3</v>
      </c>
      <c r="H2786" s="470">
        <v>177</v>
      </c>
      <c r="I2786" s="470">
        <v>700</v>
      </c>
      <c r="J2786" s="470">
        <v>4211</v>
      </c>
      <c r="K2786" s="469">
        <v>1.84</v>
      </c>
    </row>
    <row r="2787" spans="2:11" x14ac:dyDescent="0.35">
      <c r="B2787" s="62">
        <v>12.25</v>
      </c>
      <c r="C2787" s="471">
        <v>2803</v>
      </c>
      <c r="D2787" s="471">
        <v>2782.8</v>
      </c>
      <c r="E2787" s="469">
        <v>2.83</v>
      </c>
      <c r="F2787" s="469">
        <v>16.7</v>
      </c>
      <c r="G2787" s="469">
        <v>4.9000000000000004</v>
      </c>
      <c r="H2787" s="470">
        <v>179</v>
      </c>
      <c r="I2787" s="470">
        <v>714</v>
      </c>
      <c r="J2787" s="470">
        <v>4328</v>
      </c>
      <c r="K2787" s="469">
        <v>1.84</v>
      </c>
    </row>
    <row r="2788" spans="2:11" x14ac:dyDescent="0.35">
      <c r="B2788" s="62">
        <v>12.25</v>
      </c>
      <c r="C2788" s="471">
        <v>2804</v>
      </c>
      <c r="D2788" s="471">
        <v>2783.8</v>
      </c>
      <c r="E2788" s="469">
        <v>4.68</v>
      </c>
      <c r="F2788" s="469">
        <v>21.7</v>
      </c>
      <c r="G2788" s="469">
        <v>5.8</v>
      </c>
      <c r="H2788" s="470">
        <v>180</v>
      </c>
      <c r="I2788" s="470">
        <v>723</v>
      </c>
      <c r="J2788" s="470">
        <v>4498</v>
      </c>
      <c r="K2788" s="469">
        <v>1.84</v>
      </c>
    </row>
    <row r="2789" spans="2:11" x14ac:dyDescent="0.35">
      <c r="B2789" s="62">
        <v>12.25</v>
      </c>
      <c r="C2789" s="471">
        <v>2805</v>
      </c>
      <c r="D2789" s="471">
        <v>2784.7</v>
      </c>
      <c r="E2789" s="469">
        <v>4.84</v>
      </c>
      <c r="F2789" s="469">
        <v>21.3</v>
      </c>
      <c r="G2789" s="469">
        <v>6.7</v>
      </c>
      <c r="H2789" s="470">
        <v>180</v>
      </c>
      <c r="I2789" s="470">
        <v>725</v>
      </c>
      <c r="J2789" s="470">
        <v>4503</v>
      </c>
      <c r="K2789" s="469">
        <v>1.84</v>
      </c>
    </row>
    <row r="2790" spans="2:11" x14ac:dyDescent="0.35">
      <c r="B2790" s="62">
        <v>12.25</v>
      </c>
      <c r="C2790" s="471">
        <v>2806</v>
      </c>
      <c r="D2790" s="471">
        <v>2785.7</v>
      </c>
      <c r="E2790" s="469">
        <v>4.75</v>
      </c>
      <c r="F2790" s="469">
        <v>21.3</v>
      </c>
      <c r="G2790" s="469">
        <v>7.8</v>
      </c>
      <c r="H2790" s="470">
        <v>164</v>
      </c>
      <c r="I2790" s="470">
        <v>724</v>
      </c>
      <c r="J2790" s="470">
        <v>4521</v>
      </c>
      <c r="K2790" s="469">
        <v>1.84</v>
      </c>
    </row>
    <row r="2791" spans="2:11" x14ac:dyDescent="0.35">
      <c r="B2791" s="62">
        <v>12.25</v>
      </c>
      <c r="C2791" s="471">
        <v>2807</v>
      </c>
      <c r="D2791" s="471">
        <v>2786.8</v>
      </c>
      <c r="E2791" s="469">
        <v>5.52</v>
      </c>
      <c r="F2791" s="469">
        <v>16.899999999999999</v>
      </c>
      <c r="G2791" s="469">
        <v>8</v>
      </c>
      <c r="H2791" s="470">
        <v>157</v>
      </c>
      <c r="I2791" s="470">
        <v>721</v>
      </c>
      <c r="J2791" s="470">
        <v>4540</v>
      </c>
      <c r="K2791" s="469">
        <v>1.84</v>
      </c>
    </row>
    <row r="2792" spans="2:11" x14ac:dyDescent="0.35">
      <c r="B2792" s="62">
        <v>12.25</v>
      </c>
      <c r="C2792" s="471">
        <v>2808</v>
      </c>
      <c r="D2792" s="471">
        <v>2787.7</v>
      </c>
      <c r="E2792" s="469">
        <v>7.37</v>
      </c>
      <c r="F2792" s="469">
        <v>6.9</v>
      </c>
      <c r="G2792" s="469">
        <v>5</v>
      </c>
      <c r="H2792" s="470">
        <v>159</v>
      </c>
      <c r="I2792" s="470">
        <v>728</v>
      </c>
      <c r="J2792" s="470">
        <v>4461</v>
      </c>
      <c r="K2792" s="469">
        <v>1.84</v>
      </c>
    </row>
    <row r="2793" spans="2:11" x14ac:dyDescent="0.35">
      <c r="B2793" s="62">
        <v>12.25</v>
      </c>
      <c r="C2793" s="471">
        <v>2809</v>
      </c>
      <c r="D2793" s="471">
        <v>2788.7</v>
      </c>
      <c r="E2793" s="469">
        <v>6.29</v>
      </c>
      <c r="F2793" s="469">
        <v>6.8</v>
      </c>
      <c r="G2793" s="469">
        <v>4.9000000000000004</v>
      </c>
      <c r="H2793" s="470">
        <v>180</v>
      </c>
      <c r="I2793" s="470">
        <v>725</v>
      </c>
      <c r="J2793" s="470">
        <v>4411</v>
      </c>
      <c r="K2793" s="469">
        <v>1.84</v>
      </c>
    </row>
    <row r="2794" spans="2:11" x14ac:dyDescent="0.35">
      <c r="B2794" s="62">
        <v>12.25</v>
      </c>
      <c r="C2794" s="471">
        <v>2810</v>
      </c>
      <c r="D2794" s="471">
        <v>2789.7</v>
      </c>
      <c r="E2794" s="469">
        <v>21.53</v>
      </c>
      <c r="F2794" s="469">
        <v>11</v>
      </c>
      <c r="G2794" s="469">
        <v>9</v>
      </c>
      <c r="H2794" s="470">
        <v>180</v>
      </c>
      <c r="I2794" s="470">
        <v>721</v>
      </c>
      <c r="J2794" s="470">
        <v>4558</v>
      </c>
      <c r="K2794" s="469">
        <v>1.84</v>
      </c>
    </row>
    <row r="2795" spans="2:11" x14ac:dyDescent="0.35">
      <c r="B2795" s="62">
        <v>12.25</v>
      </c>
      <c r="C2795" s="471">
        <v>2811</v>
      </c>
      <c r="D2795" s="471">
        <v>2790.7</v>
      </c>
      <c r="E2795" s="469">
        <v>13.64</v>
      </c>
      <c r="F2795" s="469">
        <v>11.8</v>
      </c>
      <c r="G2795" s="469">
        <v>8.4</v>
      </c>
      <c r="H2795" s="470">
        <v>180</v>
      </c>
      <c r="I2795" s="470">
        <v>724</v>
      </c>
      <c r="J2795" s="470">
        <v>4518</v>
      </c>
      <c r="K2795" s="469">
        <v>1.84</v>
      </c>
    </row>
    <row r="2796" spans="2:11" x14ac:dyDescent="0.35">
      <c r="B2796" s="62">
        <v>12.25</v>
      </c>
      <c r="C2796" s="471">
        <v>2812</v>
      </c>
      <c r="D2796" s="471">
        <v>2791.6</v>
      </c>
      <c r="E2796" s="469">
        <v>16.32</v>
      </c>
      <c r="F2796" s="469">
        <v>12.8</v>
      </c>
      <c r="G2796" s="469">
        <v>8.3000000000000007</v>
      </c>
      <c r="H2796" s="470">
        <v>180</v>
      </c>
      <c r="I2796" s="470">
        <v>727</v>
      </c>
      <c r="J2796" s="470">
        <v>4569</v>
      </c>
      <c r="K2796" s="469">
        <v>1.84</v>
      </c>
    </row>
    <row r="2797" spans="2:11" x14ac:dyDescent="0.35">
      <c r="B2797" s="62">
        <v>12.25</v>
      </c>
      <c r="C2797" s="471">
        <v>2813</v>
      </c>
      <c r="D2797" s="471">
        <v>2792.7</v>
      </c>
      <c r="E2797" s="469">
        <v>17.510000000000002</v>
      </c>
      <c r="F2797" s="469">
        <v>11.3</v>
      </c>
      <c r="G2797" s="469">
        <v>7.8</v>
      </c>
      <c r="H2797" s="470">
        <v>180</v>
      </c>
      <c r="I2797" s="470">
        <v>726</v>
      </c>
      <c r="J2797" s="470">
        <v>4599</v>
      </c>
      <c r="K2797" s="469">
        <v>1.84</v>
      </c>
    </row>
    <row r="2798" spans="2:11" x14ac:dyDescent="0.35">
      <c r="B2798" s="62">
        <v>12.25</v>
      </c>
      <c r="C2798" s="471">
        <v>2814</v>
      </c>
      <c r="D2798" s="471">
        <v>2793.6</v>
      </c>
      <c r="E2798" s="469">
        <v>17.93</v>
      </c>
      <c r="F2798" s="469">
        <v>11.6</v>
      </c>
      <c r="G2798" s="469">
        <v>5.9</v>
      </c>
      <c r="H2798" s="470">
        <v>181</v>
      </c>
      <c r="I2798" s="470">
        <v>727</v>
      </c>
      <c r="J2798" s="470">
        <v>4665</v>
      </c>
      <c r="K2798" s="469">
        <v>1.84</v>
      </c>
    </row>
    <row r="2799" spans="2:11" x14ac:dyDescent="0.35">
      <c r="B2799" s="62">
        <v>12.25</v>
      </c>
      <c r="C2799" s="471">
        <v>2815</v>
      </c>
      <c r="D2799" s="471">
        <v>2794.6</v>
      </c>
      <c r="E2799" s="469">
        <v>20.309999999999999</v>
      </c>
      <c r="F2799" s="469">
        <v>11.5</v>
      </c>
      <c r="G2799" s="469">
        <v>8.1999999999999993</v>
      </c>
      <c r="H2799" s="470">
        <v>180</v>
      </c>
      <c r="I2799" s="470">
        <v>722</v>
      </c>
      <c r="J2799" s="470">
        <v>4768</v>
      </c>
      <c r="K2799" s="469">
        <v>1.84</v>
      </c>
    </row>
    <row r="2800" spans="2:11" x14ac:dyDescent="0.35">
      <c r="B2800" s="62">
        <v>12.25</v>
      </c>
      <c r="C2800" s="471">
        <v>2816</v>
      </c>
      <c r="D2800" s="471">
        <v>2795.6</v>
      </c>
      <c r="E2800" s="469">
        <v>25.29</v>
      </c>
      <c r="F2800" s="469">
        <v>12.7</v>
      </c>
      <c r="G2800" s="469">
        <v>7.9</v>
      </c>
      <c r="H2800" s="470">
        <v>180</v>
      </c>
      <c r="I2800" s="470">
        <v>720</v>
      </c>
      <c r="J2800" s="470">
        <v>4833</v>
      </c>
      <c r="K2800" s="469">
        <v>1.84</v>
      </c>
    </row>
    <row r="2801" spans="2:11" x14ac:dyDescent="0.35">
      <c r="B2801" s="62">
        <v>12.25</v>
      </c>
      <c r="C2801" s="471">
        <v>2817</v>
      </c>
      <c r="D2801" s="471">
        <v>2796.6</v>
      </c>
      <c r="E2801" s="469">
        <v>18.600000000000001</v>
      </c>
      <c r="F2801" s="469">
        <v>13.8</v>
      </c>
      <c r="G2801" s="469">
        <v>7.5</v>
      </c>
      <c r="H2801" s="470">
        <v>180</v>
      </c>
      <c r="I2801" s="470">
        <v>721</v>
      </c>
      <c r="J2801" s="470">
        <v>4829</v>
      </c>
      <c r="K2801" s="469">
        <v>1.84</v>
      </c>
    </row>
    <row r="2802" spans="2:11" x14ac:dyDescent="0.35">
      <c r="B2802" s="62">
        <v>12.25</v>
      </c>
      <c r="C2802" s="471">
        <v>2818</v>
      </c>
      <c r="D2802" s="471">
        <v>2797.6</v>
      </c>
      <c r="E2802" s="469">
        <v>13.38</v>
      </c>
      <c r="F2802" s="469">
        <v>15.7</v>
      </c>
      <c r="G2802" s="469">
        <v>10.5</v>
      </c>
      <c r="H2802" s="470">
        <v>180</v>
      </c>
      <c r="I2802" s="470">
        <v>723</v>
      </c>
      <c r="J2802" s="470">
        <v>4765</v>
      </c>
      <c r="K2802" s="469">
        <v>1.84</v>
      </c>
    </row>
    <row r="2803" spans="2:11" x14ac:dyDescent="0.35">
      <c r="B2803" s="62">
        <v>12.25</v>
      </c>
      <c r="C2803" s="471">
        <v>2819</v>
      </c>
      <c r="D2803" s="471">
        <v>2798.6</v>
      </c>
      <c r="E2803" s="469">
        <v>26.93</v>
      </c>
      <c r="F2803" s="469">
        <v>14.2</v>
      </c>
      <c r="G2803" s="469">
        <v>9.5</v>
      </c>
      <c r="H2803" s="470">
        <v>178</v>
      </c>
      <c r="I2803" s="470">
        <v>713</v>
      </c>
      <c r="J2803" s="470">
        <v>4751</v>
      </c>
      <c r="K2803" s="469">
        <v>1.84</v>
      </c>
    </row>
    <row r="2804" spans="2:11" x14ac:dyDescent="0.35">
      <c r="B2804" s="62">
        <v>12.25</v>
      </c>
      <c r="C2804" s="471">
        <v>2820</v>
      </c>
      <c r="D2804" s="471">
        <v>2799.5</v>
      </c>
      <c r="E2804" s="469">
        <v>27.6</v>
      </c>
      <c r="F2804" s="469">
        <v>15.3</v>
      </c>
      <c r="G2804" s="469">
        <v>9.9</v>
      </c>
      <c r="H2804" s="470">
        <v>179</v>
      </c>
      <c r="I2804" s="470">
        <v>709</v>
      </c>
      <c r="J2804" s="470">
        <v>4634</v>
      </c>
      <c r="K2804" s="469">
        <v>1.84</v>
      </c>
    </row>
    <row r="2805" spans="2:11" x14ac:dyDescent="0.35">
      <c r="B2805" s="62">
        <v>12.25</v>
      </c>
      <c r="C2805" s="471">
        <v>2821</v>
      </c>
      <c r="D2805" s="471">
        <v>2800.5</v>
      </c>
      <c r="E2805" s="469">
        <v>21.74</v>
      </c>
      <c r="F2805" s="469">
        <v>15.2</v>
      </c>
      <c r="G2805" s="469">
        <v>10.3</v>
      </c>
      <c r="H2805" s="470">
        <v>178</v>
      </c>
      <c r="I2805" s="470">
        <v>711</v>
      </c>
      <c r="J2805" s="470">
        <v>4569</v>
      </c>
      <c r="K2805" s="469">
        <v>1.84</v>
      </c>
    </row>
    <row r="2806" spans="2:11" x14ac:dyDescent="0.35">
      <c r="B2806" s="62">
        <v>12.25</v>
      </c>
      <c r="C2806" s="471">
        <v>2822</v>
      </c>
      <c r="D2806" s="471">
        <v>2801.5</v>
      </c>
      <c r="E2806" s="469">
        <v>27.98</v>
      </c>
      <c r="F2806" s="469">
        <v>15.2</v>
      </c>
      <c r="G2806" s="469">
        <v>11</v>
      </c>
      <c r="H2806" s="470">
        <v>178</v>
      </c>
      <c r="I2806" s="470">
        <v>711</v>
      </c>
      <c r="J2806" s="470">
        <v>4587</v>
      </c>
      <c r="K2806" s="469">
        <v>1.84</v>
      </c>
    </row>
    <row r="2807" spans="2:11" x14ac:dyDescent="0.35">
      <c r="B2807" s="62">
        <v>12.25</v>
      </c>
      <c r="C2807" s="471">
        <v>2823</v>
      </c>
      <c r="D2807" s="471">
        <v>2802.5</v>
      </c>
      <c r="E2807" s="469">
        <v>27.81</v>
      </c>
      <c r="F2807" s="469">
        <v>15.4</v>
      </c>
      <c r="G2807" s="469">
        <v>9.8000000000000007</v>
      </c>
      <c r="H2807" s="470">
        <v>179</v>
      </c>
      <c r="I2807" s="470">
        <v>710</v>
      </c>
      <c r="J2807" s="470">
        <v>4603</v>
      </c>
      <c r="K2807" s="469">
        <v>1.84</v>
      </c>
    </row>
    <row r="2808" spans="2:11" x14ac:dyDescent="0.35">
      <c r="B2808" s="62">
        <v>12.25</v>
      </c>
      <c r="C2808" s="471">
        <v>2824</v>
      </c>
      <c r="D2808" s="471">
        <v>2803.5</v>
      </c>
      <c r="E2808" s="469">
        <v>16.989999999999998</v>
      </c>
      <c r="F2808" s="469">
        <v>10.8</v>
      </c>
      <c r="G2808" s="469">
        <v>8.3000000000000007</v>
      </c>
      <c r="H2808" s="470">
        <v>178</v>
      </c>
      <c r="I2808" s="470">
        <v>707</v>
      </c>
      <c r="J2808" s="470">
        <v>4429</v>
      </c>
      <c r="K2808" s="469">
        <v>1.84</v>
      </c>
    </row>
    <row r="2809" spans="2:11" x14ac:dyDescent="0.35">
      <c r="B2809" s="62">
        <v>12.25</v>
      </c>
      <c r="C2809" s="471">
        <v>2825</v>
      </c>
      <c r="D2809" s="471">
        <v>2804.5</v>
      </c>
      <c r="E2809" s="469">
        <v>29.78</v>
      </c>
      <c r="F2809" s="469">
        <v>14.1</v>
      </c>
      <c r="G2809" s="469">
        <v>10.5</v>
      </c>
      <c r="H2809" s="470">
        <v>178</v>
      </c>
      <c r="I2809" s="470">
        <v>700</v>
      </c>
      <c r="J2809" s="470">
        <v>4465</v>
      </c>
      <c r="K2809" s="469">
        <v>1.84</v>
      </c>
    </row>
    <row r="2810" spans="2:11" x14ac:dyDescent="0.35">
      <c r="B2810" s="62">
        <v>12.25</v>
      </c>
      <c r="C2810" s="471">
        <v>2826</v>
      </c>
      <c r="D2810" s="471">
        <v>2805.5</v>
      </c>
      <c r="E2810" s="469">
        <v>24.39</v>
      </c>
      <c r="F2810" s="469">
        <v>14.8</v>
      </c>
      <c r="G2810" s="469">
        <v>10.1</v>
      </c>
      <c r="H2810" s="470">
        <v>178</v>
      </c>
      <c r="I2810" s="470">
        <v>697</v>
      </c>
      <c r="J2810" s="470">
        <v>4449</v>
      </c>
      <c r="K2810" s="469">
        <v>1.84</v>
      </c>
    </row>
    <row r="2811" spans="2:11" x14ac:dyDescent="0.35">
      <c r="B2811" s="62">
        <v>12.25</v>
      </c>
      <c r="C2811" s="471">
        <v>2827</v>
      </c>
      <c r="D2811" s="471">
        <v>2806.5</v>
      </c>
      <c r="E2811" s="469">
        <v>18.579999999999998</v>
      </c>
      <c r="F2811" s="469">
        <v>15.7</v>
      </c>
      <c r="G2811" s="469">
        <v>8.1999999999999993</v>
      </c>
      <c r="H2811" s="470">
        <v>182</v>
      </c>
      <c r="I2811" s="470">
        <v>738</v>
      </c>
      <c r="J2811" s="470">
        <v>4444</v>
      </c>
      <c r="K2811" s="469">
        <v>1.84</v>
      </c>
    </row>
    <row r="2812" spans="2:11" x14ac:dyDescent="0.35">
      <c r="B2812" s="62">
        <v>12.25</v>
      </c>
      <c r="C2812" s="471">
        <v>2828</v>
      </c>
      <c r="D2812" s="471">
        <v>2807.5</v>
      </c>
      <c r="E2812" s="469">
        <v>16.41</v>
      </c>
      <c r="F2812" s="469">
        <v>16.100000000000001</v>
      </c>
      <c r="G2812" s="469">
        <v>12</v>
      </c>
      <c r="H2812" s="470">
        <v>175</v>
      </c>
      <c r="I2812" s="470">
        <v>699</v>
      </c>
      <c r="J2812" s="470">
        <v>4427</v>
      </c>
      <c r="K2812" s="469">
        <v>1.84</v>
      </c>
    </row>
    <row r="2813" spans="2:11" x14ac:dyDescent="0.35">
      <c r="B2813" s="62">
        <v>12.25</v>
      </c>
      <c r="C2813" s="471">
        <v>2829</v>
      </c>
      <c r="D2813" s="471">
        <v>2808.4</v>
      </c>
      <c r="E2813" s="469">
        <v>10.98</v>
      </c>
      <c r="F2813" s="469">
        <v>16.100000000000001</v>
      </c>
      <c r="G2813" s="469">
        <v>6.8</v>
      </c>
      <c r="H2813" s="470">
        <v>177</v>
      </c>
      <c r="I2813" s="470">
        <v>701</v>
      </c>
      <c r="J2813" s="470">
        <v>4369</v>
      </c>
      <c r="K2813" s="469">
        <v>1.84</v>
      </c>
    </row>
    <row r="2814" spans="2:11" x14ac:dyDescent="0.35">
      <c r="B2814" s="62">
        <v>12.25</v>
      </c>
      <c r="C2814" s="471">
        <v>2830</v>
      </c>
      <c r="D2814" s="471">
        <v>2809.4</v>
      </c>
      <c r="E2814" s="469">
        <v>5.75</v>
      </c>
      <c r="F2814" s="469">
        <v>15.7</v>
      </c>
      <c r="G2814" s="469">
        <v>7</v>
      </c>
      <c r="H2814" s="470">
        <v>179</v>
      </c>
      <c r="I2814" s="470">
        <v>706</v>
      </c>
      <c r="J2814" s="470">
        <v>4245</v>
      </c>
      <c r="K2814" s="469">
        <v>1.84</v>
      </c>
    </row>
    <row r="2815" spans="2:11" x14ac:dyDescent="0.35">
      <c r="B2815" s="62">
        <v>12.25</v>
      </c>
      <c r="C2815" s="471">
        <v>2831</v>
      </c>
      <c r="D2815" s="471">
        <v>2810.4</v>
      </c>
      <c r="E2815" s="469">
        <v>13.13</v>
      </c>
      <c r="F2815" s="469">
        <v>15.8</v>
      </c>
      <c r="G2815" s="469">
        <v>10</v>
      </c>
      <c r="H2815" s="470">
        <v>179</v>
      </c>
      <c r="I2815" s="470">
        <v>705</v>
      </c>
      <c r="J2815" s="470">
        <v>4323</v>
      </c>
      <c r="K2815" s="469">
        <v>1.84</v>
      </c>
    </row>
    <row r="2816" spans="2:11" x14ac:dyDescent="0.35">
      <c r="B2816" s="62">
        <v>12.25</v>
      </c>
      <c r="C2816" s="471">
        <v>2832</v>
      </c>
      <c r="D2816" s="471">
        <v>2811.4</v>
      </c>
      <c r="E2816" s="469">
        <v>10.77</v>
      </c>
      <c r="F2816" s="469">
        <v>13.1</v>
      </c>
      <c r="G2816" s="469">
        <v>8.6</v>
      </c>
      <c r="H2816" s="470">
        <v>172</v>
      </c>
      <c r="I2816" s="470">
        <v>645</v>
      </c>
      <c r="J2816" s="470">
        <v>3739</v>
      </c>
      <c r="K2816" s="469">
        <v>1.84</v>
      </c>
    </row>
    <row r="2817" spans="2:11" x14ac:dyDescent="0.35">
      <c r="B2817" s="62">
        <v>12.25</v>
      </c>
      <c r="C2817" s="471">
        <v>2833</v>
      </c>
      <c r="D2817" s="471">
        <v>2812.3</v>
      </c>
      <c r="E2817" s="469">
        <v>18.7</v>
      </c>
      <c r="F2817" s="469">
        <v>16.100000000000001</v>
      </c>
      <c r="G2817" s="469">
        <v>9.1999999999999993</v>
      </c>
      <c r="H2817" s="470">
        <v>175</v>
      </c>
      <c r="I2817" s="470">
        <v>700</v>
      </c>
      <c r="J2817" s="470">
        <v>4299</v>
      </c>
      <c r="K2817" s="469">
        <v>1.84</v>
      </c>
    </row>
    <row r="2818" spans="2:11" x14ac:dyDescent="0.35">
      <c r="B2818" s="62">
        <v>12.25</v>
      </c>
      <c r="C2818" s="471">
        <v>2834</v>
      </c>
      <c r="D2818" s="471">
        <v>2813.4</v>
      </c>
      <c r="E2818" s="469">
        <v>11.02</v>
      </c>
      <c r="F2818" s="469">
        <v>15.7</v>
      </c>
      <c r="G2818" s="469">
        <v>9.6999999999999993</v>
      </c>
      <c r="H2818" s="470">
        <v>176</v>
      </c>
      <c r="I2818" s="470">
        <v>706</v>
      </c>
      <c r="J2818" s="470">
        <v>4332</v>
      </c>
      <c r="K2818" s="469">
        <v>1.84</v>
      </c>
    </row>
    <row r="2819" spans="2:11" x14ac:dyDescent="0.35">
      <c r="B2819" s="62">
        <v>12.25</v>
      </c>
      <c r="C2819" s="471">
        <v>2835</v>
      </c>
      <c r="D2819" s="471">
        <v>2814.4</v>
      </c>
      <c r="E2819" s="469">
        <v>3.51</v>
      </c>
      <c r="F2819" s="469">
        <v>16.399999999999999</v>
      </c>
      <c r="G2819" s="469">
        <v>6.9</v>
      </c>
      <c r="H2819" s="470">
        <v>175</v>
      </c>
      <c r="I2819" s="470">
        <v>703</v>
      </c>
      <c r="J2819" s="470">
        <v>4371</v>
      </c>
      <c r="K2819" s="469">
        <v>1.84</v>
      </c>
    </row>
    <row r="2820" spans="2:11" x14ac:dyDescent="0.35">
      <c r="B2820" s="62">
        <v>12.25</v>
      </c>
      <c r="C2820" s="471">
        <v>2836</v>
      </c>
      <c r="D2820" s="471">
        <v>2815.3</v>
      </c>
      <c r="E2820" s="469">
        <v>2.27</v>
      </c>
      <c r="F2820" s="469">
        <v>16.2</v>
      </c>
      <c r="G2820" s="469">
        <v>5.5</v>
      </c>
      <c r="H2820" s="470">
        <v>171</v>
      </c>
      <c r="I2820" s="470">
        <v>709</v>
      </c>
      <c r="J2820" s="470">
        <v>4415</v>
      </c>
      <c r="K2820" s="469">
        <v>1.84</v>
      </c>
    </row>
    <row r="2821" spans="2:11" x14ac:dyDescent="0.35">
      <c r="B2821" s="62">
        <v>12.25</v>
      </c>
      <c r="C2821" s="471">
        <v>2837</v>
      </c>
      <c r="D2821" s="471">
        <v>2816.3</v>
      </c>
      <c r="E2821" s="469">
        <v>4.82</v>
      </c>
      <c r="F2821" s="469">
        <v>18</v>
      </c>
      <c r="G2821" s="469">
        <v>6.6</v>
      </c>
      <c r="H2821" s="470">
        <v>173</v>
      </c>
      <c r="I2821" s="470">
        <v>703</v>
      </c>
      <c r="J2821" s="470">
        <v>4485</v>
      </c>
      <c r="K2821" s="469">
        <v>1.84</v>
      </c>
    </row>
    <row r="2822" spans="2:11" x14ac:dyDescent="0.35">
      <c r="B2822" s="62">
        <v>12.25</v>
      </c>
      <c r="C2822" s="471">
        <v>2838</v>
      </c>
      <c r="D2822" s="471">
        <v>2817.3</v>
      </c>
      <c r="E2822" s="469">
        <v>19.190000000000001</v>
      </c>
      <c r="F2822" s="469">
        <v>20.5</v>
      </c>
      <c r="G2822" s="469">
        <v>11.4</v>
      </c>
      <c r="H2822" s="470">
        <v>175</v>
      </c>
      <c r="I2822" s="470">
        <v>701</v>
      </c>
      <c r="J2822" s="470">
        <v>4630</v>
      </c>
      <c r="K2822" s="469">
        <v>1.84</v>
      </c>
    </row>
    <row r="2823" spans="2:11" x14ac:dyDescent="0.35">
      <c r="B2823" s="62">
        <v>12.25</v>
      </c>
      <c r="C2823" s="471">
        <v>2839</v>
      </c>
      <c r="D2823" s="471">
        <v>2818.3</v>
      </c>
      <c r="E2823" s="469">
        <v>13.7</v>
      </c>
      <c r="F2823" s="469">
        <v>15.2</v>
      </c>
      <c r="G2823" s="469">
        <v>8.6999999999999993</v>
      </c>
      <c r="H2823" s="470">
        <v>175</v>
      </c>
      <c r="I2823" s="470">
        <v>700</v>
      </c>
      <c r="J2823" s="470">
        <v>4514</v>
      </c>
      <c r="K2823" s="469">
        <v>1.84</v>
      </c>
    </row>
    <row r="2824" spans="2:11" x14ac:dyDescent="0.35">
      <c r="B2824" s="62">
        <v>12.25</v>
      </c>
      <c r="C2824" s="471">
        <v>2840</v>
      </c>
      <c r="D2824" s="471">
        <v>2819.2</v>
      </c>
      <c r="E2824" s="469">
        <v>7.44</v>
      </c>
      <c r="F2824" s="469">
        <v>12.9</v>
      </c>
      <c r="G2824" s="469">
        <v>6.9</v>
      </c>
      <c r="H2824" s="470">
        <v>176</v>
      </c>
      <c r="I2824" s="470">
        <v>700</v>
      </c>
      <c r="J2824" s="470">
        <v>4462</v>
      </c>
      <c r="K2824" s="469">
        <v>1.84</v>
      </c>
    </row>
    <row r="2825" spans="2:11" x14ac:dyDescent="0.35">
      <c r="B2825" s="62">
        <v>12.25</v>
      </c>
      <c r="C2825" s="471">
        <v>2841</v>
      </c>
      <c r="D2825" s="471">
        <v>2820.5</v>
      </c>
      <c r="E2825" s="469">
        <v>7.94</v>
      </c>
      <c r="F2825" s="469">
        <v>11.7</v>
      </c>
      <c r="G2825" s="469">
        <v>6.7</v>
      </c>
      <c r="H2825" s="470">
        <v>177</v>
      </c>
      <c r="I2825" s="470">
        <v>703</v>
      </c>
      <c r="J2825" s="470">
        <v>4322</v>
      </c>
      <c r="K2825" s="469">
        <v>1.84</v>
      </c>
    </row>
    <row r="2826" spans="2:11" x14ac:dyDescent="0.35">
      <c r="B2826" s="62">
        <v>12.25</v>
      </c>
      <c r="C2826" s="471">
        <v>2842</v>
      </c>
      <c r="D2826" s="471">
        <v>2821.5</v>
      </c>
      <c r="E2826" s="469">
        <v>6.98</v>
      </c>
      <c r="F2826" s="469">
        <v>10.9</v>
      </c>
      <c r="G2826" s="469">
        <v>6.1</v>
      </c>
      <c r="H2826" s="470">
        <v>153</v>
      </c>
      <c r="I2826" s="470">
        <v>483</v>
      </c>
      <c r="J2826" s="470">
        <v>3363</v>
      </c>
      <c r="K2826" s="469">
        <v>1.84</v>
      </c>
    </row>
    <row r="2827" spans="2:11" x14ac:dyDescent="0.35">
      <c r="B2827" s="62">
        <v>12.25</v>
      </c>
      <c r="C2827" s="471">
        <v>2843</v>
      </c>
      <c r="D2827" s="471">
        <v>2822.4</v>
      </c>
      <c r="E2827" s="469">
        <v>2.97</v>
      </c>
      <c r="F2827" s="469">
        <v>14.3</v>
      </c>
      <c r="G2827" s="469">
        <v>5.8</v>
      </c>
      <c r="H2827" s="470">
        <v>168</v>
      </c>
      <c r="I2827" s="470">
        <v>641</v>
      </c>
      <c r="J2827" s="470">
        <v>4257</v>
      </c>
      <c r="K2827" s="469">
        <v>1.84</v>
      </c>
    </row>
    <row r="2828" spans="2:11" x14ac:dyDescent="0.35">
      <c r="B2828" s="62">
        <v>12.25</v>
      </c>
      <c r="C2828" s="471">
        <v>2844</v>
      </c>
      <c r="D2828" s="471">
        <v>2823.4</v>
      </c>
      <c r="E2828" s="469">
        <v>3.6</v>
      </c>
      <c r="F2828" s="469">
        <v>16.5</v>
      </c>
      <c r="G2828" s="469">
        <v>6.8</v>
      </c>
      <c r="H2828" s="470">
        <v>177</v>
      </c>
      <c r="I2828" s="470">
        <v>714</v>
      </c>
      <c r="J2828" s="470">
        <v>4514</v>
      </c>
      <c r="K2828" s="469">
        <v>1.84</v>
      </c>
    </row>
    <row r="2829" spans="2:11" x14ac:dyDescent="0.35">
      <c r="B2829" s="62">
        <v>12.25</v>
      </c>
      <c r="C2829" s="471">
        <v>2845</v>
      </c>
      <c r="D2829" s="471">
        <v>2824.4</v>
      </c>
      <c r="E2829" s="469">
        <v>4.05</v>
      </c>
      <c r="F2829" s="469">
        <v>19.100000000000001</v>
      </c>
      <c r="G2829" s="469">
        <v>6.8</v>
      </c>
      <c r="H2829" s="470">
        <v>176</v>
      </c>
      <c r="I2829" s="470">
        <v>708</v>
      </c>
      <c r="J2829" s="470">
        <v>4549</v>
      </c>
      <c r="K2829" s="469">
        <v>1.84</v>
      </c>
    </row>
    <row r="2830" spans="2:11" x14ac:dyDescent="0.35">
      <c r="B2830" s="62">
        <v>12.25</v>
      </c>
      <c r="C2830" s="471">
        <v>2846</v>
      </c>
      <c r="D2830" s="471">
        <v>2825.4</v>
      </c>
      <c r="E2830" s="469">
        <v>3.8</v>
      </c>
      <c r="F2830" s="469">
        <v>19.3</v>
      </c>
      <c r="G2830" s="469">
        <v>6.1</v>
      </c>
      <c r="H2830" s="470">
        <v>176</v>
      </c>
      <c r="I2830" s="470">
        <v>707</v>
      </c>
      <c r="J2830" s="470">
        <v>4479</v>
      </c>
      <c r="K2830" s="469">
        <v>1.84</v>
      </c>
    </row>
    <row r="2831" spans="2:11" x14ac:dyDescent="0.35">
      <c r="B2831" s="62">
        <v>12.25</v>
      </c>
      <c r="C2831" s="471">
        <v>2847</v>
      </c>
      <c r="D2831" s="471">
        <v>2826.4</v>
      </c>
      <c r="E2831" s="469">
        <v>7.2</v>
      </c>
      <c r="F2831" s="469">
        <v>18.600000000000001</v>
      </c>
      <c r="G2831" s="469">
        <v>8.4</v>
      </c>
      <c r="H2831" s="470">
        <v>176</v>
      </c>
      <c r="I2831" s="470">
        <v>707</v>
      </c>
      <c r="J2831" s="470">
        <v>4527</v>
      </c>
      <c r="K2831" s="469">
        <v>1.84</v>
      </c>
    </row>
    <row r="2832" spans="2:11" x14ac:dyDescent="0.35">
      <c r="B2832" s="62">
        <v>12.25</v>
      </c>
      <c r="C2832" s="471">
        <v>2848</v>
      </c>
      <c r="D2832" s="471">
        <v>2827.4</v>
      </c>
      <c r="E2832" s="469">
        <v>16.079999999999998</v>
      </c>
      <c r="F2832" s="469">
        <v>14.3</v>
      </c>
      <c r="G2832" s="469">
        <v>9.6999999999999993</v>
      </c>
      <c r="H2832" s="470">
        <v>176</v>
      </c>
      <c r="I2832" s="470">
        <v>707</v>
      </c>
      <c r="J2832" s="470">
        <v>4573</v>
      </c>
      <c r="K2832" s="469">
        <v>1.84</v>
      </c>
    </row>
    <row r="2833" spans="2:11" x14ac:dyDescent="0.35">
      <c r="B2833" s="62">
        <v>12.25</v>
      </c>
      <c r="C2833" s="471">
        <v>2849</v>
      </c>
      <c r="D2833" s="471">
        <v>2828.4</v>
      </c>
      <c r="E2833" s="469">
        <v>6.14</v>
      </c>
      <c r="F2833" s="469">
        <v>17.8</v>
      </c>
      <c r="G2833" s="469">
        <v>7.2</v>
      </c>
      <c r="H2833" s="470">
        <v>176</v>
      </c>
      <c r="I2833" s="470">
        <v>709</v>
      </c>
      <c r="J2833" s="470">
        <v>4457</v>
      </c>
      <c r="K2833" s="469">
        <v>1.84</v>
      </c>
    </row>
    <row r="2834" spans="2:11" x14ac:dyDescent="0.35">
      <c r="B2834" s="62">
        <v>12.25</v>
      </c>
      <c r="C2834" s="471">
        <v>2850</v>
      </c>
      <c r="D2834" s="471">
        <v>2829.4</v>
      </c>
      <c r="E2834" s="469">
        <v>4.51</v>
      </c>
      <c r="F2834" s="469">
        <v>19.100000000000001</v>
      </c>
      <c r="G2834" s="469">
        <v>5.8</v>
      </c>
      <c r="H2834" s="470">
        <v>177</v>
      </c>
      <c r="I2834" s="470">
        <v>715</v>
      </c>
      <c r="J2834" s="470">
        <v>4419</v>
      </c>
      <c r="K2834" s="469">
        <v>1.84</v>
      </c>
    </row>
    <row r="2835" spans="2:11" x14ac:dyDescent="0.35">
      <c r="B2835" s="62">
        <v>12.25</v>
      </c>
      <c r="C2835" s="471">
        <v>2851</v>
      </c>
      <c r="D2835" s="471">
        <v>2830.3</v>
      </c>
      <c r="E2835" s="469">
        <v>33.93</v>
      </c>
      <c r="F2835" s="469">
        <v>17.2</v>
      </c>
      <c r="G2835" s="469">
        <v>11.8</v>
      </c>
      <c r="H2835" s="470">
        <v>176</v>
      </c>
      <c r="I2835" s="470">
        <v>706</v>
      </c>
      <c r="J2835" s="470">
        <v>4648</v>
      </c>
      <c r="K2835" s="469">
        <v>1.84</v>
      </c>
    </row>
    <row r="2836" spans="2:11" x14ac:dyDescent="0.35">
      <c r="B2836" s="62">
        <v>12.25</v>
      </c>
      <c r="C2836" s="471">
        <v>2852</v>
      </c>
      <c r="D2836" s="471">
        <v>2831.3</v>
      </c>
      <c r="E2836" s="469">
        <v>13.61</v>
      </c>
      <c r="F2836" s="469">
        <v>19.100000000000001</v>
      </c>
      <c r="G2836" s="469">
        <v>10</v>
      </c>
      <c r="H2836" s="470">
        <v>176</v>
      </c>
      <c r="I2836" s="470">
        <v>708</v>
      </c>
      <c r="J2836" s="470">
        <v>4564</v>
      </c>
      <c r="K2836" s="469">
        <v>1.84</v>
      </c>
    </row>
    <row r="2837" spans="2:11" x14ac:dyDescent="0.35">
      <c r="B2837" s="62">
        <v>12.25</v>
      </c>
      <c r="C2837" s="471">
        <v>2853</v>
      </c>
      <c r="D2837" s="471">
        <v>2832.5</v>
      </c>
      <c r="E2837" s="469">
        <v>8.57</v>
      </c>
      <c r="F2837" s="469">
        <v>11.6</v>
      </c>
      <c r="G2837" s="469">
        <v>7.2</v>
      </c>
      <c r="H2837" s="470">
        <v>177</v>
      </c>
      <c r="I2837" s="470">
        <v>707</v>
      </c>
      <c r="J2837" s="470">
        <v>4365</v>
      </c>
      <c r="K2837" s="469">
        <v>1.84</v>
      </c>
    </row>
    <row r="2838" spans="2:11" x14ac:dyDescent="0.35">
      <c r="B2838" s="62">
        <v>12.25</v>
      </c>
      <c r="C2838" s="471">
        <v>2854</v>
      </c>
      <c r="D2838" s="471">
        <v>2833.4</v>
      </c>
      <c r="E2838" s="469">
        <v>11.61</v>
      </c>
      <c r="F2838" s="469">
        <v>16.7</v>
      </c>
      <c r="G2838" s="469">
        <v>7.8</v>
      </c>
      <c r="H2838" s="470">
        <v>176</v>
      </c>
      <c r="I2838" s="470">
        <v>695</v>
      </c>
      <c r="J2838" s="470">
        <v>4239</v>
      </c>
      <c r="K2838" s="469">
        <v>1.84</v>
      </c>
    </row>
    <row r="2839" spans="2:11" x14ac:dyDescent="0.35">
      <c r="B2839" s="62">
        <v>12.25</v>
      </c>
      <c r="C2839" s="471">
        <v>2855</v>
      </c>
      <c r="D2839" s="471">
        <v>2834.4</v>
      </c>
      <c r="E2839" s="469">
        <v>4.46</v>
      </c>
      <c r="F2839" s="469">
        <v>19.7</v>
      </c>
      <c r="G2839" s="469">
        <v>6.8</v>
      </c>
      <c r="H2839" s="470">
        <v>177</v>
      </c>
      <c r="I2839" s="470">
        <v>700</v>
      </c>
      <c r="J2839" s="470">
        <v>4290</v>
      </c>
      <c r="K2839" s="469">
        <v>1.84</v>
      </c>
    </row>
    <row r="2840" spans="2:11" x14ac:dyDescent="0.35">
      <c r="B2840" s="62">
        <v>12.25</v>
      </c>
      <c r="C2840" s="471">
        <v>2856</v>
      </c>
      <c r="D2840" s="471">
        <v>2835.4</v>
      </c>
      <c r="E2840" s="469">
        <v>8.6199999999999992</v>
      </c>
      <c r="F2840" s="469">
        <v>19.3</v>
      </c>
      <c r="G2840" s="469">
        <v>9.8000000000000007</v>
      </c>
      <c r="H2840" s="470">
        <v>176</v>
      </c>
      <c r="I2840" s="470">
        <v>696</v>
      </c>
      <c r="J2840" s="470">
        <v>4414</v>
      </c>
      <c r="K2840" s="469">
        <v>1.84</v>
      </c>
    </row>
    <row r="2841" spans="2:11" x14ac:dyDescent="0.35">
      <c r="B2841" s="62">
        <v>12.25</v>
      </c>
      <c r="C2841" s="471">
        <v>2857</v>
      </c>
      <c r="D2841" s="471">
        <v>2836.4</v>
      </c>
      <c r="E2841" s="469">
        <v>7.33</v>
      </c>
      <c r="F2841" s="469">
        <v>19.8</v>
      </c>
      <c r="G2841" s="469">
        <v>7.9</v>
      </c>
      <c r="H2841" s="470">
        <v>176</v>
      </c>
      <c r="I2841" s="470">
        <v>699</v>
      </c>
      <c r="J2841" s="470">
        <v>4382</v>
      </c>
      <c r="K2841" s="469">
        <v>1.84</v>
      </c>
    </row>
    <row r="2842" spans="2:11" x14ac:dyDescent="0.35">
      <c r="B2842" s="62">
        <v>12.25</v>
      </c>
      <c r="C2842" s="471">
        <v>2858</v>
      </c>
      <c r="D2842" s="471">
        <v>2837.4</v>
      </c>
      <c r="E2842" s="469">
        <v>9.52</v>
      </c>
      <c r="F2842" s="469">
        <v>19.600000000000001</v>
      </c>
      <c r="G2842" s="469">
        <v>9.8000000000000007</v>
      </c>
      <c r="H2842" s="470">
        <v>177</v>
      </c>
      <c r="I2842" s="470">
        <v>702</v>
      </c>
      <c r="J2842" s="470">
        <v>4392</v>
      </c>
      <c r="K2842" s="469">
        <v>1.84</v>
      </c>
    </row>
    <row r="2843" spans="2:11" x14ac:dyDescent="0.35">
      <c r="B2843" s="62">
        <v>12.25</v>
      </c>
      <c r="C2843" s="471">
        <v>2859</v>
      </c>
      <c r="D2843" s="471">
        <v>2838.4</v>
      </c>
      <c r="E2843" s="469">
        <v>10.11</v>
      </c>
      <c r="F2843" s="469">
        <v>19.7</v>
      </c>
      <c r="G2843" s="469">
        <v>8.1</v>
      </c>
      <c r="H2843" s="470">
        <v>177</v>
      </c>
      <c r="I2843" s="470">
        <v>699</v>
      </c>
      <c r="J2843" s="470">
        <v>4331</v>
      </c>
      <c r="K2843" s="469">
        <v>1.84</v>
      </c>
    </row>
    <row r="2844" spans="2:11" x14ac:dyDescent="0.35">
      <c r="B2844" s="62">
        <v>12.25</v>
      </c>
      <c r="C2844" s="471">
        <v>2860</v>
      </c>
      <c r="D2844" s="471">
        <v>2839.4</v>
      </c>
      <c r="E2844" s="469">
        <v>17.11</v>
      </c>
      <c r="F2844" s="469">
        <v>19.399999999999999</v>
      </c>
      <c r="G2844" s="469">
        <v>10.5</v>
      </c>
      <c r="H2844" s="470">
        <v>176</v>
      </c>
      <c r="I2844" s="470">
        <v>697</v>
      </c>
      <c r="J2844" s="470">
        <v>4420</v>
      </c>
      <c r="K2844" s="469">
        <v>1.84</v>
      </c>
    </row>
    <row r="2845" spans="2:11" x14ac:dyDescent="0.35">
      <c r="B2845" s="62">
        <v>12.25</v>
      </c>
      <c r="C2845" s="471">
        <v>2861</v>
      </c>
      <c r="D2845" s="471">
        <v>2840.4</v>
      </c>
      <c r="E2845" s="469">
        <v>10.42</v>
      </c>
      <c r="F2845" s="469">
        <v>19.399999999999999</v>
      </c>
      <c r="G2845" s="469">
        <v>8.5</v>
      </c>
      <c r="H2845" s="470">
        <v>176</v>
      </c>
      <c r="I2845" s="470">
        <v>689</v>
      </c>
      <c r="J2845" s="470">
        <v>4220</v>
      </c>
      <c r="K2845" s="469">
        <v>1.84</v>
      </c>
    </row>
    <row r="2846" spans="2:11" x14ac:dyDescent="0.35">
      <c r="B2846" s="62">
        <v>12.25</v>
      </c>
      <c r="C2846" s="471">
        <v>2862</v>
      </c>
      <c r="D2846" s="471">
        <v>2841.3</v>
      </c>
      <c r="E2846" s="469">
        <v>2.68</v>
      </c>
      <c r="F2846" s="469">
        <v>20.2</v>
      </c>
      <c r="G2846" s="469">
        <v>5.2</v>
      </c>
      <c r="H2846" s="470">
        <v>177</v>
      </c>
      <c r="I2846" s="470">
        <v>697</v>
      </c>
      <c r="J2846" s="470">
        <v>4143</v>
      </c>
      <c r="K2846" s="469">
        <v>1.84</v>
      </c>
    </row>
    <row r="2847" spans="2:11" x14ac:dyDescent="0.35">
      <c r="B2847" s="62">
        <v>12.25</v>
      </c>
      <c r="C2847" s="471">
        <v>2863</v>
      </c>
      <c r="D2847" s="471">
        <v>2842.3</v>
      </c>
      <c r="E2847" s="469">
        <v>3.15</v>
      </c>
      <c r="F2847" s="469">
        <v>19.899999999999999</v>
      </c>
      <c r="G2847" s="469">
        <v>5.5</v>
      </c>
      <c r="H2847" s="470">
        <v>177</v>
      </c>
      <c r="I2847" s="470">
        <v>698</v>
      </c>
      <c r="J2847" s="470">
        <v>4136</v>
      </c>
      <c r="K2847" s="469">
        <v>1.84</v>
      </c>
    </row>
    <row r="2848" spans="2:11" x14ac:dyDescent="0.35">
      <c r="B2848" s="62">
        <v>12.25</v>
      </c>
      <c r="C2848" s="471">
        <v>2864</v>
      </c>
      <c r="D2848" s="471">
        <v>2843.3</v>
      </c>
      <c r="E2848" s="469">
        <v>4.58</v>
      </c>
      <c r="F2848" s="469">
        <v>19.8</v>
      </c>
      <c r="G2848" s="469">
        <v>6.3</v>
      </c>
      <c r="H2848" s="470">
        <v>177</v>
      </c>
      <c r="I2848" s="470">
        <v>697</v>
      </c>
      <c r="J2848" s="470">
        <v>4150</v>
      </c>
      <c r="K2848" s="469">
        <v>1.84</v>
      </c>
    </row>
    <row r="2849" spans="2:11" x14ac:dyDescent="0.35">
      <c r="B2849" s="62">
        <v>12.25</v>
      </c>
      <c r="C2849" s="471">
        <v>2865</v>
      </c>
      <c r="D2849" s="471">
        <v>2844.4</v>
      </c>
      <c r="E2849" s="469">
        <v>5.38</v>
      </c>
      <c r="F2849" s="469">
        <v>20</v>
      </c>
      <c r="G2849" s="469">
        <v>6.4</v>
      </c>
      <c r="H2849" s="470">
        <v>176</v>
      </c>
      <c r="I2849" s="470">
        <v>697</v>
      </c>
      <c r="J2849" s="470">
        <v>4173</v>
      </c>
      <c r="K2849" s="469">
        <v>1.84</v>
      </c>
    </row>
    <row r="2850" spans="2:11" x14ac:dyDescent="0.35">
      <c r="B2850" s="62">
        <v>12.25</v>
      </c>
      <c r="C2850" s="471">
        <v>2866</v>
      </c>
      <c r="D2850" s="471">
        <v>2845.3</v>
      </c>
      <c r="E2850" s="469">
        <v>5.22</v>
      </c>
      <c r="F2850" s="469">
        <v>19.899999999999999</v>
      </c>
      <c r="G2850" s="469">
        <v>6.6</v>
      </c>
      <c r="H2850" s="470">
        <v>176</v>
      </c>
      <c r="I2850" s="470">
        <v>697</v>
      </c>
      <c r="J2850" s="470">
        <v>4184</v>
      </c>
      <c r="K2850" s="469">
        <v>1.84</v>
      </c>
    </row>
    <row r="2851" spans="2:11" x14ac:dyDescent="0.35">
      <c r="B2851" s="62">
        <v>12.25</v>
      </c>
      <c r="C2851" s="471">
        <v>2867</v>
      </c>
      <c r="D2851" s="471">
        <v>2846.3</v>
      </c>
      <c r="E2851" s="469">
        <v>5.95</v>
      </c>
      <c r="F2851" s="469">
        <v>19.8</v>
      </c>
      <c r="G2851" s="469">
        <v>9.6</v>
      </c>
      <c r="H2851" s="470">
        <v>177</v>
      </c>
      <c r="I2851" s="470">
        <v>698</v>
      </c>
      <c r="J2851" s="470">
        <v>4221</v>
      </c>
      <c r="K2851" s="469">
        <v>1.84</v>
      </c>
    </row>
    <row r="2852" spans="2:11" x14ac:dyDescent="0.35">
      <c r="B2852" s="62">
        <v>12.25</v>
      </c>
      <c r="C2852" s="471">
        <v>2868</v>
      </c>
      <c r="D2852" s="471">
        <v>2847.3</v>
      </c>
      <c r="E2852" s="469">
        <v>6.92</v>
      </c>
      <c r="F2852" s="469">
        <v>19.7</v>
      </c>
      <c r="G2852" s="469">
        <v>6.2</v>
      </c>
      <c r="H2852" s="470">
        <v>176</v>
      </c>
      <c r="I2852" s="470">
        <v>696</v>
      </c>
      <c r="J2852" s="470">
        <v>4245</v>
      </c>
      <c r="K2852" s="469">
        <v>1.84</v>
      </c>
    </row>
    <row r="2853" spans="2:11" x14ac:dyDescent="0.35">
      <c r="B2853" s="62">
        <v>12.25</v>
      </c>
      <c r="C2853" s="471">
        <v>2869</v>
      </c>
      <c r="D2853" s="471">
        <v>2848.3</v>
      </c>
      <c r="E2853" s="469">
        <v>4.28</v>
      </c>
      <c r="F2853" s="469">
        <v>19.899999999999999</v>
      </c>
      <c r="G2853" s="469">
        <v>6.8</v>
      </c>
      <c r="H2853" s="470">
        <v>176</v>
      </c>
      <c r="I2853" s="470">
        <v>696</v>
      </c>
      <c r="J2853" s="470">
        <v>4228</v>
      </c>
      <c r="K2853" s="469">
        <v>1.84</v>
      </c>
    </row>
    <row r="2854" spans="2:11" x14ac:dyDescent="0.35">
      <c r="B2854" s="62">
        <v>12.25</v>
      </c>
      <c r="C2854" s="471">
        <v>2870</v>
      </c>
      <c r="D2854" s="471">
        <v>2849.3</v>
      </c>
      <c r="E2854" s="469">
        <v>3.39</v>
      </c>
      <c r="F2854" s="469">
        <v>20.100000000000001</v>
      </c>
      <c r="G2854" s="469">
        <v>5.9</v>
      </c>
      <c r="H2854" s="470">
        <v>171</v>
      </c>
      <c r="I2854" s="470">
        <v>646</v>
      </c>
      <c r="J2854" s="470">
        <v>4144</v>
      </c>
      <c r="K2854" s="469">
        <v>1.84</v>
      </c>
    </row>
    <row r="2855" spans="2:11" x14ac:dyDescent="0.35">
      <c r="B2855" s="62">
        <v>12.25</v>
      </c>
      <c r="C2855" s="471">
        <v>2871</v>
      </c>
      <c r="D2855" s="471">
        <v>2850.3</v>
      </c>
      <c r="E2855" s="469">
        <v>5.99</v>
      </c>
      <c r="F2855" s="469">
        <v>20.100000000000001</v>
      </c>
      <c r="G2855" s="469">
        <v>8.1999999999999993</v>
      </c>
      <c r="H2855" s="470">
        <v>176</v>
      </c>
      <c r="I2855" s="470">
        <v>695</v>
      </c>
      <c r="J2855" s="470">
        <v>4147</v>
      </c>
      <c r="K2855" s="469">
        <v>1.84</v>
      </c>
    </row>
    <row r="2856" spans="2:11" x14ac:dyDescent="0.35">
      <c r="B2856" s="62">
        <v>12.25</v>
      </c>
      <c r="C2856" s="471">
        <v>2872</v>
      </c>
      <c r="D2856" s="471">
        <v>2851.2</v>
      </c>
      <c r="E2856" s="469">
        <v>3.73</v>
      </c>
      <c r="F2856" s="469">
        <v>20.2</v>
      </c>
      <c r="G2856" s="469">
        <v>6.5</v>
      </c>
      <c r="H2856" s="470">
        <v>176</v>
      </c>
      <c r="I2856" s="470">
        <v>697</v>
      </c>
      <c r="J2856" s="470">
        <v>4176</v>
      </c>
      <c r="K2856" s="469">
        <v>1.84</v>
      </c>
    </row>
    <row r="2857" spans="2:11" x14ac:dyDescent="0.35">
      <c r="B2857" s="62">
        <v>12.25</v>
      </c>
      <c r="C2857" s="471">
        <v>2873</v>
      </c>
      <c r="D2857" s="471">
        <v>2852.2</v>
      </c>
      <c r="E2857" s="469">
        <v>4.8600000000000003</v>
      </c>
      <c r="F2857" s="469">
        <v>16.899999999999999</v>
      </c>
      <c r="G2857" s="469">
        <v>7.5</v>
      </c>
      <c r="H2857" s="470">
        <v>176</v>
      </c>
      <c r="I2857" s="470">
        <v>697</v>
      </c>
      <c r="J2857" s="470">
        <v>4348</v>
      </c>
      <c r="K2857" s="469">
        <v>1.84</v>
      </c>
    </row>
    <row r="2858" spans="2:11" x14ac:dyDescent="0.35">
      <c r="B2858" s="62">
        <v>12.25</v>
      </c>
      <c r="C2858" s="471">
        <v>2874</v>
      </c>
      <c r="D2858" s="471">
        <v>2853.2</v>
      </c>
      <c r="E2858" s="469">
        <v>16.079999999999998</v>
      </c>
      <c r="F2858" s="469">
        <v>18.8</v>
      </c>
      <c r="G2858" s="469">
        <v>11.6</v>
      </c>
      <c r="H2858" s="470">
        <v>174</v>
      </c>
      <c r="I2858" s="470">
        <v>681</v>
      </c>
      <c r="J2858" s="470">
        <v>4206</v>
      </c>
      <c r="K2858" s="469">
        <v>1.84</v>
      </c>
    </row>
    <row r="2859" spans="2:11" x14ac:dyDescent="0.35">
      <c r="B2859" s="62">
        <v>12.25</v>
      </c>
      <c r="C2859" s="471">
        <v>2875</v>
      </c>
      <c r="D2859" s="471">
        <v>2854.2</v>
      </c>
      <c r="E2859" s="469">
        <v>19.89</v>
      </c>
      <c r="F2859" s="469">
        <v>19.600000000000001</v>
      </c>
      <c r="G2859" s="469">
        <v>12.3</v>
      </c>
      <c r="H2859" s="470">
        <v>172</v>
      </c>
      <c r="I2859" s="470">
        <v>672</v>
      </c>
      <c r="J2859" s="470">
        <v>4171</v>
      </c>
      <c r="K2859" s="469">
        <v>1.84</v>
      </c>
    </row>
    <row r="2860" spans="2:11" x14ac:dyDescent="0.35">
      <c r="B2860" s="62">
        <v>12.25</v>
      </c>
      <c r="C2860" s="471">
        <v>2876</v>
      </c>
      <c r="D2860" s="471">
        <v>2855.2</v>
      </c>
      <c r="E2860" s="469">
        <v>11.22</v>
      </c>
      <c r="F2860" s="469">
        <v>17.600000000000001</v>
      </c>
      <c r="G2860" s="469">
        <v>10.7</v>
      </c>
      <c r="H2860" s="470">
        <v>173</v>
      </c>
      <c r="I2860" s="470">
        <v>673</v>
      </c>
      <c r="J2860" s="470">
        <v>4134</v>
      </c>
      <c r="K2860" s="469">
        <v>1.84</v>
      </c>
    </row>
    <row r="2861" spans="2:11" x14ac:dyDescent="0.35">
      <c r="B2861" s="62">
        <v>12.25</v>
      </c>
      <c r="C2861" s="471">
        <v>2877</v>
      </c>
      <c r="D2861" s="471">
        <v>2856.2</v>
      </c>
      <c r="E2861" s="469">
        <v>13.04</v>
      </c>
      <c r="F2861" s="469">
        <v>14.5</v>
      </c>
      <c r="G2861" s="469">
        <v>12</v>
      </c>
      <c r="H2861" s="470">
        <v>173</v>
      </c>
      <c r="I2861" s="470">
        <v>672</v>
      </c>
      <c r="J2861" s="470">
        <v>4185</v>
      </c>
      <c r="K2861" s="469">
        <v>1.84</v>
      </c>
    </row>
    <row r="2862" spans="2:11" x14ac:dyDescent="0.35">
      <c r="B2862" s="62">
        <v>12.25</v>
      </c>
      <c r="C2862" s="471">
        <v>2878</v>
      </c>
      <c r="D2862" s="471">
        <v>2857.2</v>
      </c>
      <c r="E2862" s="469">
        <v>12.36</v>
      </c>
      <c r="F2862" s="469">
        <v>15</v>
      </c>
      <c r="G2862" s="469">
        <v>5.5</v>
      </c>
      <c r="H2862" s="470">
        <v>174</v>
      </c>
      <c r="I2862" s="470">
        <v>670</v>
      </c>
      <c r="J2862" s="470">
        <v>4229</v>
      </c>
      <c r="K2862" s="469">
        <v>1.84</v>
      </c>
    </row>
    <row r="2863" spans="2:11" x14ac:dyDescent="0.35">
      <c r="B2863" s="62">
        <v>12.25</v>
      </c>
      <c r="C2863" s="471">
        <v>2879</v>
      </c>
      <c r="D2863" s="471">
        <v>2858.2</v>
      </c>
      <c r="E2863" s="469">
        <v>7.45</v>
      </c>
      <c r="F2863" s="469">
        <v>14.9</v>
      </c>
      <c r="G2863" s="469">
        <v>9.1999999999999993</v>
      </c>
      <c r="H2863" s="470">
        <v>174</v>
      </c>
      <c r="I2863" s="470">
        <v>675</v>
      </c>
      <c r="J2863" s="470">
        <v>4138</v>
      </c>
      <c r="K2863" s="469">
        <v>1.84</v>
      </c>
    </row>
    <row r="2864" spans="2:11" x14ac:dyDescent="0.35">
      <c r="B2864" s="62">
        <v>12.25</v>
      </c>
      <c r="C2864" s="471">
        <v>2880</v>
      </c>
      <c r="D2864" s="471">
        <v>2859.2</v>
      </c>
      <c r="E2864" s="469">
        <v>7.58</v>
      </c>
      <c r="F2864" s="469">
        <v>14.7</v>
      </c>
      <c r="G2864" s="469">
        <v>10.5</v>
      </c>
      <c r="H2864" s="470">
        <v>176</v>
      </c>
      <c r="I2864" s="470">
        <v>693</v>
      </c>
      <c r="J2864" s="470">
        <v>4274</v>
      </c>
      <c r="K2864" s="469">
        <v>1.84</v>
      </c>
    </row>
    <row r="2865" spans="2:11" x14ac:dyDescent="0.35">
      <c r="B2865" s="62">
        <v>12.25</v>
      </c>
      <c r="C2865" s="471">
        <v>2881</v>
      </c>
      <c r="D2865" s="471">
        <v>2860.2</v>
      </c>
      <c r="E2865" s="469">
        <v>7.72</v>
      </c>
      <c r="F2865" s="469">
        <v>14.4</v>
      </c>
      <c r="G2865" s="469">
        <v>8</v>
      </c>
      <c r="H2865" s="470">
        <v>177</v>
      </c>
      <c r="I2865" s="470">
        <v>695</v>
      </c>
      <c r="J2865" s="470">
        <v>4216</v>
      </c>
      <c r="K2865" s="469">
        <v>1.84</v>
      </c>
    </row>
    <row r="2866" spans="2:11" x14ac:dyDescent="0.35">
      <c r="B2866" s="62">
        <v>12.25</v>
      </c>
      <c r="C2866" s="471">
        <v>2882</v>
      </c>
      <c r="D2866" s="471">
        <v>2861.2</v>
      </c>
      <c r="E2866" s="469">
        <v>3.31</v>
      </c>
      <c r="F2866" s="469">
        <v>9.3000000000000007</v>
      </c>
      <c r="G2866" s="469">
        <v>5.0999999999999996</v>
      </c>
      <c r="H2866" s="470">
        <v>177</v>
      </c>
      <c r="I2866" s="470">
        <v>698</v>
      </c>
      <c r="J2866" s="470">
        <v>4114</v>
      </c>
      <c r="K2866" s="469">
        <v>1.85</v>
      </c>
    </row>
    <row r="2867" spans="2:11" x14ac:dyDescent="0.35">
      <c r="B2867" s="62">
        <v>12.25</v>
      </c>
      <c r="C2867" s="471">
        <v>2883</v>
      </c>
      <c r="D2867" s="471">
        <v>2862.3</v>
      </c>
      <c r="E2867" s="469">
        <v>2.86</v>
      </c>
      <c r="F2867" s="469">
        <v>6.9</v>
      </c>
      <c r="G2867" s="469">
        <v>4</v>
      </c>
      <c r="H2867" s="470">
        <v>176</v>
      </c>
      <c r="I2867" s="470">
        <v>698</v>
      </c>
      <c r="J2867" s="470">
        <v>4142</v>
      </c>
      <c r="K2867" s="469">
        <v>1.85</v>
      </c>
    </row>
    <row r="2868" spans="2:11" x14ac:dyDescent="0.35">
      <c r="B2868" s="62">
        <v>12.25</v>
      </c>
      <c r="C2868" s="471">
        <v>2884</v>
      </c>
      <c r="D2868" s="471">
        <v>2863.2</v>
      </c>
      <c r="E2868" s="469">
        <v>3.05</v>
      </c>
      <c r="F2868" s="469">
        <v>5.6</v>
      </c>
      <c r="G2868" s="469">
        <v>4.0999999999999996</v>
      </c>
      <c r="H2868" s="470">
        <v>176</v>
      </c>
      <c r="I2868" s="470">
        <v>695</v>
      </c>
      <c r="J2868" s="470">
        <v>4153</v>
      </c>
      <c r="K2868" s="469">
        <v>1.85</v>
      </c>
    </row>
    <row r="2869" spans="2:11" x14ac:dyDescent="0.35">
      <c r="B2869" s="62">
        <v>12.25</v>
      </c>
      <c r="C2869" s="471">
        <v>2885</v>
      </c>
      <c r="D2869" s="471">
        <v>2864.2</v>
      </c>
      <c r="E2869" s="469">
        <v>6.12</v>
      </c>
      <c r="F2869" s="469">
        <v>6.4</v>
      </c>
      <c r="G2869" s="469">
        <v>4.3</v>
      </c>
      <c r="H2869" s="470">
        <v>176</v>
      </c>
      <c r="I2869" s="470">
        <v>696</v>
      </c>
      <c r="J2869" s="470">
        <v>4222</v>
      </c>
      <c r="K2869" s="469">
        <v>1.85</v>
      </c>
    </row>
    <row r="2870" spans="2:11" x14ac:dyDescent="0.35">
      <c r="B2870" s="62">
        <v>12.25</v>
      </c>
      <c r="C2870" s="471">
        <v>2886</v>
      </c>
      <c r="D2870" s="471">
        <v>2865.2</v>
      </c>
      <c r="E2870" s="469">
        <v>2.06</v>
      </c>
      <c r="F2870" s="469">
        <v>11.4</v>
      </c>
      <c r="G2870" s="469">
        <v>4.3</v>
      </c>
      <c r="H2870" s="470">
        <v>176</v>
      </c>
      <c r="I2870" s="470">
        <v>694</v>
      </c>
      <c r="J2870" s="470">
        <v>4183</v>
      </c>
      <c r="K2870" s="469">
        <v>1.85</v>
      </c>
    </row>
    <row r="2871" spans="2:11" x14ac:dyDescent="0.35">
      <c r="B2871" s="62">
        <v>12.25</v>
      </c>
      <c r="C2871" s="471">
        <v>2887</v>
      </c>
      <c r="D2871" s="471">
        <v>2866.2</v>
      </c>
      <c r="E2871" s="469">
        <v>1.88</v>
      </c>
      <c r="F2871" s="469">
        <v>12.2</v>
      </c>
      <c r="G2871" s="469">
        <v>4.4000000000000004</v>
      </c>
      <c r="H2871" s="470">
        <v>176</v>
      </c>
      <c r="I2871" s="470">
        <v>691</v>
      </c>
      <c r="J2871" s="470">
        <v>4066</v>
      </c>
      <c r="K2871" s="469">
        <v>1.85</v>
      </c>
    </row>
    <row r="2872" spans="2:11" x14ac:dyDescent="0.35">
      <c r="B2872" s="62">
        <v>12.25</v>
      </c>
      <c r="C2872" s="471">
        <v>2888</v>
      </c>
      <c r="D2872" s="471">
        <v>2867.2</v>
      </c>
      <c r="E2872" s="469">
        <v>2.2599999999999998</v>
      </c>
      <c r="F2872" s="469">
        <v>14.9</v>
      </c>
      <c r="G2872" s="469">
        <v>5.0999999999999996</v>
      </c>
      <c r="H2872" s="470">
        <v>177</v>
      </c>
      <c r="I2872" s="470">
        <v>709</v>
      </c>
      <c r="J2872" s="470">
        <v>4266</v>
      </c>
      <c r="K2872" s="469">
        <v>1.85</v>
      </c>
    </row>
    <row r="2873" spans="2:11" x14ac:dyDescent="0.35">
      <c r="B2873" s="62">
        <v>12.25</v>
      </c>
      <c r="C2873" s="471">
        <v>2889</v>
      </c>
      <c r="D2873" s="471">
        <v>2868.2</v>
      </c>
      <c r="E2873" s="469">
        <v>2.72</v>
      </c>
      <c r="F2873" s="469">
        <v>15.7</v>
      </c>
      <c r="G2873" s="469">
        <v>6.7</v>
      </c>
      <c r="H2873" s="470">
        <v>176</v>
      </c>
      <c r="I2873" s="470">
        <v>693</v>
      </c>
      <c r="J2873" s="470">
        <v>4227</v>
      </c>
      <c r="K2873" s="469">
        <v>1.85</v>
      </c>
    </row>
    <row r="2874" spans="2:11" x14ac:dyDescent="0.35">
      <c r="B2874" s="62">
        <v>12.25</v>
      </c>
      <c r="C2874" s="471">
        <v>2890</v>
      </c>
      <c r="D2874" s="471">
        <v>2869.2</v>
      </c>
      <c r="E2874" s="469">
        <v>21.56</v>
      </c>
      <c r="F2874" s="469">
        <v>8.6</v>
      </c>
      <c r="G2874" s="469">
        <v>5.9</v>
      </c>
      <c r="H2874" s="470">
        <v>175</v>
      </c>
      <c r="I2874" s="470">
        <v>688</v>
      </c>
      <c r="J2874" s="470">
        <v>4186</v>
      </c>
      <c r="K2874" s="469">
        <v>1.85</v>
      </c>
    </row>
    <row r="2875" spans="2:11" x14ac:dyDescent="0.35">
      <c r="B2875" s="62">
        <v>12.25</v>
      </c>
      <c r="C2875" s="471">
        <v>2891</v>
      </c>
      <c r="D2875" s="471">
        <v>2870.2</v>
      </c>
      <c r="E2875" s="469">
        <v>4.03</v>
      </c>
      <c r="F2875" s="469">
        <v>6.5</v>
      </c>
      <c r="G2875" s="469">
        <v>5.3</v>
      </c>
      <c r="H2875" s="470">
        <v>176</v>
      </c>
      <c r="I2875" s="470">
        <v>700</v>
      </c>
      <c r="J2875" s="470">
        <v>4164</v>
      </c>
      <c r="K2875" s="469">
        <v>1.85</v>
      </c>
    </row>
    <row r="2876" spans="2:11" x14ac:dyDescent="0.35">
      <c r="B2876" s="62">
        <v>8.5</v>
      </c>
      <c r="C2876" s="471">
        <v>2892</v>
      </c>
      <c r="D2876" s="471">
        <v>2871.12</v>
      </c>
      <c r="E2876" s="469">
        <v>13.08</v>
      </c>
      <c r="F2876" s="469">
        <v>1.3</v>
      </c>
      <c r="G2876" s="469">
        <v>4</v>
      </c>
      <c r="H2876" s="470">
        <v>121</v>
      </c>
      <c r="I2876" s="470">
        <v>322</v>
      </c>
      <c r="J2876" s="470">
        <v>2358</v>
      </c>
      <c r="K2876" s="469">
        <v>1.5</v>
      </c>
    </row>
    <row r="2877" spans="2:11" x14ac:dyDescent="0.35">
      <c r="B2877" s="62">
        <v>8.5</v>
      </c>
      <c r="C2877" s="471">
        <v>2893</v>
      </c>
      <c r="D2877" s="471">
        <v>2872.12</v>
      </c>
      <c r="E2877" s="469">
        <v>12.36</v>
      </c>
      <c r="F2877" s="469">
        <v>6.1</v>
      </c>
      <c r="G2877" s="469">
        <v>5.2</v>
      </c>
      <c r="H2877" s="470">
        <v>119</v>
      </c>
      <c r="I2877" s="470">
        <v>316</v>
      </c>
      <c r="J2877" s="470">
        <v>2492</v>
      </c>
      <c r="K2877" s="469">
        <v>1.5</v>
      </c>
    </row>
    <row r="2878" spans="2:11" x14ac:dyDescent="0.35">
      <c r="B2878" s="62">
        <v>8.5</v>
      </c>
      <c r="C2878" s="471">
        <v>2894</v>
      </c>
      <c r="D2878" s="471">
        <v>2873.14</v>
      </c>
      <c r="E2878" s="469">
        <v>6.28</v>
      </c>
      <c r="F2878" s="469">
        <v>10.9</v>
      </c>
      <c r="G2878" s="469">
        <v>6.1</v>
      </c>
      <c r="H2878" s="470">
        <v>138</v>
      </c>
      <c r="I2878" s="470">
        <v>314</v>
      </c>
      <c r="J2878" s="470">
        <v>2592</v>
      </c>
      <c r="K2878" s="469">
        <v>1.5</v>
      </c>
    </row>
    <row r="2879" spans="2:11" x14ac:dyDescent="0.35">
      <c r="B2879" s="62">
        <v>8.5</v>
      </c>
      <c r="C2879" s="471">
        <v>2895</v>
      </c>
      <c r="D2879" s="471">
        <v>2874.1</v>
      </c>
      <c r="E2879" s="469">
        <v>4.0999999999999996</v>
      </c>
      <c r="F2879" s="469">
        <v>10.8</v>
      </c>
      <c r="G2879" s="469">
        <v>6.3</v>
      </c>
      <c r="H2879" s="470">
        <v>150</v>
      </c>
      <c r="I2879" s="470">
        <v>316</v>
      </c>
      <c r="J2879" s="470">
        <v>2506</v>
      </c>
      <c r="K2879" s="469">
        <v>1.5</v>
      </c>
    </row>
    <row r="2880" spans="2:11" x14ac:dyDescent="0.35">
      <c r="B2880" s="62">
        <v>8.5</v>
      </c>
      <c r="C2880" s="471">
        <v>2896</v>
      </c>
      <c r="D2880" s="471">
        <v>2875.07</v>
      </c>
      <c r="E2880" s="469">
        <v>4.53</v>
      </c>
      <c r="F2880" s="469">
        <v>5</v>
      </c>
      <c r="G2880" s="469">
        <v>6.5</v>
      </c>
      <c r="H2880" s="470">
        <v>176</v>
      </c>
      <c r="I2880" s="470">
        <v>433</v>
      </c>
      <c r="J2880" s="470">
        <v>3364</v>
      </c>
      <c r="K2880" s="469">
        <v>1.5</v>
      </c>
    </row>
    <row r="2881" spans="2:11" x14ac:dyDescent="0.35">
      <c r="B2881" s="62">
        <v>8.5</v>
      </c>
      <c r="C2881" s="471">
        <v>2897</v>
      </c>
      <c r="D2881" s="471">
        <v>2876.1</v>
      </c>
      <c r="E2881" s="469">
        <v>13.77</v>
      </c>
      <c r="F2881" s="469">
        <v>8.5</v>
      </c>
      <c r="G2881" s="469">
        <v>7.2</v>
      </c>
      <c r="H2881" s="470">
        <v>203</v>
      </c>
      <c r="I2881" s="470">
        <v>510</v>
      </c>
      <c r="J2881" s="470">
        <v>3989</v>
      </c>
      <c r="K2881" s="469">
        <v>1.5</v>
      </c>
    </row>
    <row r="2882" spans="2:11" x14ac:dyDescent="0.35">
      <c r="B2882" s="62">
        <v>8.5</v>
      </c>
      <c r="C2882" s="471">
        <v>2898</v>
      </c>
      <c r="D2882" s="471">
        <v>2877.1</v>
      </c>
      <c r="E2882" s="469">
        <v>14.93</v>
      </c>
      <c r="F2882" s="469">
        <v>8.4</v>
      </c>
      <c r="G2882" s="469">
        <v>7.5</v>
      </c>
      <c r="H2882" s="470">
        <v>202</v>
      </c>
      <c r="I2882" s="470">
        <v>504</v>
      </c>
      <c r="J2882" s="470">
        <v>3946</v>
      </c>
      <c r="K2882" s="469">
        <v>1.5</v>
      </c>
    </row>
    <row r="2883" spans="2:11" x14ac:dyDescent="0.35">
      <c r="B2883" s="62">
        <v>8.5</v>
      </c>
      <c r="C2883" s="471">
        <v>2899</v>
      </c>
      <c r="D2883" s="471">
        <v>2878.04</v>
      </c>
      <c r="E2883" s="469">
        <v>13.54</v>
      </c>
      <c r="F2883" s="469">
        <v>9.9</v>
      </c>
      <c r="G2883" s="469">
        <v>7.5</v>
      </c>
      <c r="H2883" s="470">
        <v>201</v>
      </c>
      <c r="I2883" s="470">
        <v>503</v>
      </c>
      <c r="J2883" s="470">
        <v>4026</v>
      </c>
      <c r="K2883" s="469">
        <v>1.5</v>
      </c>
    </row>
    <row r="2884" spans="2:11" x14ac:dyDescent="0.35">
      <c r="B2884" s="62">
        <v>8.5</v>
      </c>
      <c r="C2884" s="471">
        <v>2900</v>
      </c>
      <c r="D2884" s="471">
        <v>2879.03</v>
      </c>
      <c r="E2884" s="469">
        <v>11.6</v>
      </c>
      <c r="F2884" s="469">
        <v>9.8000000000000007</v>
      </c>
      <c r="G2884" s="469">
        <v>6.8</v>
      </c>
      <c r="H2884" s="470">
        <v>201</v>
      </c>
      <c r="I2884" s="470">
        <v>503</v>
      </c>
      <c r="J2884" s="470">
        <v>4006</v>
      </c>
      <c r="K2884" s="469">
        <v>1.5</v>
      </c>
    </row>
    <row r="2885" spans="2:11" x14ac:dyDescent="0.35">
      <c r="B2885" s="62">
        <v>8.5</v>
      </c>
      <c r="C2885" s="471">
        <v>2901</v>
      </c>
      <c r="D2885" s="471">
        <v>2880.05</v>
      </c>
      <c r="E2885" s="469">
        <v>13.29</v>
      </c>
      <c r="F2885" s="469">
        <v>10.7</v>
      </c>
      <c r="G2885" s="469">
        <v>7.1</v>
      </c>
      <c r="H2885" s="470">
        <v>200</v>
      </c>
      <c r="I2885" s="470">
        <v>500</v>
      </c>
      <c r="J2885" s="470">
        <v>4036</v>
      </c>
      <c r="K2885" s="469">
        <v>1.5</v>
      </c>
    </row>
    <row r="2886" spans="2:11" x14ac:dyDescent="0.35">
      <c r="B2886" s="62">
        <v>8.5</v>
      </c>
      <c r="C2886" s="471">
        <v>2902</v>
      </c>
      <c r="D2886" s="471">
        <v>2881.02</v>
      </c>
      <c r="E2886" s="469">
        <v>13.62</v>
      </c>
      <c r="F2886" s="469">
        <v>11.5</v>
      </c>
      <c r="G2886" s="469">
        <v>7.1</v>
      </c>
      <c r="H2886" s="470">
        <v>201</v>
      </c>
      <c r="I2886" s="470">
        <v>501</v>
      </c>
      <c r="J2886" s="470">
        <v>4039</v>
      </c>
      <c r="K2886" s="469">
        <v>1.5</v>
      </c>
    </row>
    <row r="2887" spans="2:11" x14ac:dyDescent="0.35">
      <c r="B2887" s="62">
        <v>8.5</v>
      </c>
      <c r="C2887" s="471">
        <v>2903</v>
      </c>
      <c r="D2887" s="471">
        <v>2882.03</v>
      </c>
      <c r="E2887" s="469">
        <v>12.11</v>
      </c>
      <c r="F2887" s="469">
        <v>10.8</v>
      </c>
      <c r="G2887" s="469">
        <v>7</v>
      </c>
      <c r="H2887" s="470">
        <v>201</v>
      </c>
      <c r="I2887" s="470">
        <v>502</v>
      </c>
      <c r="J2887" s="470">
        <v>4003</v>
      </c>
      <c r="K2887" s="469">
        <v>1.5</v>
      </c>
    </row>
    <row r="2888" spans="2:11" x14ac:dyDescent="0.35">
      <c r="B2888" s="62">
        <v>8.5</v>
      </c>
      <c r="C2888" s="471">
        <v>2904</v>
      </c>
      <c r="D2888" s="471">
        <v>2883.06</v>
      </c>
      <c r="E2888" s="469">
        <v>11.8</v>
      </c>
      <c r="F2888" s="469">
        <v>11.3</v>
      </c>
      <c r="G2888" s="469">
        <v>7.2</v>
      </c>
      <c r="H2888" s="470">
        <v>201</v>
      </c>
      <c r="I2888" s="470">
        <v>503</v>
      </c>
      <c r="J2888" s="470">
        <v>4006</v>
      </c>
      <c r="K2888" s="469">
        <v>1.5</v>
      </c>
    </row>
    <row r="2889" spans="2:11" x14ac:dyDescent="0.35">
      <c r="B2889" s="62">
        <v>8.5</v>
      </c>
      <c r="C2889" s="471">
        <v>2905</v>
      </c>
      <c r="D2889" s="471">
        <v>2884</v>
      </c>
      <c r="E2889" s="469">
        <v>7.97</v>
      </c>
      <c r="F2889" s="469">
        <v>11.4</v>
      </c>
      <c r="G2889" s="469">
        <v>6.6</v>
      </c>
      <c r="H2889" s="470">
        <v>201</v>
      </c>
      <c r="I2889" s="470">
        <v>502</v>
      </c>
      <c r="J2889" s="470">
        <v>3999</v>
      </c>
      <c r="K2889" s="469">
        <v>1.5</v>
      </c>
    </row>
    <row r="2890" spans="2:11" x14ac:dyDescent="0.35">
      <c r="B2890" s="62">
        <v>8.5</v>
      </c>
      <c r="C2890" s="471">
        <v>2906</v>
      </c>
      <c r="D2890" s="471">
        <v>2885.02</v>
      </c>
      <c r="E2890" s="469">
        <v>15.81</v>
      </c>
      <c r="F2890" s="469">
        <v>11.3</v>
      </c>
      <c r="G2890" s="469">
        <v>7.3</v>
      </c>
      <c r="H2890" s="470">
        <v>202</v>
      </c>
      <c r="I2890" s="470">
        <v>501</v>
      </c>
      <c r="J2890" s="470">
        <v>3948</v>
      </c>
      <c r="K2890" s="469">
        <v>1.5</v>
      </c>
    </row>
    <row r="2891" spans="2:11" x14ac:dyDescent="0.35">
      <c r="B2891" s="62">
        <v>8.5</v>
      </c>
      <c r="C2891" s="471">
        <v>2907</v>
      </c>
      <c r="D2891" s="471">
        <v>2885.98</v>
      </c>
      <c r="E2891" s="469">
        <v>18.38</v>
      </c>
      <c r="F2891" s="469">
        <v>11.1</v>
      </c>
      <c r="G2891" s="469">
        <v>7.8</v>
      </c>
      <c r="H2891" s="470">
        <v>202</v>
      </c>
      <c r="I2891" s="470">
        <v>500</v>
      </c>
      <c r="J2891" s="470">
        <v>3987</v>
      </c>
      <c r="K2891" s="469">
        <v>1.5</v>
      </c>
    </row>
    <row r="2892" spans="2:11" x14ac:dyDescent="0.35">
      <c r="B2892" s="62">
        <v>8.5</v>
      </c>
      <c r="C2892" s="471">
        <v>2908</v>
      </c>
      <c r="D2892" s="471">
        <v>2887.01</v>
      </c>
      <c r="E2892" s="469">
        <v>22.84</v>
      </c>
      <c r="F2892" s="469">
        <v>9.5</v>
      </c>
      <c r="G2892" s="469">
        <v>8.1999999999999993</v>
      </c>
      <c r="H2892" s="470">
        <v>201</v>
      </c>
      <c r="I2892" s="470">
        <v>497</v>
      </c>
      <c r="J2892" s="470">
        <v>4050</v>
      </c>
      <c r="K2892" s="469">
        <v>1.5</v>
      </c>
    </row>
    <row r="2893" spans="2:11" x14ac:dyDescent="0.35">
      <c r="B2893" s="62">
        <v>8.5</v>
      </c>
      <c r="C2893" s="471">
        <v>2909</v>
      </c>
      <c r="D2893" s="471">
        <v>2887.97</v>
      </c>
      <c r="E2893" s="469">
        <v>20.8</v>
      </c>
      <c r="F2893" s="469">
        <v>10.8</v>
      </c>
      <c r="G2893" s="469">
        <v>8.4</v>
      </c>
      <c r="H2893" s="470">
        <v>202</v>
      </c>
      <c r="I2893" s="470">
        <v>500</v>
      </c>
      <c r="J2893" s="470">
        <v>4059</v>
      </c>
      <c r="K2893" s="469">
        <v>1.5</v>
      </c>
    </row>
    <row r="2894" spans="2:11" x14ac:dyDescent="0.35">
      <c r="B2894" s="62">
        <v>8.5</v>
      </c>
      <c r="C2894" s="471">
        <v>2910</v>
      </c>
      <c r="D2894" s="471">
        <v>2888.96</v>
      </c>
      <c r="E2894" s="469">
        <v>15</v>
      </c>
      <c r="F2894" s="469">
        <v>9.4</v>
      </c>
      <c r="G2894" s="469">
        <v>8</v>
      </c>
      <c r="H2894" s="470">
        <v>201</v>
      </c>
      <c r="I2894" s="470">
        <v>498</v>
      </c>
      <c r="J2894" s="470">
        <v>4069</v>
      </c>
      <c r="K2894" s="469">
        <v>1.55</v>
      </c>
    </row>
    <row r="2895" spans="2:11" x14ac:dyDescent="0.35">
      <c r="B2895" s="62">
        <v>8.5</v>
      </c>
      <c r="C2895" s="471">
        <v>2911</v>
      </c>
      <c r="D2895" s="471">
        <v>2889.93</v>
      </c>
      <c r="E2895" s="469">
        <v>17.03</v>
      </c>
      <c r="F2895" s="469">
        <v>10.199999999999999</v>
      </c>
      <c r="G2895" s="469">
        <v>8</v>
      </c>
      <c r="H2895" s="470">
        <v>202</v>
      </c>
      <c r="I2895" s="470">
        <v>499</v>
      </c>
      <c r="J2895" s="470">
        <v>3958</v>
      </c>
      <c r="K2895" s="469">
        <v>1.5</v>
      </c>
    </row>
    <row r="2896" spans="2:11" x14ac:dyDescent="0.35">
      <c r="B2896" s="62">
        <v>8.5</v>
      </c>
      <c r="C2896" s="471">
        <v>2912</v>
      </c>
      <c r="D2896" s="471">
        <v>2890.93</v>
      </c>
      <c r="E2896" s="469">
        <v>14.63</v>
      </c>
      <c r="F2896" s="469">
        <v>9.8000000000000007</v>
      </c>
      <c r="G2896" s="469">
        <v>7.2</v>
      </c>
      <c r="H2896" s="470">
        <v>203</v>
      </c>
      <c r="I2896" s="470">
        <v>503</v>
      </c>
      <c r="J2896" s="470">
        <v>3751</v>
      </c>
      <c r="K2896" s="469">
        <v>1.5</v>
      </c>
    </row>
    <row r="2897" spans="2:11" x14ac:dyDescent="0.35">
      <c r="B2897" s="62">
        <v>8.5</v>
      </c>
      <c r="C2897" s="471">
        <v>2913</v>
      </c>
      <c r="D2897" s="471">
        <v>2891.96</v>
      </c>
      <c r="E2897" s="469">
        <v>15.17</v>
      </c>
      <c r="F2897" s="469">
        <v>10.4</v>
      </c>
      <c r="G2897" s="469">
        <v>7.5</v>
      </c>
      <c r="H2897" s="470">
        <v>203</v>
      </c>
      <c r="I2897" s="470">
        <v>504</v>
      </c>
      <c r="J2897" s="470">
        <v>3819</v>
      </c>
      <c r="K2897" s="469">
        <v>1.5</v>
      </c>
    </row>
    <row r="2898" spans="2:11" x14ac:dyDescent="0.35">
      <c r="B2898" s="62">
        <v>8.5</v>
      </c>
      <c r="C2898" s="471">
        <v>2914</v>
      </c>
      <c r="D2898" s="471">
        <v>2892.92</v>
      </c>
      <c r="E2898" s="469">
        <v>16.62</v>
      </c>
      <c r="F2898" s="469">
        <v>10.199999999999999</v>
      </c>
      <c r="G2898" s="469">
        <v>7.9</v>
      </c>
      <c r="H2898" s="470">
        <v>203</v>
      </c>
      <c r="I2898" s="470">
        <v>503</v>
      </c>
      <c r="J2898" s="470">
        <v>3808</v>
      </c>
      <c r="K2898" s="469">
        <v>1.5</v>
      </c>
    </row>
    <row r="2899" spans="2:11" x14ac:dyDescent="0.35">
      <c r="B2899" s="62">
        <v>8.5</v>
      </c>
      <c r="C2899" s="471">
        <v>2915</v>
      </c>
      <c r="D2899" s="471">
        <v>2893.95</v>
      </c>
      <c r="E2899" s="469">
        <v>16.86</v>
      </c>
      <c r="F2899" s="469">
        <v>10.4</v>
      </c>
      <c r="G2899" s="469">
        <v>6.4</v>
      </c>
      <c r="H2899" s="470">
        <v>203</v>
      </c>
      <c r="I2899" s="470">
        <v>503</v>
      </c>
      <c r="J2899" s="470">
        <v>3762</v>
      </c>
      <c r="K2899" s="469">
        <v>1.5</v>
      </c>
    </row>
    <row r="2900" spans="2:11" x14ac:dyDescent="0.35">
      <c r="B2900" s="62">
        <v>8.5</v>
      </c>
      <c r="C2900" s="471">
        <v>2916</v>
      </c>
      <c r="D2900" s="471">
        <v>2894.9</v>
      </c>
      <c r="E2900" s="469">
        <v>15.35</v>
      </c>
      <c r="F2900" s="469">
        <v>9.8000000000000007</v>
      </c>
      <c r="G2900" s="469">
        <v>7.4</v>
      </c>
      <c r="H2900" s="470">
        <v>203</v>
      </c>
      <c r="I2900" s="470">
        <v>503</v>
      </c>
      <c r="J2900" s="470">
        <v>3755</v>
      </c>
      <c r="K2900" s="469">
        <v>1.5</v>
      </c>
    </row>
    <row r="2901" spans="2:11" x14ac:dyDescent="0.35">
      <c r="B2901" s="62">
        <v>8.5</v>
      </c>
      <c r="C2901" s="471">
        <v>2917</v>
      </c>
      <c r="D2901" s="471">
        <v>2895.92</v>
      </c>
      <c r="E2901" s="469">
        <v>26.65</v>
      </c>
      <c r="F2901" s="469">
        <v>9.8000000000000007</v>
      </c>
      <c r="G2901" s="469">
        <v>7.9</v>
      </c>
      <c r="H2901" s="470">
        <v>203</v>
      </c>
      <c r="I2901" s="470">
        <v>503</v>
      </c>
      <c r="J2901" s="470">
        <v>3885</v>
      </c>
      <c r="K2901" s="469">
        <v>1.5</v>
      </c>
    </row>
    <row r="2902" spans="2:11" x14ac:dyDescent="0.35">
      <c r="B2902" s="62">
        <v>8.5</v>
      </c>
      <c r="C2902" s="471">
        <v>2918</v>
      </c>
      <c r="D2902" s="471">
        <v>2896.87</v>
      </c>
      <c r="E2902" s="469">
        <v>21.19</v>
      </c>
      <c r="F2902" s="469">
        <v>9.4</v>
      </c>
      <c r="G2902" s="469">
        <v>8.3000000000000007</v>
      </c>
      <c r="H2902" s="470">
        <v>203</v>
      </c>
      <c r="I2902" s="470">
        <v>503</v>
      </c>
      <c r="J2902" s="470">
        <v>3869</v>
      </c>
      <c r="K2902" s="469">
        <v>1.5</v>
      </c>
    </row>
    <row r="2903" spans="2:11" x14ac:dyDescent="0.35">
      <c r="B2903" s="62">
        <v>8.5</v>
      </c>
      <c r="C2903" s="471">
        <v>2919</v>
      </c>
      <c r="D2903" s="471">
        <v>2897.86</v>
      </c>
      <c r="E2903" s="469">
        <v>9.83</v>
      </c>
      <c r="F2903" s="469">
        <v>6.7</v>
      </c>
      <c r="G2903" s="469">
        <v>6.8</v>
      </c>
      <c r="H2903" s="470">
        <v>203</v>
      </c>
      <c r="I2903" s="470">
        <v>507</v>
      </c>
      <c r="J2903" s="470">
        <v>3661</v>
      </c>
      <c r="K2903" s="469">
        <v>1.5</v>
      </c>
    </row>
    <row r="2904" spans="2:11" x14ac:dyDescent="0.35">
      <c r="B2904" s="62">
        <v>8.5</v>
      </c>
      <c r="C2904" s="471">
        <v>2920</v>
      </c>
      <c r="D2904" s="471">
        <v>2898.88</v>
      </c>
      <c r="E2904" s="469">
        <v>14.79</v>
      </c>
      <c r="F2904" s="469">
        <v>8.9</v>
      </c>
      <c r="G2904" s="469">
        <v>7.7</v>
      </c>
      <c r="H2904" s="470">
        <v>200</v>
      </c>
      <c r="I2904" s="470">
        <v>502</v>
      </c>
      <c r="J2904" s="470">
        <v>3744</v>
      </c>
      <c r="K2904" s="469">
        <v>1.5</v>
      </c>
    </row>
    <row r="2905" spans="2:11" x14ac:dyDescent="0.35">
      <c r="B2905" s="62">
        <v>8.5</v>
      </c>
      <c r="C2905" s="471">
        <v>2921</v>
      </c>
      <c r="D2905" s="471">
        <v>2899.85</v>
      </c>
      <c r="E2905" s="469">
        <v>15.35</v>
      </c>
      <c r="F2905" s="469">
        <v>9</v>
      </c>
      <c r="G2905" s="469">
        <v>6.6</v>
      </c>
      <c r="H2905" s="470">
        <v>201</v>
      </c>
      <c r="I2905" s="470">
        <v>504</v>
      </c>
      <c r="J2905" s="470">
        <v>3750</v>
      </c>
      <c r="K2905" s="469">
        <v>1.5</v>
      </c>
    </row>
    <row r="2906" spans="2:11" x14ac:dyDescent="0.35">
      <c r="B2906" s="62">
        <v>8.5</v>
      </c>
      <c r="C2906" s="471">
        <v>2922</v>
      </c>
      <c r="D2906" s="471">
        <v>2900.9</v>
      </c>
      <c r="E2906" s="469">
        <v>20.9</v>
      </c>
      <c r="F2906" s="469">
        <v>10</v>
      </c>
      <c r="G2906" s="469">
        <v>7.4</v>
      </c>
      <c r="H2906" s="470">
        <v>201</v>
      </c>
      <c r="I2906" s="470">
        <v>504</v>
      </c>
      <c r="J2906" s="470">
        <v>3852</v>
      </c>
      <c r="K2906" s="469">
        <v>1.5</v>
      </c>
    </row>
    <row r="2907" spans="2:11" x14ac:dyDescent="0.35">
      <c r="B2907" s="62">
        <v>8.5</v>
      </c>
      <c r="C2907" s="471">
        <v>2923</v>
      </c>
      <c r="D2907" s="471">
        <v>2901.82</v>
      </c>
      <c r="E2907" s="469">
        <v>11.94</v>
      </c>
      <c r="F2907" s="469">
        <v>10.6</v>
      </c>
      <c r="G2907" s="469">
        <v>6.8</v>
      </c>
      <c r="H2907" s="470">
        <v>201</v>
      </c>
      <c r="I2907" s="470">
        <v>506</v>
      </c>
      <c r="J2907" s="470">
        <v>3803</v>
      </c>
      <c r="K2907" s="469">
        <v>1.5</v>
      </c>
    </row>
    <row r="2908" spans="2:11" x14ac:dyDescent="0.35">
      <c r="B2908" s="62">
        <v>8.5</v>
      </c>
      <c r="C2908" s="471">
        <v>2924</v>
      </c>
      <c r="D2908" s="471">
        <v>2902.84</v>
      </c>
      <c r="E2908" s="469">
        <v>12.22</v>
      </c>
      <c r="F2908" s="469">
        <v>11.9</v>
      </c>
      <c r="G2908" s="469">
        <v>7.4</v>
      </c>
      <c r="H2908" s="470">
        <v>213</v>
      </c>
      <c r="I2908" s="470">
        <v>504</v>
      </c>
      <c r="J2908" s="470">
        <v>3767</v>
      </c>
      <c r="K2908" s="469">
        <v>1.5</v>
      </c>
    </row>
    <row r="2909" spans="2:11" x14ac:dyDescent="0.35">
      <c r="B2909" s="62">
        <v>8.5</v>
      </c>
      <c r="C2909" s="471">
        <v>2925</v>
      </c>
      <c r="D2909" s="471">
        <v>2903.85</v>
      </c>
      <c r="E2909" s="469">
        <v>17.88</v>
      </c>
      <c r="F2909" s="469">
        <v>10.9</v>
      </c>
      <c r="G2909" s="469">
        <v>7.1</v>
      </c>
      <c r="H2909" s="470">
        <v>223</v>
      </c>
      <c r="I2909" s="470">
        <v>504</v>
      </c>
      <c r="J2909" s="470">
        <v>3721</v>
      </c>
      <c r="K2909" s="469">
        <v>1.5</v>
      </c>
    </row>
    <row r="2910" spans="2:11" x14ac:dyDescent="0.35">
      <c r="B2910" s="62">
        <v>8.5</v>
      </c>
      <c r="C2910" s="471">
        <v>2926</v>
      </c>
      <c r="D2910" s="471">
        <v>2904.86</v>
      </c>
      <c r="E2910" s="469">
        <v>22.49</v>
      </c>
      <c r="F2910" s="469">
        <v>11.4</v>
      </c>
      <c r="G2910" s="469">
        <v>7.9</v>
      </c>
      <c r="H2910" s="470">
        <v>222</v>
      </c>
      <c r="I2910" s="470">
        <v>503</v>
      </c>
      <c r="J2910" s="470">
        <v>3802</v>
      </c>
      <c r="K2910" s="469">
        <v>1.5</v>
      </c>
    </row>
    <row r="2911" spans="2:11" x14ac:dyDescent="0.35">
      <c r="B2911" s="62">
        <v>8.5</v>
      </c>
      <c r="C2911" s="471">
        <v>2927</v>
      </c>
      <c r="D2911" s="471">
        <v>2905.78</v>
      </c>
      <c r="E2911" s="469">
        <v>21.61</v>
      </c>
      <c r="F2911" s="469">
        <v>11.5</v>
      </c>
      <c r="G2911" s="469">
        <v>7.7</v>
      </c>
      <c r="H2911" s="470">
        <v>222</v>
      </c>
      <c r="I2911" s="470">
        <v>503</v>
      </c>
      <c r="J2911" s="470">
        <v>3762</v>
      </c>
      <c r="K2911" s="469">
        <v>1.5</v>
      </c>
    </row>
    <row r="2912" spans="2:11" x14ac:dyDescent="0.35">
      <c r="B2912" s="62">
        <v>8.5</v>
      </c>
      <c r="C2912" s="471">
        <v>2928</v>
      </c>
      <c r="D2912" s="471">
        <v>2906.83</v>
      </c>
      <c r="E2912" s="469">
        <v>24.08</v>
      </c>
      <c r="F2912" s="469">
        <v>11.5</v>
      </c>
      <c r="G2912" s="469">
        <v>7.9</v>
      </c>
      <c r="H2912" s="470">
        <v>222</v>
      </c>
      <c r="I2912" s="470">
        <v>503</v>
      </c>
      <c r="J2912" s="470">
        <v>3813</v>
      </c>
      <c r="K2912" s="469">
        <v>1.5</v>
      </c>
    </row>
    <row r="2913" spans="2:11" x14ac:dyDescent="0.35">
      <c r="B2913" s="62">
        <v>8.5</v>
      </c>
      <c r="C2913" s="471">
        <v>2929</v>
      </c>
      <c r="D2913" s="471">
        <v>2907.8</v>
      </c>
      <c r="E2913" s="469">
        <v>29.27</v>
      </c>
      <c r="F2913" s="469">
        <v>12.1</v>
      </c>
      <c r="G2913" s="469">
        <v>8.4</v>
      </c>
      <c r="H2913" s="470">
        <v>222</v>
      </c>
      <c r="I2913" s="470">
        <v>503</v>
      </c>
      <c r="J2913" s="470">
        <v>3855</v>
      </c>
      <c r="K2913" s="469">
        <v>1.5</v>
      </c>
    </row>
    <row r="2914" spans="2:11" x14ac:dyDescent="0.35">
      <c r="B2914" s="62">
        <v>8.5</v>
      </c>
      <c r="C2914" s="471">
        <v>2930</v>
      </c>
      <c r="D2914" s="471">
        <v>2908.75</v>
      </c>
      <c r="E2914" s="469">
        <v>8.01</v>
      </c>
      <c r="F2914" s="469">
        <v>10.9</v>
      </c>
      <c r="G2914" s="469">
        <v>6.9</v>
      </c>
      <c r="H2914" s="470">
        <v>223</v>
      </c>
      <c r="I2914" s="470">
        <v>507</v>
      </c>
      <c r="J2914" s="470">
        <v>3747</v>
      </c>
      <c r="K2914" s="469">
        <v>1.5</v>
      </c>
    </row>
    <row r="2915" spans="2:11" x14ac:dyDescent="0.35">
      <c r="B2915" s="62">
        <v>8.5</v>
      </c>
      <c r="C2915" s="471">
        <v>2931</v>
      </c>
      <c r="D2915" s="471">
        <v>2909.77</v>
      </c>
      <c r="E2915" s="469">
        <v>9.42</v>
      </c>
      <c r="F2915" s="469">
        <v>10.8</v>
      </c>
      <c r="G2915" s="469">
        <v>6.5</v>
      </c>
      <c r="H2915" s="470">
        <v>217</v>
      </c>
      <c r="I2915" s="470">
        <v>508</v>
      </c>
      <c r="J2915" s="470">
        <v>3644</v>
      </c>
      <c r="K2915" s="469">
        <v>1.5</v>
      </c>
    </row>
    <row r="2916" spans="2:11" x14ac:dyDescent="0.35">
      <c r="B2916" s="62">
        <v>8.5</v>
      </c>
      <c r="C2916" s="471">
        <v>2932</v>
      </c>
      <c r="D2916" s="471">
        <v>2910.74</v>
      </c>
      <c r="E2916" s="469">
        <v>7.15</v>
      </c>
      <c r="F2916" s="469">
        <v>9.6999999999999993</v>
      </c>
      <c r="G2916" s="469">
        <v>6.2</v>
      </c>
      <c r="H2916" s="470">
        <v>217</v>
      </c>
      <c r="I2916" s="470">
        <v>504</v>
      </c>
      <c r="J2916" s="470">
        <v>3536</v>
      </c>
      <c r="K2916" s="469">
        <v>1.5</v>
      </c>
    </row>
    <row r="2917" spans="2:11" x14ac:dyDescent="0.35">
      <c r="B2917" s="62">
        <v>8.5</v>
      </c>
      <c r="C2917" s="471">
        <v>2933</v>
      </c>
      <c r="D2917" s="471">
        <v>2911.73</v>
      </c>
      <c r="E2917" s="469">
        <v>6.23</v>
      </c>
      <c r="F2917" s="469">
        <v>11.3</v>
      </c>
      <c r="G2917" s="469">
        <v>6.2</v>
      </c>
      <c r="H2917" s="470">
        <v>219</v>
      </c>
      <c r="I2917" s="470">
        <v>508</v>
      </c>
      <c r="J2917" s="470">
        <v>3648</v>
      </c>
      <c r="K2917" s="469">
        <v>1.5</v>
      </c>
    </row>
    <row r="2918" spans="2:11" x14ac:dyDescent="0.35">
      <c r="B2918" s="62">
        <v>8.5</v>
      </c>
      <c r="C2918" s="471">
        <v>2934</v>
      </c>
      <c r="D2918" s="471">
        <v>2912.75</v>
      </c>
      <c r="E2918" s="469">
        <v>13.92</v>
      </c>
      <c r="F2918" s="469">
        <v>11.3</v>
      </c>
      <c r="G2918" s="469">
        <v>7.4</v>
      </c>
      <c r="H2918" s="470">
        <v>219</v>
      </c>
      <c r="I2918" s="470">
        <v>508</v>
      </c>
      <c r="J2918" s="470">
        <v>3787</v>
      </c>
      <c r="K2918" s="469">
        <v>1.5</v>
      </c>
    </row>
    <row r="2919" spans="2:11" x14ac:dyDescent="0.35">
      <c r="B2919" s="62">
        <v>8.5</v>
      </c>
      <c r="C2919" s="471">
        <v>2935</v>
      </c>
      <c r="D2919" s="471">
        <v>2913.73</v>
      </c>
      <c r="E2919" s="469">
        <v>6.31</v>
      </c>
      <c r="F2919" s="469">
        <v>10.9</v>
      </c>
      <c r="G2919" s="469">
        <v>6.7</v>
      </c>
      <c r="H2919" s="470">
        <v>219</v>
      </c>
      <c r="I2919" s="470">
        <v>507</v>
      </c>
      <c r="J2919" s="470">
        <v>3779</v>
      </c>
      <c r="K2919" s="469">
        <v>1.5</v>
      </c>
    </row>
    <row r="2920" spans="2:11" x14ac:dyDescent="0.35">
      <c r="B2920" s="62">
        <v>8.5</v>
      </c>
      <c r="C2920" s="471">
        <v>2936</v>
      </c>
      <c r="D2920" s="471">
        <v>2914.69</v>
      </c>
      <c r="E2920" s="469">
        <v>4.3</v>
      </c>
      <c r="F2920" s="469">
        <v>11.6</v>
      </c>
      <c r="G2920" s="469">
        <v>6.1</v>
      </c>
      <c r="H2920" s="470">
        <v>219</v>
      </c>
      <c r="I2920" s="470">
        <v>506</v>
      </c>
      <c r="J2920" s="470">
        <v>3621</v>
      </c>
      <c r="K2920" s="469">
        <v>1.5</v>
      </c>
    </row>
    <row r="2921" spans="2:11" x14ac:dyDescent="0.35">
      <c r="B2921" s="62">
        <v>8.5</v>
      </c>
      <c r="C2921" s="471">
        <v>2937</v>
      </c>
      <c r="D2921" s="471">
        <v>2915.71</v>
      </c>
      <c r="E2921" s="469">
        <v>3.69</v>
      </c>
      <c r="F2921" s="469">
        <v>11.7</v>
      </c>
      <c r="G2921" s="469">
        <v>6.4</v>
      </c>
      <c r="H2921" s="470">
        <v>216</v>
      </c>
      <c r="I2921" s="470">
        <v>503</v>
      </c>
      <c r="J2921" s="470">
        <v>3546</v>
      </c>
      <c r="K2921" s="469">
        <v>1.5</v>
      </c>
    </row>
    <row r="2922" spans="2:11" x14ac:dyDescent="0.35">
      <c r="B2922" s="62">
        <v>8.5</v>
      </c>
      <c r="C2922" s="471">
        <v>2938</v>
      </c>
      <c r="D2922" s="471">
        <v>2916.72</v>
      </c>
      <c r="E2922" s="469">
        <v>12.2</v>
      </c>
      <c r="F2922" s="469">
        <v>11.2</v>
      </c>
      <c r="G2922" s="469">
        <v>7.4</v>
      </c>
      <c r="H2922" s="470">
        <v>215</v>
      </c>
      <c r="I2922" s="470">
        <v>501</v>
      </c>
      <c r="J2922" s="470">
        <v>3705</v>
      </c>
      <c r="K2922" s="469">
        <v>1.5</v>
      </c>
    </row>
    <row r="2923" spans="2:11" x14ac:dyDescent="0.35">
      <c r="B2923" s="62">
        <v>8.5</v>
      </c>
      <c r="C2923" s="471">
        <v>2939</v>
      </c>
      <c r="D2923" s="471">
        <v>2917.68</v>
      </c>
      <c r="E2923" s="469">
        <v>4.8099999999999996</v>
      </c>
      <c r="F2923" s="469">
        <v>9.3000000000000007</v>
      </c>
      <c r="G2923" s="469">
        <v>5.6</v>
      </c>
      <c r="H2923" s="470">
        <v>209</v>
      </c>
      <c r="I2923" s="470">
        <v>477</v>
      </c>
      <c r="J2923" s="470">
        <v>2990</v>
      </c>
      <c r="K2923" s="469">
        <v>1.5</v>
      </c>
    </row>
    <row r="2924" spans="2:11" x14ac:dyDescent="0.35">
      <c r="B2924" s="62">
        <v>8.5</v>
      </c>
      <c r="C2924" s="471">
        <v>2940</v>
      </c>
      <c r="D2924" s="471">
        <v>2918.7</v>
      </c>
      <c r="E2924" s="469">
        <v>5.14</v>
      </c>
      <c r="F2924" s="469">
        <v>11</v>
      </c>
      <c r="G2924" s="469">
        <v>6.2</v>
      </c>
      <c r="H2924" s="470">
        <v>216</v>
      </c>
      <c r="I2924" s="470">
        <v>503</v>
      </c>
      <c r="J2924" s="470">
        <v>3612</v>
      </c>
      <c r="K2924" s="469">
        <v>1.5</v>
      </c>
    </row>
    <row r="2925" spans="2:11" x14ac:dyDescent="0.35">
      <c r="B2925" s="62">
        <v>8.5</v>
      </c>
      <c r="C2925" s="471">
        <v>2941</v>
      </c>
      <c r="D2925" s="471">
        <v>2919.64</v>
      </c>
      <c r="E2925" s="469">
        <v>19.8</v>
      </c>
      <c r="F2925" s="469">
        <v>10</v>
      </c>
      <c r="G2925" s="469">
        <v>7.6</v>
      </c>
      <c r="H2925" s="470">
        <v>216</v>
      </c>
      <c r="I2925" s="470">
        <v>502</v>
      </c>
      <c r="J2925" s="470">
        <v>3752</v>
      </c>
      <c r="K2925" s="469">
        <v>1.5</v>
      </c>
    </row>
    <row r="2926" spans="2:11" x14ac:dyDescent="0.35">
      <c r="B2926" s="62">
        <v>8.5</v>
      </c>
      <c r="C2926" s="471">
        <v>2942</v>
      </c>
      <c r="D2926" s="471">
        <v>2920.69</v>
      </c>
      <c r="E2926" s="469">
        <v>25.88</v>
      </c>
      <c r="F2926" s="469">
        <v>11.1</v>
      </c>
      <c r="G2926" s="469">
        <v>8.1</v>
      </c>
      <c r="H2926" s="470">
        <v>215</v>
      </c>
      <c r="I2926" s="470">
        <v>503</v>
      </c>
      <c r="J2926" s="470">
        <v>3830</v>
      </c>
      <c r="K2926" s="469">
        <v>1.5</v>
      </c>
    </row>
    <row r="2927" spans="2:11" x14ac:dyDescent="0.35">
      <c r="B2927" s="62">
        <v>8.5</v>
      </c>
      <c r="C2927" s="471">
        <v>2943</v>
      </c>
      <c r="D2927" s="471">
        <v>2921.68</v>
      </c>
      <c r="E2927" s="469">
        <v>23.56</v>
      </c>
      <c r="F2927" s="469">
        <v>9.5</v>
      </c>
      <c r="G2927" s="469">
        <v>8.3000000000000007</v>
      </c>
      <c r="H2927" s="470">
        <v>215</v>
      </c>
      <c r="I2927" s="470">
        <v>501</v>
      </c>
      <c r="J2927" s="470">
        <v>3737</v>
      </c>
      <c r="K2927" s="469">
        <v>1.5</v>
      </c>
    </row>
    <row r="2928" spans="2:11" x14ac:dyDescent="0.35">
      <c r="B2928" s="62">
        <v>8.5</v>
      </c>
      <c r="C2928" s="471">
        <v>2944</v>
      </c>
      <c r="D2928" s="471">
        <v>2922.65</v>
      </c>
      <c r="E2928" s="469">
        <v>20.55</v>
      </c>
      <c r="F2928" s="469">
        <v>9.6999999999999993</v>
      </c>
      <c r="G2928" s="469">
        <v>7.2</v>
      </c>
      <c r="H2928" s="470">
        <v>217</v>
      </c>
      <c r="I2928" s="470">
        <v>505</v>
      </c>
      <c r="J2928" s="470">
        <v>3714</v>
      </c>
      <c r="K2928" s="469">
        <v>1.5</v>
      </c>
    </row>
    <row r="2929" spans="2:11" x14ac:dyDescent="0.35">
      <c r="B2929" s="62">
        <v>8.5</v>
      </c>
      <c r="C2929" s="471">
        <v>2945</v>
      </c>
      <c r="D2929" s="471">
        <v>2923.65</v>
      </c>
      <c r="E2929" s="469">
        <v>28.47</v>
      </c>
      <c r="F2929" s="469">
        <v>10.3</v>
      </c>
      <c r="G2929" s="469">
        <v>8.3000000000000007</v>
      </c>
      <c r="H2929" s="470">
        <v>216</v>
      </c>
      <c r="I2929" s="470">
        <v>504</v>
      </c>
      <c r="J2929" s="470">
        <v>3824</v>
      </c>
      <c r="K2929" s="469">
        <v>1.5</v>
      </c>
    </row>
    <row r="2930" spans="2:11" x14ac:dyDescent="0.35">
      <c r="B2930" s="62">
        <v>8.5</v>
      </c>
      <c r="C2930" s="471">
        <v>2946</v>
      </c>
      <c r="D2930" s="471">
        <v>2924.62</v>
      </c>
      <c r="E2930" s="469">
        <v>26.65</v>
      </c>
      <c r="F2930" s="469">
        <v>10.4</v>
      </c>
      <c r="G2930" s="469">
        <v>7.8</v>
      </c>
      <c r="H2930" s="470">
        <v>217</v>
      </c>
      <c r="I2930" s="470">
        <v>505</v>
      </c>
      <c r="J2930" s="470">
        <v>3807</v>
      </c>
      <c r="K2930" s="469">
        <v>1.5</v>
      </c>
    </row>
    <row r="2931" spans="2:11" x14ac:dyDescent="0.35">
      <c r="B2931" s="62">
        <v>8.5</v>
      </c>
      <c r="C2931" s="471">
        <v>2947</v>
      </c>
      <c r="D2931" s="471">
        <v>2925.63</v>
      </c>
      <c r="E2931" s="469">
        <v>29.22</v>
      </c>
      <c r="F2931" s="469">
        <v>10.4</v>
      </c>
      <c r="G2931" s="469">
        <v>8.6999999999999993</v>
      </c>
      <c r="H2931" s="470">
        <v>216</v>
      </c>
      <c r="I2931" s="470">
        <v>505</v>
      </c>
      <c r="J2931" s="470">
        <v>3781</v>
      </c>
      <c r="K2931" s="469">
        <v>1.5</v>
      </c>
    </row>
    <row r="2932" spans="2:11" x14ac:dyDescent="0.35">
      <c r="B2932" s="62">
        <v>8.5</v>
      </c>
      <c r="C2932" s="471">
        <v>2948</v>
      </c>
      <c r="D2932" s="471">
        <v>2926.63</v>
      </c>
      <c r="E2932" s="469">
        <v>6.27</v>
      </c>
      <c r="F2932" s="469">
        <v>9.6</v>
      </c>
      <c r="G2932" s="469">
        <v>7.2</v>
      </c>
      <c r="H2932" s="470">
        <v>217</v>
      </c>
      <c r="I2932" s="470">
        <v>504</v>
      </c>
      <c r="J2932" s="470">
        <v>3467</v>
      </c>
      <c r="K2932" s="469">
        <v>1.5</v>
      </c>
    </row>
    <row r="2933" spans="2:11" x14ac:dyDescent="0.35">
      <c r="B2933" s="62">
        <v>8.5</v>
      </c>
      <c r="C2933" s="471">
        <v>2949</v>
      </c>
      <c r="D2933" s="471">
        <v>2927.63</v>
      </c>
      <c r="E2933" s="469">
        <v>18.25</v>
      </c>
      <c r="F2933" s="469">
        <v>9.3000000000000007</v>
      </c>
      <c r="G2933" s="469">
        <v>7.8</v>
      </c>
      <c r="H2933" s="470">
        <v>215</v>
      </c>
      <c r="I2933" s="470">
        <v>499</v>
      </c>
      <c r="J2933" s="470">
        <v>3525</v>
      </c>
      <c r="K2933" s="469">
        <v>1.5</v>
      </c>
    </row>
    <row r="2934" spans="2:11" x14ac:dyDescent="0.35">
      <c r="B2934" s="62">
        <v>8.5</v>
      </c>
      <c r="C2934" s="471">
        <v>2950</v>
      </c>
      <c r="D2934" s="471">
        <v>2928.57</v>
      </c>
      <c r="E2934" s="469">
        <v>11.12</v>
      </c>
      <c r="F2934" s="469">
        <v>10.9</v>
      </c>
      <c r="G2934" s="469">
        <v>7</v>
      </c>
      <c r="H2934" s="470">
        <v>213</v>
      </c>
      <c r="I2934" s="470">
        <v>491</v>
      </c>
      <c r="J2934" s="470">
        <v>3499</v>
      </c>
      <c r="K2934" s="469">
        <v>1.5</v>
      </c>
    </row>
    <row r="2935" spans="2:11" x14ac:dyDescent="0.35">
      <c r="B2935" s="62">
        <v>8.5</v>
      </c>
      <c r="C2935" s="471">
        <v>2951</v>
      </c>
      <c r="D2935" s="471">
        <v>2929.55</v>
      </c>
      <c r="E2935" s="469">
        <v>28.19</v>
      </c>
      <c r="F2935" s="469">
        <v>11</v>
      </c>
      <c r="G2935" s="469">
        <v>8</v>
      </c>
      <c r="H2935" s="470">
        <v>212</v>
      </c>
      <c r="I2935" s="470">
        <v>489</v>
      </c>
      <c r="J2935" s="470">
        <v>3606</v>
      </c>
      <c r="K2935" s="469">
        <v>1.5</v>
      </c>
    </row>
    <row r="2936" spans="2:11" x14ac:dyDescent="0.35">
      <c r="B2936" s="62">
        <v>8.5</v>
      </c>
      <c r="C2936" s="471">
        <v>2952</v>
      </c>
      <c r="D2936" s="471">
        <v>2930.61</v>
      </c>
      <c r="E2936" s="469">
        <v>30.3</v>
      </c>
      <c r="F2936" s="469">
        <v>11.8</v>
      </c>
      <c r="G2936" s="469">
        <v>9</v>
      </c>
      <c r="H2936" s="470">
        <v>211</v>
      </c>
      <c r="I2936" s="470">
        <v>484</v>
      </c>
      <c r="J2936" s="470">
        <v>3643</v>
      </c>
      <c r="K2936" s="469">
        <v>1.5</v>
      </c>
    </row>
    <row r="2937" spans="2:11" x14ac:dyDescent="0.35">
      <c r="B2937" s="62">
        <v>8.5</v>
      </c>
      <c r="C2937" s="471">
        <v>2953</v>
      </c>
      <c r="D2937" s="471">
        <v>2931.56</v>
      </c>
      <c r="E2937" s="469">
        <v>19.149999999999999</v>
      </c>
      <c r="F2937" s="469">
        <v>11.3</v>
      </c>
      <c r="G2937" s="469">
        <v>8.5</v>
      </c>
      <c r="H2937" s="470">
        <v>211</v>
      </c>
      <c r="I2937" s="470">
        <v>486</v>
      </c>
      <c r="J2937" s="470">
        <v>3594</v>
      </c>
      <c r="K2937" s="469">
        <v>1.5</v>
      </c>
    </row>
    <row r="2938" spans="2:11" x14ac:dyDescent="0.35">
      <c r="B2938" s="62">
        <v>8.5</v>
      </c>
      <c r="C2938" s="471">
        <v>2954</v>
      </c>
      <c r="D2938" s="471">
        <v>2932.53</v>
      </c>
      <c r="E2938" s="469">
        <v>19.670000000000002</v>
      </c>
      <c r="F2938" s="469">
        <v>10.7</v>
      </c>
      <c r="G2938" s="469">
        <v>7.9</v>
      </c>
      <c r="H2938" s="470">
        <v>213</v>
      </c>
      <c r="I2938" s="470">
        <v>492</v>
      </c>
      <c r="J2938" s="470">
        <v>3563</v>
      </c>
      <c r="K2938" s="469">
        <v>1.5</v>
      </c>
    </row>
    <row r="2939" spans="2:11" x14ac:dyDescent="0.35">
      <c r="B2939" s="62">
        <v>8.5</v>
      </c>
      <c r="C2939" s="471">
        <v>2955</v>
      </c>
      <c r="D2939" s="471">
        <v>2933.53</v>
      </c>
      <c r="E2939" s="469">
        <v>24.88</v>
      </c>
      <c r="F2939" s="469">
        <v>11.1</v>
      </c>
      <c r="G2939" s="469">
        <v>8.4</v>
      </c>
      <c r="H2939" s="470">
        <v>213</v>
      </c>
      <c r="I2939" s="470">
        <v>487</v>
      </c>
      <c r="J2939" s="470">
        <v>3573</v>
      </c>
      <c r="K2939" s="469">
        <v>1.5</v>
      </c>
    </row>
    <row r="2940" spans="2:11" x14ac:dyDescent="0.35">
      <c r="B2940" s="62">
        <v>8.5</v>
      </c>
      <c r="C2940" s="471">
        <v>2956</v>
      </c>
      <c r="D2940" s="471">
        <v>2934.51</v>
      </c>
      <c r="E2940" s="469">
        <v>22.74</v>
      </c>
      <c r="F2940" s="469">
        <v>10.8</v>
      </c>
      <c r="G2940" s="469">
        <v>7.8</v>
      </c>
      <c r="H2940" s="470">
        <v>214</v>
      </c>
      <c r="I2940" s="470">
        <v>492</v>
      </c>
      <c r="J2940" s="470">
        <v>3546</v>
      </c>
      <c r="K2940" s="469">
        <v>1.5</v>
      </c>
    </row>
    <row r="2941" spans="2:11" x14ac:dyDescent="0.35">
      <c r="B2941" s="62">
        <v>8.5</v>
      </c>
      <c r="C2941" s="471">
        <v>2957</v>
      </c>
      <c r="D2941" s="471">
        <v>2935.57</v>
      </c>
      <c r="E2941" s="469">
        <v>27.64</v>
      </c>
      <c r="F2941" s="469">
        <v>11.5</v>
      </c>
      <c r="G2941" s="469">
        <v>8.5</v>
      </c>
      <c r="H2941" s="470">
        <v>212</v>
      </c>
      <c r="I2941" s="470">
        <v>488</v>
      </c>
      <c r="J2941" s="470">
        <v>3594</v>
      </c>
      <c r="K2941" s="469">
        <v>1.5</v>
      </c>
    </row>
    <row r="2942" spans="2:11" x14ac:dyDescent="0.35">
      <c r="B2942" s="62">
        <v>8.5</v>
      </c>
      <c r="C2942" s="471">
        <v>2958</v>
      </c>
      <c r="D2942" s="471">
        <v>2936.52</v>
      </c>
      <c r="E2942" s="469">
        <v>30.58</v>
      </c>
      <c r="F2942" s="469">
        <v>12</v>
      </c>
      <c r="G2942" s="469">
        <v>8.4</v>
      </c>
      <c r="H2942" s="470">
        <v>211</v>
      </c>
      <c r="I2942" s="470">
        <v>485</v>
      </c>
      <c r="J2942" s="470">
        <v>3674</v>
      </c>
      <c r="K2942" s="469">
        <v>1.5</v>
      </c>
    </row>
    <row r="2943" spans="2:11" x14ac:dyDescent="0.35">
      <c r="B2943" s="62">
        <v>8.5</v>
      </c>
      <c r="C2943" s="471">
        <v>2959</v>
      </c>
      <c r="D2943" s="471">
        <v>2937.48</v>
      </c>
      <c r="E2943" s="469">
        <v>29.75</v>
      </c>
      <c r="F2943" s="469">
        <v>11.9</v>
      </c>
      <c r="G2943" s="469">
        <v>8.9</v>
      </c>
      <c r="H2943" s="470">
        <v>210</v>
      </c>
      <c r="I2943" s="470">
        <v>483</v>
      </c>
      <c r="J2943" s="470">
        <v>3700</v>
      </c>
      <c r="K2943" s="469">
        <v>1.5</v>
      </c>
    </row>
    <row r="2944" spans="2:11" x14ac:dyDescent="0.35">
      <c r="B2944" s="62">
        <v>8.5</v>
      </c>
      <c r="C2944" s="471">
        <v>2960</v>
      </c>
      <c r="D2944" s="471">
        <v>2938.51</v>
      </c>
      <c r="E2944" s="469">
        <v>27.11</v>
      </c>
      <c r="F2944" s="469">
        <v>11.9</v>
      </c>
      <c r="G2944" s="469">
        <v>8.5</v>
      </c>
      <c r="H2944" s="470">
        <v>211</v>
      </c>
      <c r="I2944" s="470">
        <v>481</v>
      </c>
      <c r="J2944" s="470">
        <v>3710</v>
      </c>
      <c r="K2944" s="469">
        <v>1.5</v>
      </c>
    </row>
    <row r="2945" spans="2:11" x14ac:dyDescent="0.35">
      <c r="B2945" s="62">
        <v>8.5</v>
      </c>
      <c r="C2945" s="471">
        <v>2961</v>
      </c>
      <c r="D2945" s="471">
        <v>2939.48</v>
      </c>
      <c r="E2945" s="469">
        <v>24.69</v>
      </c>
      <c r="F2945" s="469">
        <v>11.6</v>
      </c>
      <c r="G2945" s="469">
        <v>8.4</v>
      </c>
      <c r="H2945" s="470">
        <v>211</v>
      </c>
      <c r="I2945" s="470">
        <v>484</v>
      </c>
      <c r="J2945" s="470">
        <v>3674</v>
      </c>
      <c r="K2945" s="469">
        <v>1.5</v>
      </c>
    </row>
    <row r="2946" spans="2:11" x14ac:dyDescent="0.35">
      <c r="B2946" s="62">
        <v>8.5</v>
      </c>
      <c r="C2946" s="471">
        <v>2962</v>
      </c>
      <c r="D2946" s="471">
        <v>2940.46</v>
      </c>
      <c r="E2946" s="469">
        <v>21.59</v>
      </c>
      <c r="F2946" s="469">
        <v>11.3</v>
      </c>
      <c r="G2946" s="469">
        <v>8.6999999999999993</v>
      </c>
      <c r="H2946" s="470">
        <v>211</v>
      </c>
      <c r="I2946" s="470">
        <v>483</v>
      </c>
      <c r="J2946" s="470">
        <v>3695</v>
      </c>
      <c r="K2946" s="469">
        <v>1.5</v>
      </c>
    </row>
    <row r="2947" spans="2:11" x14ac:dyDescent="0.35">
      <c r="B2947" s="62">
        <v>8.5</v>
      </c>
      <c r="C2947" s="471">
        <v>2963</v>
      </c>
      <c r="D2947" s="471">
        <v>2941.44</v>
      </c>
      <c r="E2947" s="469">
        <v>25.84</v>
      </c>
      <c r="F2947" s="469">
        <v>10.9</v>
      </c>
      <c r="G2947" s="469">
        <v>8.6999999999999993</v>
      </c>
      <c r="H2947" s="470">
        <v>210</v>
      </c>
      <c r="I2947" s="470">
        <v>480</v>
      </c>
      <c r="J2947" s="470">
        <v>3666</v>
      </c>
      <c r="K2947" s="469">
        <v>1.5</v>
      </c>
    </row>
    <row r="2948" spans="2:11" x14ac:dyDescent="0.35">
      <c r="B2948" s="62">
        <v>8.5</v>
      </c>
      <c r="C2948" s="471">
        <v>2964</v>
      </c>
      <c r="D2948" s="471">
        <v>2942.48</v>
      </c>
      <c r="E2948" s="469">
        <v>22.47</v>
      </c>
      <c r="F2948" s="469">
        <v>11.5</v>
      </c>
      <c r="G2948" s="469">
        <v>8.4</v>
      </c>
      <c r="H2948" s="470">
        <v>212</v>
      </c>
      <c r="I2948" s="470">
        <v>483</v>
      </c>
      <c r="J2948" s="470">
        <v>3675</v>
      </c>
      <c r="K2948" s="469">
        <v>1.5</v>
      </c>
    </row>
    <row r="2949" spans="2:11" x14ac:dyDescent="0.35">
      <c r="B2949" s="62">
        <v>8.5</v>
      </c>
      <c r="C2949" s="471">
        <v>2965</v>
      </c>
      <c r="D2949" s="471">
        <v>2943.43</v>
      </c>
      <c r="E2949" s="469">
        <v>29.08</v>
      </c>
      <c r="F2949" s="469">
        <v>11.9</v>
      </c>
      <c r="G2949" s="469">
        <v>8.6</v>
      </c>
      <c r="H2949" s="470">
        <v>211</v>
      </c>
      <c r="I2949" s="470">
        <v>484</v>
      </c>
      <c r="J2949" s="470">
        <v>3704</v>
      </c>
      <c r="K2949" s="469">
        <v>1.5</v>
      </c>
    </row>
    <row r="2950" spans="2:11" x14ac:dyDescent="0.35">
      <c r="B2950" s="62">
        <v>8.5</v>
      </c>
      <c r="C2950" s="471">
        <v>2966</v>
      </c>
      <c r="D2950" s="471">
        <v>2944.41</v>
      </c>
      <c r="E2950" s="469">
        <v>30.33</v>
      </c>
      <c r="F2950" s="469">
        <v>11.7</v>
      </c>
      <c r="G2950" s="469">
        <v>9</v>
      </c>
      <c r="H2950" s="470">
        <v>211</v>
      </c>
      <c r="I2950" s="470">
        <v>484</v>
      </c>
      <c r="J2950" s="470">
        <v>3752</v>
      </c>
      <c r="K2950" s="469">
        <v>1.5</v>
      </c>
    </row>
    <row r="2951" spans="2:11" x14ac:dyDescent="0.35">
      <c r="B2951" s="62">
        <v>8.5</v>
      </c>
      <c r="C2951" s="471">
        <v>2967</v>
      </c>
      <c r="D2951" s="471">
        <v>2945.46</v>
      </c>
      <c r="E2951" s="469">
        <v>32.520000000000003</v>
      </c>
      <c r="F2951" s="469">
        <v>12.1</v>
      </c>
      <c r="G2951" s="469">
        <v>9</v>
      </c>
      <c r="H2951" s="470">
        <v>211</v>
      </c>
      <c r="I2951" s="470">
        <v>483</v>
      </c>
      <c r="J2951" s="470">
        <v>3738</v>
      </c>
      <c r="K2951" s="469">
        <v>1.5</v>
      </c>
    </row>
    <row r="2952" spans="2:11" x14ac:dyDescent="0.35">
      <c r="B2952" s="62">
        <v>8.5</v>
      </c>
      <c r="C2952" s="471">
        <v>2968</v>
      </c>
      <c r="D2952" s="471">
        <v>2946.42</v>
      </c>
      <c r="E2952" s="469">
        <v>26.39</v>
      </c>
      <c r="F2952" s="469">
        <v>12.6</v>
      </c>
      <c r="G2952" s="469">
        <v>8.9</v>
      </c>
      <c r="H2952" s="470">
        <v>211</v>
      </c>
      <c r="I2952" s="470">
        <v>483</v>
      </c>
      <c r="J2952" s="470">
        <v>3759</v>
      </c>
      <c r="K2952" s="469">
        <v>1.5</v>
      </c>
    </row>
    <row r="2953" spans="2:11" x14ac:dyDescent="0.35">
      <c r="B2953" s="62">
        <v>8.5</v>
      </c>
      <c r="C2953" s="471">
        <v>2969</v>
      </c>
      <c r="D2953" s="471">
        <v>2947.38</v>
      </c>
      <c r="E2953" s="469">
        <v>21.27</v>
      </c>
      <c r="F2953" s="469">
        <v>12.3</v>
      </c>
      <c r="G2953" s="469">
        <v>8.1</v>
      </c>
      <c r="H2953" s="470">
        <v>212</v>
      </c>
      <c r="I2953" s="470">
        <v>485</v>
      </c>
      <c r="J2953" s="470">
        <v>3694</v>
      </c>
      <c r="K2953" s="469">
        <v>1.5</v>
      </c>
    </row>
    <row r="2954" spans="2:11" x14ac:dyDescent="0.35">
      <c r="B2954" s="62">
        <v>8.5</v>
      </c>
      <c r="C2954" s="471">
        <v>2970</v>
      </c>
      <c r="D2954" s="471">
        <v>2948.41</v>
      </c>
      <c r="E2954" s="469">
        <v>21.52</v>
      </c>
      <c r="F2954" s="469">
        <v>12.2</v>
      </c>
      <c r="G2954" s="469">
        <v>8.1999999999999993</v>
      </c>
      <c r="H2954" s="470">
        <v>211</v>
      </c>
      <c r="I2954" s="470">
        <v>483</v>
      </c>
      <c r="J2954" s="470">
        <v>3705</v>
      </c>
      <c r="K2954" s="469">
        <v>1.51</v>
      </c>
    </row>
    <row r="2955" spans="2:11" x14ac:dyDescent="0.35">
      <c r="B2955" s="62">
        <v>8.5</v>
      </c>
      <c r="C2955" s="471">
        <v>2971</v>
      </c>
      <c r="D2955" s="471">
        <v>2949.35</v>
      </c>
      <c r="E2955" s="469">
        <v>23.17</v>
      </c>
      <c r="F2955" s="469">
        <v>12.1</v>
      </c>
      <c r="G2955" s="469">
        <v>8.4</v>
      </c>
      <c r="H2955" s="470">
        <v>211</v>
      </c>
      <c r="I2955" s="470">
        <v>483</v>
      </c>
      <c r="J2955" s="470">
        <v>3691</v>
      </c>
      <c r="K2955" s="469">
        <v>1.51</v>
      </c>
    </row>
    <row r="2956" spans="2:11" x14ac:dyDescent="0.35">
      <c r="B2956" s="62">
        <v>8.5</v>
      </c>
      <c r="C2956" s="471">
        <v>2972</v>
      </c>
      <c r="D2956" s="471">
        <v>2950.3</v>
      </c>
      <c r="E2956" s="469">
        <v>24.37</v>
      </c>
      <c r="F2956" s="469">
        <v>12.1</v>
      </c>
      <c r="G2956" s="469">
        <v>8.1999999999999993</v>
      </c>
      <c r="H2956" s="470">
        <v>211</v>
      </c>
      <c r="I2956" s="470">
        <v>482</v>
      </c>
      <c r="J2956" s="470">
        <v>3702</v>
      </c>
      <c r="K2956" s="469">
        <v>1.51</v>
      </c>
    </row>
    <row r="2957" spans="2:11" x14ac:dyDescent="0.35">
      <c r="B2957" s="62">
        <v>8.5</v>
      </c>
      <c r="C2957" s="471">
        <v>2973</v>
      </c>
      <c r="D2957" s="471">
        <v>2951.27</v>
      </c>
      <c r="E2957" s="469">
        <v>23.23</v>
      </c>
      <c r="F2957" s="469">
        <v>12.2</v>
      </c>
      <c r="G2957" s="469">
        <v>8.1999999999999993</v>
      </c>
      <c r="H2957" s="470">
        <v>211</v>
      </c>
      <c r="I2957" s="470">
        <v>484</v>
      </c>
      <c r="J2957" s="470">
        <v>3689</v>
      </c>
      <c r="K2957" s="469">
        <v>1.51</v>
      </c>
    </row>
    <row r="2958" spans="2:11" x14ac:dyDescent="0.35">
      <c r="B2958" s="62">
        <v>8.5</v>
      </c>
      <c r="C2958" s="471">
        <v>2974</v>
      </c>
      <c r="D2958" s="471">
        <v>2952.29</v>
      </c>
      <c r="E2958" s="469">
        <v>22.61</v>
      </c>
      <c r="F2958" s="469">
        <v>12.1</v>
      </c>
      <c r="G2958" s="469">
        <v>8.1</v>
      </c>
      <c r="H2958" s="470">
        <v>212</v>
      </c>
      <c r="I2958" s="470">
        <v>484</v>
      </c>
      <c r="J2958" s="470">
        <v>3649</v>
      </c>
      <c r="K2958" s="469">
        <v>1.51</v>
      </c>
    </row>
    <row r="2959" spans="2:11" x14ac:dyDescent="0.35">
      <c r="B2959" s="62">
        <v>8.5</v>
      </c>
      <c r="C2959" s="471">
        <v>2975</v>
      </c>
      <c r="D2959" s="471">
        <v>2953.29</v>
      </c>
      <c r="E2959" s="469">
        <v>22.43</v>
      </c>
      <c r="F2959" s="469">
        <v>11.8</v>
      </c>
      <c r="G2959" s="469">
        <v>8.3000000000000007</v>
      </c>
      <c r="H2959" s="470">
        <v>209</v>
      </c>
      <c r="I2959" s="470">
        <v>482</v>
      </c>
      <c r="J2959" s="470">
        <v>3745</v>
      </c>
      <c r="K2959" s="469">
        <v>1.51</v>
      </c>
    </row>
    <row r="2960" spans="2:11" x14ac:dyDescent="0.35">
      <c r="B2960" s="62">
        <v>8.5</v>
      </c>
      <c r="C2960" s="471">
        <v>2976</v>
      </c>
      <c r="D2960" s="471">
        <v>2954.3</v>
      </c>
      <c r="E2960" s="469">
        <v>20.82</v>
      </c>
      <c r="F2960" s="469">
        <v>11.6</v>
      </c>
      <c r="G2960" s="469">
        <v>7.9</v>
      </c>
      <c r="H2960" s="470">
        <v>211</v>
      </c>
      <c r="I2960" s="470">
        <v>482</v>
      </c>
      <c r="J2960" s="470">
        <v>3673</v>
      </c>
      <c r="K2960" s="469">
        <v>1.51</v>
      </c>
    </row>
    <row r="2961" spans="2:11" x14ac:dyDescent="0.35">
      <c r="B2961" s="62">
        <v>8.5</v>
      </c>
      <c r="C2961" s="471">
        <v>2977</v>
      </c>
      <c r="D2961" s="471">
        <v>2955.26</v>
      </c>
      <c r="E2961" s="469">
        <v>10.76</v>
      </c>
      <c r="F2961" s="469">
        <v>10.8</v>
      </c>
      <c r="G2961" s="469">
        <v>8.4</v>
      </c>
      <c r="H2961" s="470">
        <v>213</v>
      </c>
      <c r="I2961" s="470">
        <v>488</v>
      </c>
      <c r="J2961" s="470">
        <v>3612</v>
      </c>
      <c r="K2961" s="469">
        <v>1.51</v>
      </c>
    </row>
    <row r="2962" spans="2:11" x14ac:dyDescent="0.35">
      <c r="B2962" s="62">
        <v>8.5</v>
      </c>
      <c r="C2962" s="471">
        <v>2978</v>
      </c>
      <c r="D2962" s="471">
        <v>2956.22</v>
      </c>
      <c r="E2962" s="469">
        <v>16.989999999999998</v>
      </c>
      <c r="F2962" s="469">
        <v>10.5</v>
      </c>
      <c r="G2962" s="469">
        <v>7.8</v>
      </c>
      <c r="H2962" s="470">
        <v>214</v>
      </c>
      <c r="I2962" s="470">
        <v>486</v>
      </c>
      <c r="J2962" s="470">
        <v>3608</v>
      </c>
      <c r="K2962" s="469">
        <v>1.51</v>
      </c>
    </row>
    <row r="2963" spans="2:11" x14ac:dyDescent="0.35">
      <c r="B2963" s="62">
        <v>8.5</v>
      </c>
      <c r="C2963" s="471">
        <v>2979</v>
      </c>
      <c r="D2963" s="471">
        <v>2957.24</v>
      </c>
      <c r="E2963" s="469">
        <v>19.670000000000002</v>
      </c>
      <c r="F2963" s="469">
        <v>9.6999999999999993</v>
      </c>
      <c r="G2963" s="469">
        <v>7.9</v>
      </c>
      <c r="H2963" s="470">
        <v>204</v>
      </c>
      <c r="I2963" s="470">
        <v>451</v>
      </c>
      <c r="J2963" s="470">
        <v>3171</v>
      </c>
      <c r="K2963" s="469">
        <v>1.51</v>
      </c>
    </row>
    <row r="2964" spans="2:11" x14ac:dyDescent="0.35">
      <c r="B2964" s="62">
        <v>8.5</v>
      </c>
      <c r="C2964" s="471">
        <v>2980</v>
      </c>
      <c r="D2964" s="471">
        <v>2958.22</v>
      </c>
      <c r="E2964" s="469">
        <v>13.26</v>
      </c>
      <c r="F2964" s="469">
        <v>9.3000000000000007</v>
      </c>
      <c r="G2964" s="469">
        <v>7.7</v>
      </c>
      <c r="H2964" s="470">
        <v>210</v>
      </c>
      <c r="I2964" s="470">
        <v>473</v>
      </c>
      <c r="J2964" s="470">
        <v>3209</v>
      </c>
      <c r="K2964" s="469">
        <v>1.51</v>
      </c>
    </row>
    <row r="2965" spans="2:11" x14ac:dyDescent="0.35">
      <c r="B2965" s="62">
        <v>8.5</v>
      </c>
      <c r="C2965" s="471">
        <v>2981</v>
      </c>
      <c r="D2965" s="471">
        <v>2959.25</v>
      </c>
      <c r="E2965" s="469">
        <v>20.260000000000002</v>
      </c>
      <c r="F2965" s="469">
        <v>9</v>
      </c>
      <c r="G2965" s="469">
        <v>8</v>
      </c>
      <c r="H2965" s="470">
        <v>199</v>
      </c>
      <c r="I2965" s="470">
        <v>435</v>
      </c>
      <c r="J2965" s="470">
        <v>3153</v>
      </c>
      <c r="K2965" s="469">
        <v>1.51</v>
      </c>
    </row>
    <row r="2966" spans="2:11" x14ac:dyDescent="0.35">
      <c r="B2966" s="62">
        <v>8.5</v>
      </c>
      <c r="C2966" s="471">
        <v>2982</v>
      </c>
      <c r="D2966" s="471">
        <v>2960.2</v>
      </c>
      <c r="E2966" s="469">
        <v>10.97</v>
      </c>
      <c r="F2966" s="469">
        <v>9.8000000000000007</v>
      </c>
      <c r="G2966" s="469">
        <v>7.3</v>
      </c>
      <c r="H2966" s="470">
        <v>211</v>
      </c>
      <c r="I2966" s="470">
        <v>479</v>
      </c>
      <c r="J2966" s="470">
        <v>3455</v>
      </c>
      <c r="K2966" s="469">
        <v>1.51</v>
      </c>
    </row>
    <row r="2967" spans="2:11" x14ac:dyDescent="0.35">
      <c r="B2967" s="62">
        <v>8.5</v>
      </c>
      <c r="C2967" s="471">
        <v>2983</v>
      </c>
      <c r="D2967" s="471">
        <v>2961.17</v>
      </c>
      <c r="E2967" s="469">
        <v>8.89</v>
      </c>
      <c r="F2967" s="469">
        <v>10.9</v>
      </c>
      <c r="G2967" s="469">
        <v>6</v>
      </c>
      <c r="H2967" s="470">
        <v>214</v>
      </c>
      <c r="I2967" s="470">
        <v>493</v>
      </c>
      <c r="J2967" s="470">
        <v>3608</v>
      </c>
      <c r="K2967" s="469">
        <v>1.51</v>
      </c>
    </row>
    <row r="2968" spans="2:11" x14ac:dyDescent="0.35">
      <c r="B2968" s="62">
        <v>8.5</v>
      </c>
      <c r="C2968" s="471">
        <v>2984</v>
      </c>
      <c r="D2968" s="471">
        <v>2962.2</v>
      </c>
      <c r="E2968" s="469">
        <v>3.78</v>
      </c>
      <c r="F2968" s="469">
        <v>9.5</v>
      </c>
      <c r="G2968" s="469">
        <v>5.7</v>
      </c>
      <c r="H2968" s="470">
        <v>206</v>
      </c>
      <c r="I2968" s="470">
        <v>466</v>
      </c>
      <c r="J2968" s="470">
        <v>3155</v>
      </c>
      <c r="K2968" s="469">
        <v>1.51</v>
      </c>
    </row>
    <row r="2969" spans="2:11" x14ac:dyDescent="0.35">
      <c r="B2969" s="62">
        <v>8.5</v>
      </c>
      <c r="C2969" s="471">
        <v>2985</v>
      </c>
      <c r="D2969" s="471">
        <v>2963.15</v>
      </c>
      <c r="E2969" s="469">
        <v>14.64</v>
      </c>
      <c r="F2969" s="469">
        <v>10.3</v>
      </c>
      <c r="G2969" s="469">
        <v>7.7</v>
      </c>
      <c r="H2969" s="470">
        <v>208</v>
      </c>
      <c r="I2969" s="470">
        <v>474</v>
      </c>
      <c r="J2969" s="470">
        <v>3502</v>
      </c>
      <c r="K2969" s="469">
        <v>1.51</v>
      </c>
    </row>
    <row r="2970" spans="2:11" x14ac:dyDescent="0.35">
      <c r="B2970" s="62">
        <v>8.5</v>
      </c>
      <c r="C2970" s="471">
        <v>2986</v>
      </c>
      <c r="D2970" s="471">
        <v>2964.14</v>
      </c>
      <c r="E2970" s="469">
        <v>21.23</v>
      </c>
      <c r="F2970" s="469">
        <v>10.4</v>
      </c>
      <c r="G2970" s="469">
        <v>7.5</v>
      </c>
      <c r="H2970" s="470">
        <v>215</v>
      </c>
      <c r="I2970" s="470">
        <v>499</v>
      </c>
      <c r="J2970" s="470">
        <v>3680</v>
      </c>
      <c r="K2970" s="469">
        <v>1.51</v>
      </c>
    </row>
    <row r="2971" spans="2:11" x14ac:dyDescent="0.35">
      <c r="B2971" s="62">
        <v>8.5</v>
      </c>
      <c r="C2971" s="471">
        <v>2987</v>
      </c>
      <c r="D2971" s="471">
        <v>2965.18</v>
      </c>
      <c r="E2971" s="469">
        <v>18.940000000000001</v>
      </c>
      <c r="F2971" s="469">
        <v>10.6</v>
      </c>
      <c r="G2971" s="469">
        <v>8.1</v>
      </c>
      <c r="H2971" s="470">
        <v>217</v>
      </c>
      <c r="I2971" s="470">
        <v>505</v>
      </c>
      <c r="J2971" s="470">
        <v>3702</v>
      </c>
      <c r="K2971" s="469">
        <v>1.51</v>
      </c>
    </row>
    <row r="2972" spans="2:11" x14ac:dyDescent="0.35">
      <c r="B2972" s="62">
        <v>8.5</v>
      </c>
      <c r="C2972" s="471">
        <v>2988</v>
      </c>
      <c r="D2972" s="471">
        <v>2966.17</v>
      </c>
      <c r="E2972" s="469">
        <v>16.079999999999998</v>
      </c>
      <c r="F2972" s="469">
        <v>11.2</v>
      </c>
      <c r="G2972" s="469">
        <v>8</v>
      </c>
      <c r="H2972" s="470">
        <v>216</v>
      </c>
      <c r="I2972" s="470">
        <v>505</v>
      </c>
      <c r="J2972" s="470">
        <v>3674</v>
      </c>
      <c r="K2972" s="469">
        <v>1.51</v>
      </c>
    </row>
    <row r="2973" spans="2:11" x14ac:dyDescent="0.35">
      <c r="B2973" s="62">
        <v>8.5</v>
      </c>
      <c r="C2973" s="471">
        <v>2989</v>
      </c>
      <c r="D2973" s="471">
        <v>2967.14</v>
      </c>
      <c r="E2973" s="469">
        <v>21.65</v>
      </c>
      <c r="F2973" s="469">
        <v>11.5</v>
      </c>
      <c r="G2973" s="469">
        <v>7.7</v>
      </c>
      <c r="H2973" s="470">
        <v>216</v>
      </c>
      <c r="I2973" s="470">
        <v>504</v>
      </c>
      <c r="J2973" s="470">
        <v>3701</v>
      </c>
      <c r="K2973" s="469">
        <v>1.51</v>
      </c>
    </row>
    <row r="2974" spans="2:11" x14ac:dyDescent="0.35">
      <c r="B2974" s="62">
        <v>8.5</v>
      </c>
      <c r="C2974" s="471">
        <v>2990</v>
      </c>
      <c r="D2974" s="471">
        <v>2968.1</v>
      </c>
      <c r="E2974" s="469">
        <v>22.03</v>
      </c>
      <c r="F2974" s="469">
        <v>11.2</v>
      </c>
      <c r="G2974" s="469">
        <v>8.3000000000000007</v>
      </c>
      <c r="H2974" s="470">
        <v>215</v>
      </c>
      <c r="I2974" s="470">
        <v>500</v>
      </c>
      <c r="J2974" s="470">
        <v>3738</v>
      </c>
      <c r="K2974" s="469">
        <v>1.51</v>
      </c>
    </row>
    <row r="2975" spans="2:11" x14ac:dyDescent="0.35">
      <c r="B2975" s="62">
        <v>8.5</v>
      </c>
      <c r="C2975" s="471">
        <v>2991</v>
      </c>
      <c r="D2975" s="471">
        <v>2969.09</v>
      </c>
      <c r="E2975" s="469">
        <v>20.13</v>
      </c>
      <c r="F2975" s="469">
        <v>11.3</v>
      </c>
      <c r="G2975" s="469">
        <v>7.8</v>
      </c>
      <c r="H2975" s="470">
        <v>217</v>
      </c>
      <c r="I2975" s="470">
        <v>505</v>
      </c>
      <c r="J2975" s="470">
        <v>3735</v>
      </c>
      <c r="K2975" s="469">
        <v>1.51</v>
      </c>
    </row>
    <row r="2976" spans="2:11" x14ac:dyDescent="0.35">
      <c r="B2976" s="62">
        <v>8.5</v>
      </c>
      <c r="C2976" s="471">
        <v>2992</v>
      </c>
      <c r="D2976" s="471">
        <v>2970.07</v>
      </c>
      <c r="E2976" s="469">
        <v>20.239999999999998</v>
      </c>
      <c r="F2976" s="469">
        <v>11.6</v>
      </c>
      <c r="G2976" s="469">
        <v>7.8</v>
      </c>
      <c r="H2976" s="470">
        <v>216</v>
      </c>
      <c r="I2976" s="470">
        <v>503</v>
      </c>
      <c r="J2976" s="470">
        <v>3712</v>
      </c>
      <c r="K2976" s="469">
        <v>1.51</v>
      </c>
    </row>
    <row r="2977" spans="2:11" x14ac:dyDescent="0.35">
      <c r="B2977" s="62">
        <v>8.5</v>
      </c>
      <c r="C2977" s="471">
        <v>2993</v>
      </c>
      <c r="D2977" s="471">
        <v>2971.09</v>
      </c>
      <c r="E2977" s="469">
        <v>17.920000000000002</v>
      </c>
      <c r="F2977" s="469">
        <v>11.2</v>
      </c>
      <c r="G2977" s="469">
        <v>7.6</v>
      </c>
      <c r="H2977" s="470">
        <v>217</v>
      </c>
      <c r="I2977" s="470">
        <v>505</v>
      </c>
      <c r="J2977" s="470">
        <v>3653</v>
      </c>
      <c r="K2977" s="469">
        <v>1.51</v>
      </c>
    </row>
    <row r="2978" spans="2:11" x14ac:dyDescent="0.35">
      <c r="B2978" s="62">
        <v>8.5</v>
      </c>
      <c r="C2978" s="471">
        <v>2994</v>
      </c>
      <c r="D2978" s="471">
        <v>2972.06</v>
      </c>
      <c r="E2978" s="469">
        <v>18.91</v>
      </c>
      <c r="F2978" s="469">
        <v>11</v>
      </c>
      <c r="G2978" s="469">
        <v>7.8</v>
      </c>
      <c r="H2978" s="470">
        <v>216</v>
      </c>
      <c r="I2978" s="470">
        <v>504</v>
      </c>
      <c r="J2978" s="470">
        <v>3649</v>
      </c>
      <c r="K2978" s="469">
        <v>1.51</v>
      </c>
    </row>
    <row r="2979" spans="2:11" x14ac:dyDescent="0.35">
      <c r="B2979" s="62">
        <v>8.5</v>
      </c>
      <c r="C2979" s="471">
        <v>2995</v>
      </c>
      <c r="D2979" s="471">
        <v>2972.94</v>
      </c>
      <c r="E2979" s="469">
        <v>24.64</v>
      </c>
      <c r="F2979" s="469">
        <v>11.2</v>
      </c>
      <c r="G2979" s="469">
        <v>7.5</v>
      </c>
      <c r="H2979" s="470">
        <v>216</v>
      </c>
      <c r="I2979" s="470">
        <v>502</v>
      </c>
      <c r="J2979" s="470">
        <v>3688</v>
      </c>
      <c r="K2979" s="469">
        <v>1.51</v>
      </c>
    </row>
    <row r="2980" spans="2:11" x14ac:dyDescent="0.35">
      <c r="B2980" s="62">
        <v>8.5</v>
      </c>
      <c r="C2980" s="471">
        <v>2996</v>
      </c>
      <c r="D2980" s="471">
        <v>2974.06</v>
      </c>
      <c r="E2980" s="469">
        <v>26.55</v>
      </c>
      <c r="F2980" s="469">
        <v>12.1</v>
      </c>
      <c r="G2980" s="469">
        <v>7.9</v>
      </c>
      <c r="H2980" s="470">
        <v>216</v>
      </c>
      <c r="I2980" s="470">
        <v>502</v>
      </c>
      <c r="J2980" s="470">
        <v>3762</v>
      </c>
      <c r="K2980" s="469">
        <v>1.51</v>
      </c>
    </row>
    <row r="2981" spans="2:11" x14ac:dyDescent="0.35">
      <c r="B2981" s="62">
        <v>8.5</v>
      </c>
      <c r="C2981" s="471">
        <v>2997</v>
      </c>
      <c r="D2981" s="471">
        <v>2975.02</v>
      </c>
      <c r="E2981" s="469">
        <v>20.2</v>
      </c>
      <c r="F2981" s="469">
        <v>12.1</v>
      </c>
      <c r="G2981" s="469">
        <v>7.9</v>
      </c>
      <c r="H2981" s="470">
        <v>216</v>
      </c>
      <c r="I2981" s="470">
        <v>503</v>
      </c>
      <c r="J2981" s="470">
        <v>3709</v>
      </c>
      <c r="K2981" s="469">
        <v>1.51</v>
      </c>
    </row>
    <row r="2982" spans="2:11" x14ac:dyDescent="0.35">
      <c r="B2982" s="62">
        <v>8.5</v>
      </c>
      <c r="C2982" s="471">
        <v>2998</v>
      </c>
      <c r="D2982" s="471">
        <v>2976.03</v>
      </c>
      <c r="E2982" s="469">
        <v>17.63</v>
      </c>
      <c r="F2982" s="469">
        <v>12.5</v>
      </c>
      <c r="G2982" s="469">
        <v>8.1</v>
      </c>
      <c r="H2982" s="470">
        <v>217</v>
      </c>
      <c r="I2982" s="470">
        <v>504</v>
      </c>
      <c r="J2982" s="470">
        <v>3739</v>
      </c>
      <c r="K2982" s="469">
        <v>1.51</v>
      </c>
    </row>
    <row r="2983" spans="2:11" x14ac:dyDescent="0.35">
      <c r="B2983" s="62">
        <v>8.5</v>
      </c>
      <c r="C2983" s="471">
        <v>2999</v>
      </c>
      <c r="D2983" s="471">
        <v>2977</v>
      </c>
      <c r="E2983" s="469">
        <v>15</v>
      </c>
      <c r="F2983" s="469">
        <v>12</v>
      </c>
      <c r="G2983" s="469">
        <v>7.8</v>
      </c>
      <c r="H2983" s="470">
        <v>216</v>
      </c>
      <c r="I2983" s="470">
        <v>503</v>
      </c>
      <c r="J2983" s="470">
        <v>3674</v>
      </c>
      <c r="K2983" s="469">
        <v>1.51</v>
      </c>
    </row>
    <row r="2984" spans="2:11" x14ac:dyDescent="0.35">
      <c r="B2984" s="62">
        <v>8.5</v>
      </c>
      <c r="C2984" s="471">
        <v>3000</v>
      </c>
      <c r="D2984" s="471">
        <v>2978.01</v>
      </c>
      <c r="E2984" s="469">
        <v>12.54</v>
      </c>
      <c r="F2984" s="469">
        <v>11.9</v>
      </c>
      <c r="G2984" s="469">
        <v>6.9</v>
      </c>
      <c r="H2984" s="470">
        <v>216</v>
      </c>
      <c r="I2984" s="470">
        <v>503</v>
      </c>
      <c r="J2984" s="470">
        <v>3597</v>
      </c>
      <c r="K2984" s="469">
        <v>1.51</v>
      </c>
    </row>
    <row r="2985" spans="2:11" x14ac:dyDescent="0.35">
      <c r="B2985" s="62">
        <v>8.5</v>
      </c>
      <c r="C2985" s="471">
        <v>3001</v>
      </c>
      <c r="D2985" s="471">
        <v>2978.98</v>
      </c>
      <c r="E2985" s="469">
        <v>10.94</v>
      </c>
      <c r="F2985" s="469">
        <v>11.8</v>
      </c>
      <c r="G2985" s="469">
        <v>7.1</v>
      </c>
      <c r="H2985" s="470">
        <v>216</v>
      </c>
      <c r="I2985" s="470">
        <v>503</v>
      </c>
      <c r="J2985" s="470">
        <v>3575</v>
      </c>
      <c r="K2985" s="469">
        <v>1.51</v>
      </c>
    </row>
    <row r="2986" spans="2:11" x14ac:dyDescent="0.35">
      <c r="B2986" s="62">
        <v>8.5</v>
      </c>
      <c r="C2986" s="471">
        <v>3002</v>
      </c>
      <c r="D2986" s="471">
        <v>2979.97</v>
      </c>
      <c r="E2986" s="469">
        <v>13.45</v>
      </c>
      <c r="F2986" s="469">
        <v>11.6</v>
      </c>
      <c r="G2986" s="469">
        <v>7.2</v>
      </c>
      <c r="H2986" s="470">
        <v>216</v>
      </c>
      <c r="I2986" s="470">
        <v>502</v>
      </c>
      <c r="J2986" s="470">
        <v>3578</v>
      </c>
      <c r="K2986" s="469">
        <v>1.51</v>
      </c>
    </row>
    <row r="2987" spans="2:11" x14ac:dyDescent="0.35">
      <c r="B2987" s="62">
        <v>8.5</v>
      </c>
      <c r="C2987" s="471">
        <v>3003</v>
      </c>
      <c r="D2987" s="471">
        <v>2981</v>
      </c>
      <c r="E2987" s="469">
        <v>39.869999999999997</v>
      </c>
      <c r="F2987" s="469">
        <v>10.8</v>
      </c>
      <c r="G2987" s="469">
        <v>9.1</v>
      </c>
      <c r="H2987" s="470">
        <v>205</v>
      </c>
      <c r="I2987" s="470">
        <v>500</v>
      </c>
      <c r="J2987" s="470">
        <v>3886</v>
      </c>
      <c r="K2987" s="469">
        <v>1.51</v>
      </c>
    </row>
    <row r="2988" spans="2:11" x14ac:dyDescent="0.35">
      <c r="B2988" s="62">
        <v>8.5</v>
      </c>
      <c r="C2988" s="471">
        <v>3004</v>
      </c>
      <c r="D2988" s="471">
        <v>2981.96</v>
      </c>
      <c r="E2988" s="469">
        <v>14.95</v>
      </c>
      <c r="F2988" s="469">
        <v>5.2</v>
      </c>
      <c r="G2988" s="469">
        <v>7.6</v>
      </c>
      <c r="H2988" s="470">
        <v>214</v>
      </c>
      <c r="I2988" s="470">
        <v>503</v>
      </c>
      <c r="J2988" s="470">
        <v>3655</v>
      </c>
      <c r="K2988" s="469">
        <v>1.51</v>
      </c>
    </row>
    <row r="2989" spans="2:11" x14ac:dyDescent="0.35">
      <c r="B2989" s="62">
        <v>8.5</v>
      </c>
      <c r="C2989" s="471">
        <v>3005</v>
      </c>
      <c r="D2989" s="471">
        <v>2983</v>
      </c>
      <c r="E2989" s="469">
        <v>10.94</v>
      </c>
      <c r="F2989" s="469">
        <v>8.3000000000000007</v>
      </c>
      <c r="G2989" s="469">
        <v>7.2</v>
      </c>
      <c r="H2989" s="470">
        <v>217</v>
      </c>
      <c r="I2989" s="470">
        <v>504</v>
      </c>
      <c r="J2989" s="470">
        <v>3508</v>
      </c>
      <c r="K2989" s="469">
        <v>1.51</v>
      </c>
    </row>
    <row r="2990" spans="2:11" x14ac:dyDescent="0.35">
      <c r="B2990" s="62">
        <v>8.5</v>
      </c>
      <c r="C2990" s="471">
        <v>3006</v>
      </c>
      <c r="D2990" s="471">
        <v>2983.9</v>
      </c>
      <c r="E2990" s="469">
        <v>18.329999999999998</v>
      </c>
      <c r="F2990" s="469">
        <v>9</v>
      </c>
      <c r="G2990" s="469">
        <v>8.4</v>
      </c>
      <c r="H2990" s="470">
        <v>218</v>
      </c>
      <c r="I2990" s="470">
        <v>508</v>
      </c>
      <c r="J2990" s="470">
        <v>3099</v>
      </c>
      <c r="K2990" s="469">
        <v>1.51</v>
      </c>
    </row>
    <row r="2991" spans="2:11" x14ac:dyDescent="0.35">
      <c r="B2991" s="62">
        <v>8.5</v>
      </c>
      <c r="C2991" s="471">
        <v>3007</v>
      </c>
      <c r="D2991" s="471">
        <v>2984.9</v>
      </c>
      <c r="E2991" s="469">
        <v>19.71</v>
      </c>
      <c r="F2991" s="469">
        <v>8.4</v>
      </c>
      <c r="G2991" s="469">
        <v>8.4</v>
      </c>
      <c r="H2991" s="470">
        <v>217</v>
      </c>
      <c r="I2991" s="470">
        <v>506</v>
      </c>
      <c r="J2991" s="470">
        <v>3257</v>
      </c>
      <c r="K2991" s="469">
        <v>1.51</v>
      </c>
    </row>
    <row r="2992" spans="2:11" x14ac:dyDescent="0.35">
      <c r="B2992" s="62">
        <v>8.5</v>
      </c>
      <c r="C2992" s="471">
        <v>3008</v>
      </c>
      <c r="D2992" s="471">
        <v>2985.8</v>
      </c>
      <c r="E2992" s="469">
        <v>24.62</v>
      </c>
      <c r="F2992" s="469">
        <v>11.7</v>
      </c>
      <c r="G2992" s="469">
        <v>8.6</v>
      </c>
      <c r="H2992" s="470">
        <v>214</v>
      </c>
      <c r="I2992" s="470">
        <v>496</v>
      </c>
      <c r="J2992" s="470">
        <v>3819</v>
      </c>
      <c r="K2992" s="469">
        <v>1.51</v>
      </c>
    </row>
    <row r="2993" spans="2:11" x14ac:dyDescent="0.35">
      <c r="B2993" s="62">
        <v>8.5</v>
      </c>
      <c r="C2993" s="471">
        <v>3009</v>
      </c>
      <c r="D2993" s="471">
        <v>2986.8</v>
      </c>
      <c r="E2993" s="469">
        <v>33.76</v>
      </c>
      <c r="F2993" s="469">
        <v>11.8</v>
      </c>
      <c r="G2993" s="469">
        <v>8.8000000000000007</v>
      </c>
      <c r="H2993" s="470">
        <v>214</v>
      </c>
      <c r="I2993" s="470">
        <v>496</v>
      </c>
      <c r="J2993" s="470">
        <v>3821</v>
      </c>
      <c r="K2993" s="469">
        <v>1.51</v>
      </c>
    </row>
    <row r="2994" spans="2:11" x14ac:dyDescent="0.35">
      <c r="B2994" s="62">
        <v>8.5</v>
      </c>
      <c r="C2994" s="471">
        <v>3010</v>
      </c>
      <c r="D2994" s="471">
        <v>2987.8</v>
      </c>
      <c r="E2994" s="469">
        <v>28.94</v>
      </c>
      <c r="F2994" s="469">
        <v>11.9</v>
      </c>
      <c r="G2994" s="469">
        <v>8.8000000000000007</v>
      </c>
      <c r="H2994" s="470">
        <v>214</v>
      </c>
      <c r="I2994" s="470">
        <v>495</v>
      </c>
      <c r="J2994" s="470">
        <v>3806</v>
      </c>
      <c r="K2994" s="469">
        <v>1.51</v>
      </c>
    </row>
    <row r="2995" spans="2:11" x14ac:dyDescent="0.35">
      <c r="B2995" s="62">
        <v>8.5</v>
      </c>
      <c r="C2995" s="471">
        <v>3011</v>
      </c>
      <c r="D2995" s="471">
        <v>2988.8</v>
      </c>
      <c r="E2995" s="469">
        <v>35.090000000000003</v>
      </c>
      <c r="F2995" s="469">
        <v>12</v>
      </c>
      <c r="G2995" s="469">
        <v>8.5</v>
      </c>
      <c r="H2995" s="470">
        <v>212</v>
      </c>
      <c r="I2995" s="470">
        <v>495</v>
      </c>
      <c r="J2995" s="470">
        <v>3837</v>
      </c>
      <c r="K2995" s="469">
        <v>1.51</v>
      </c>
    </row>
    <row r="2996" spans="2:11" x14ac:dyDescent="0.35">
      <c r="B2996" s="62">
        <v>8.5</v>
      </c>
      <c r="C2996" s="471">
        <v>3012</v>
      </c>
      <c r="D2996" s="471">
        <v>2989.8</v>
      </c>
      <c r="E2996" s="469">
        <v>32.28</v>
      </c>
      <c r="F2996" s="469">
        <v>12.4</v>
      </c>
      <c r="G2996" s="469">
        <v>9</v>
      </c>
      <c r="H2996" s="470">
        <v>214</v>
      </c>
      <c r="I2996" s="470">
        <v>496</v>
      </c>
      <c r="J2996" s="470">
        <v>3830</v>
      </c>
      <c r="K2996" s="469">
        <v>1.51</v>
      </c>
    </row>
    <row r="2997" spans="2:11" x14ac:dyDescent="0.35">
      <c r="B2997" s="62">
        <v>8.5</v>
      </c>
      <c r="C2997" s="471">
        <v>3013</v>
      </c>
      <c r="D2997" s="471">
        <v>2990.8</v>
      </c>
      <c r="E2997" s="469">
        <v>27.56</v>
      </c>
      <c r="F2997" s="469">
        <v>12.4</v>
      </c>
      <c r="G2997" s="469">
        <v>8.4</v>
      </c>
      <c r="H2997" s="470">
        <v>215</v>
      </c>
      <c r="I2997" s="470">
        <v>497</v>
      </c>
      <c r="J2997" s="470">
        <v>3790</v>
      </c>
      <c r="K2997" s="469">
        <v>1.51</v>
      </c>
    </row>
    <row r="2998" spans="2:11" x14ac:dyDescent="0.35">
      <c r="B2998" s="62">
        <v>8.5</v>
      </c>
      <c r="C2998" s="471">
        <v>3014</v>
      </c>
      <c r="D2998" s="471">
        <v>2991.7</v>
      </c>
      <c r="E2998" s="469">
        <v>30.85</v>
      </c>
      <c r="F2998" s="469">
        <v>12.2</v>
      </c>
      <c r="G2998" s="469">
        <v>8.5</v>
      </c>
      <c r="H2998" s="470">
        <v>214</v>
      </c>
      <c r="I2998" s="470">
        <v>496</v>
      </c>
      <c r="J2998" s="470">
        <v>3792</v>
      </c>
      <c r="K2998" s="469">
        <v>1.51</v>
      </c>
    </row>
    <row r="2999" spans="2:11" x14ac:dyDescent="0.35">
      <c r="B2999" s="62">
        <v>8.5</v>
      </c>
      <c r="C2999" s="471">
        <v>3015</v>
      </c>
      <c r="D2999" s="471">
        <v>2992.7</v>
      </c>
      <c r="E2999" s="469">
        <v>26.92</v>
      </c>
      <c r="F2999" s="469">
        <v>11.9</v>
      </c>
      <c r="G2999" s="469">
        <v>8.8000000000000007</v>
      </c>
      <c r="H2999" s="470">
        <v>215</v>
      </c>
      <c r="I2999" s="470">
        <v>496</v>
      </c>
      <c r="J2999" s="470">
        <v>3786</v>
      </c>
      <c r="K2999" s="469">
        <v>1.51</v>
      </c>
    </row>
    <row r="3000" spans="2:11" x14ac:dyDescent="0.35">
      <c r="B3000" s="62">
        <v>8.5</v>
      </c>
      <c r="C3000" s="471">
        <v>3016</v>
      </c>
      <c r="D3000" s="471">
        <v>2993.7</v>
      </c>
      <c r="E3000" s="469">
        <v>25.85</v>
      </c>
      <c r="F3000" s="469">
        <v>11.8</v>
      </c>
      <c r="G3000" s="469">
        <v>9</v>
      </c>
      <c r="H3000" s="470">
        <v>213</v>
      </c>
      <c r="I3000" s="470">
        <v>496</v>
      </c>
      <c r="J3000" s="470">
        <v>3753</v>
      </c>
      <c r="K3000" s="469">
        <v>1.51</v>
      </c>
    </row>
    <row r="3001" spans="2:11" x14ac:dyDescent="0.35">
      <c r="B3001" s="62">
        <v>8.5</v>
      </c>
      <c r="C3001" s="471">
        <v>3017</v>
      </c>
      <c r="D3001" s="471">
        <v>2994.7</v>
      </c>
      <c r="E3001" s="469">
        <v>21.25</v>
      </c>
      <c r="F3001" s="469">
        <v>12.2</v>
      </c>
      <c r="G3001" s="469">
        <v>8.1999999999999993</v>
      </c>
      <c r="H3001" s="470">
        <v>215</v>
      </c>
      <c r="I3001" s="470">
        <v>497</v>
      </c>
      <c r="J3001" s="470">
        <v>3728</v>
      </c>
      <c r="K3001" s="469">
        <v>1.51</v>
      </c>
    </row>
    <row r="3002" spans="2:11" x14ac:dyDescent="0.35">
      <c r="B3002" s="62">
        <v>8.5</v>
      </c>
      <c r="C3002" s="471">
        <v>3018</v>
      </c>
      <c r="D3002" s="471">
        <v>2995.7</v>
      </c>
      <c r="E3002" s="469">
        <v>26.82</v>
      </c>
      <c r="F3002" s="469">
        <v>12.3</v>
      </c>
      <c r="G3002" s="469">
        <v>8.5</v>
      </c>
      <c r="H3002" s="470">
        <v>215</v>
      </c>
      <c r="I3002" s="470">
        <v>496</v>
      </c>
      <c r="J3002" s="470">
        <v>3766</v>
      </c>
      <c r="K3002" s="469">
        <v>1.51</v>
      </c>
    </row>
    <row r="3003" spans="2:11" x14ac:dyDescent="0.35">
      <c r="B3003" s="62">
        <v>8.5</v>
      </c>
      <c r="C3003" s="471">
        <v>3019</v>
      </c>
      <c r="D3003" s="471">
        <v>2996.7</v>
      </c>
      <c r="E3003" s="469">
        <v>25.07</v>
      </c>
      <c r="F3003" s="469">
        <v>12.6</v>
      </c>
      <c r="G3003" s="469">
        <v>8.5</v>
      </c>
      <c r="H3003" s="470">
        <v>215</v>
      </c>
      <c r="I3003" s="470">
        <v>496</v>
      </c>
      <c r="J3003" s="470">
        <v>3779</v>
      </c>
      <c r="K3003" s="469">
        <v>1.51</v>
      </c>
    </row>
    <row r="3004" spans="2:11" x14ac:dyDescent="0.35">
      <c r="B3004" s="62">
        <v>8.5</v>
      </c>
      <c r="C3004" s="471">
        <v>3020</v>
      </c>
      <c r="D3004" s="471">
        <v>2997.6</v>
      </c>
      <c r="E3004" s="469">
        <v>29.51</v>
      </c>
      <c r="F3004" s="469">
        <v>12.4</v>
      </c>
      <c r="G3004" s="469">
        <v>8.6999999999999993</v>
      </c>
      <c r="H3004" s="470">
        <v>214</v>
      </c>
      <c r="I3004" s="470">
        <v>496</v>
      </c>
      <c r="J3004" s="470">
        <v>3783</v>
      </c>
      <c r="K3004" s="469">
        <v>1.51</v>
      </c>
    </row>
    <row r="3005" spans="2:11" x14ac:dyDescent="0.35">
      <c r="B3005" s="62">
        <v>8.5</v>
      </c>
      <c r="C3005" s="471">
        <v>3021</v>
      </c>
      <c r="D3005" s="471">
        <v>2998.6</v>
      </c>
      <c r="E3005" s="469">
        <v>25.22</v>
      </c>
      <c r="F3005" s="469">
        <v>12.5</v>
      </c>
      <c r="G3005" s="469">
        <v>8.6999999999999993</v>
      </c>
      <c r="H3005" s="470">
        <v>214</v>
      </c>
      <c r="I3005" s="470">
        <v>496</v>
      </c>
      <c r="J3005" s="470">
        <v>3778</v>
      </c>
      <c r="K3005" s="469">
        <v>1.51</v>
      </c>
    </row>
    <row r="3006" spans="2:11" x14ac:dyDescent="0.35">
      <c r="B3006" s="62">
        <v>8.5</v>
      </c>
      <c r="C3006" s="471">
        <v>3022</v>
      </c>
      <c r="D3006" s="471">
        <v>2999.7</v>
      </c>
      <c r="E3006" s="469">
        <v>27.53</v>
      </c>
      <c r="F3006" s="469">
        <v>12.5</v>
      </c>
      <c r="G3006" s="469">
        <v>9.1</v>
      </c>
      <c r="H3006" s="470">
        <v>214</v>
      </c>
      <c r="I3006" s="470">
        <v>496</v>
      </c>
      <c r="J3006" s="470">
        <v>3764</v>
      </c>
      <c r="K3006" s="469">
        <v>1.51</v>
      </c>
    </row>
    <row r="3007" spans="2:11" x14ac:dyDescent="0.35">
      <c r="B3007" s="62">
        <v>8.5</v>
      </c>
      <c r="C3007" s="471">
        <v>3023</v>
      </c>
      <c r="D3007" s="471">
        <v>3000.6</v>
      </c>
      <c r="E3007" s="469">
        <v>28.71</v>
      </c>
      <c r="F3007" s="469">
        <v>12.2</v>
      </c>
      <c r="G3007" s="469">
        <v>8.5</v>
      </c>
      <c r="H3007" s="470">
        <v>214</v>
      </c>
      <c r="I3007" s="470">
        <v>496</v>
      </c>
      <c r="J3007" s="470">
        <v>3758</v>
      </c>
      <c r="K3007" s="469">
        <v>1.51</v>
      </c>
    </row>
    <row r="3008" spans="2:11" x14ac:dyDescent="0.35">
      <c r="B3008" s="62">
        <v>8.5</v>
      </c>
      <c r="C3008" s="471">
        <v>3024</v>
      </c>
      <c r="D3008" s="471">
        <v>3001.6</v>
      </c>
      <c r="E3008" s="469">
        <v>28.63</v>
      </c>
      <c r="F3008" s="469">
        <v>12.4</v>
      </c>
      <c r="G3008" s="469">
        <v>8.5</v>
      </c>
      <c r="H3008" s="470">
        <v>215</v>
      </c>
      <c r="I3008" s="470">
        <v>497</v>
      </c>
      <c r="J3008" s="470">
        <v>3747</v>
      </c>
      <c r="K3008" s="469">
        <v>1.51</v>
      </c>
    </row>
    <row r="3009" spans="2:11" x14ac:dyDescent="0.35">
      <c r="B3009" s="62">
        <v>8.5</v>
      </c>
      <c r="C3009" s="471">
        <v>3025</v>
      </c>
      <c r="D3009" s="471">
        <v>3002.6</v>
      </c>
      <c r="E3009" s="469">
        <v>28.71</v>
      </c>
      <c r="F3009" s="469">
        <v>12.3</v>
      </c>
      <c r="G3009" s="469">
        <v>8.6999999999999993</v>
      </c>
      <c r="H3009" s="470">
        <v>214</v>
      </c>
      <c r="I3009" s="470">
        <v>495</v>
      </c>
      <c r="J3009" s="470">
        <v>3773</v>
      </c>
      <c r="K3009" s="469">
        <v>1.51</v>
      </c>
    </row>
    <row r="3010" spans="2:11" x14ac:dyDescent="0.35">
      <c r="B3010" s="62">
        <v>8.5</v>
      </c>
      <c r="C3010" s="471">
        <v>3026</v>
      </c>
      <c r="D3010" s="471">
        <v>3003.6</v>
      </c>
      <c r="E3010" s="469">
        <v>22.85</v>
      </c>
      <c r="F3010" s="469">
        <v>12.1</v>
      </c>
      <c r="G3010" s="469">
        <v>8.4</v>
      </c>
      <c r="H3010" s="470">
        <v>214</v>
      </c>
      <c r="I3010" s="470">
        <v>495</v>
      </c>
      <c r="J3010" s="470">
        <v>3707</v>
      </c>
      <c r="K3010" s="469">
        <v>1.51</v>
      </c>
    </row>
    <row r="3011" spans="2:11" x14ac:dyDescent="0.35">
      <c r="B3011" s="62">
        <v>8.5</v>
      </c>
      <c r="C3011" s="471">
        <v>3027</v>
      </c>
      <c r="D3011" s="471">
        <v>3004.6</v>
      </c>
      <c r="E3011" s="469">
        <v>26.39</v>
      </c>
      <c r="F3011" s="469">
        <v>12.3</v>
      </c>
      <c r="G3011" s="469">
        <v>8.9</v>
      </c>
      <c r="H3011" s="470">
        <v>214</v>
      </c>
      <c r="I3011" s="470">
        <v>495</v>
      </c>
      <c r="J3011" s="470">
        <v>3788</v>
      </c>
      <c r="K3011" s="469">
        <v>1.51</v>
      </c>
    </row>
    <row r="3012" spans="2:11" x14ac:dyDescent="0.35">
      <c r="B3012" s="62">
        <v>8.5</v>
      </c>
      <c r="C3012" s="471">
        <v>3028</v>
      </c>
      <c r="D3012" s="471">
        <v>3005.6</v>
      </c>
      <c r="E3012" s="469">
        <v>29.58</v>
      </c>
      <c r="F3012" s="469">
        <v>12.4</v>
      </c>
      <c r="G3012" s="469">
        <v>9</v>
      </c>
      <c r="H3012" s="470">
        <v>214</v>
      </c>
      <c r="I3012" s="470">
        <v>496</v>
      </c>
      <c r="J3012" s="470">
        <v>3772</v>
      </c>
      <c r="K3012" s="469">
        <v>1.51</v>
      </c>
    </row>
    <row r="3013" spans="2:11" x14ac:dyDescent="0.35">
      <c r="B3013" s="62">
        <v>8.5</v>
      </c>
      <c r="C3013" s="471">
        <v>3029</v>
      </c>
      <c r="D3013" s="471">
        <v>3006.5</v>
      </c>
      <c r="E3013" s="469">
        <v>26.21</v>
      </c>
      <c r="F3013" s="469">
        <v>12</v>
      </c>
      <c r="G3013" s="469">
        <v>8.6</v>
      </c>
      <c r="H3013" s="470">
        <v>214</v>
      </c>
      <c r="I3013" s="470">
        <v>497</v>
      </c>
      <c r="J3013" s="470">
        <v>3724</v>
      </c>
      <c r="K3013" s="469">
        <v>1.51</v>
      </c>
    </row>
    <row r="3014" spans="2:11" x14ac:dyDescent="0.35">
      <c r="B3014" s="62">
        <v>8.5</v>
      </c>
      <c r="C3014" s="471">
        <v>3030</v>
      </c>
      <c r="D3014" s="471">
        <v>3007.5</v>
      </c>
      <c r="E3014" s="469">
        <v>23.71</v>
      </c>
      <c r="F3014" s="469">
        <v>11.8</v>
      </c>
      <c r="G3014" s="469">
        <v>8.1999999999999993</v>
      </c>
      <c r="H3014" s="470">
        <v>214</v>
      </c>
      <c r="I3014" s="470">
        <v>494</v>
      </c>
      <c r="J3014" s="470">
        <v>3695</v>
      </c>
      <c r="K3014" s="469">
        <v>1.51</v>
      </c>
    </row>
    <row r="3015" spans="2:11" x14ac:dyDescent="0.35">
      <c r="B3015" s="62">
        <v>8.5</v>
      </c>
      <c r="C3015" s="471">
        <v>3031</v>
      </c>
      <c r="D3015" s="471">
        <v>3008.5</v>
      </c>
      <c r="E3015" s="469">
        <v>23.79</v>
      </c>
      <c r="F3015" s="469">
        <v>12.4</v>
      </c>
      <c r="G3015" s="469">
        <v>8.5</v>
      </c>
      <c r="H3015" s="470">
        <v>214</v>
      </c>
      <c r="I3015" s="470">
        <v>496</v>
      </c>
      <c r="J3015" s="470">
        <v>3714</v>
      </c>
      <c r="K3015" s="469">
        <v>1.51</v>
      </c>
    </row>
    <row r="3016" spans="2:11" x14ac:dyDescent="0.35">
      <c r="B3016" s="62">
        <v>8.5</v>
      </c>
      <c r="C3016" s="471">
        <v>3032</v>
      </c>
      <c r="D3016" s="471">
        <v>3009.5</v>
      </c>
      <c r="E3016" s="469">
        <v>28.78</v>
      </c>
      <c r="F3016" s="469">
        <v>12.2</v>
      </c>
      <c r="G3016" s="469">
        <v>8.6</v>
      </c>
      <c r="H3016" s="470">
        <v>215</v>
      </c>
      <c r="I3016" s="470">
        <v>497</v>
      </c>
      <c r="J3016" s="470">
        <v>3723</v>
      </c>
      <c r="K3016" s="469">
        <v>1.51</v>
      </c>
    </row>
    <row r="3017" spans="2:11" x14ac:dyDescent="0.35">
      <c r="B3017" s="62">
        <v>8.5</v>
      </c>
      <c r="C3017" s="471">
        <v>3033</v>
      </c>
      <c r="D3017" s="471">
        <v>3010.5</v>
      </c>
      <c r="E3017" s="469">
        <v>34.39</v>
      </c>
      <c r="F3017" s="469">
        <v>12.3</v>
      </c>
      <c r="G3017" s="469">
        <v>9.3000000000000007</v>
      </c>
      <c r="H3017" s="470">
        <v>209</v>
      </c>
      <c r="I3017" s="470">
        <v>495</v>
      </c>
      <c r="J3017" s="470">
        <v>3840</v>
      </c>
      <c r="K3017" s="469">
        <v>1.51</v>
      </c>
    </row>
    <row r="3018" spans="2:11" x14ac:dyDescent="0.35">
      <c r="B3018" s="62">
        <v>8.5</v>
      </c>
      <c r="C3018" s="471">
        <v>3034</v>
      </c>
      <c r="D3018" s="471">
        <v>3011.5</v>
      </c>
      <c r="E3018" s="469">
        <v>9.0399999999999991</v>
      </c>
      <c r="F3018" s="469">
        <v>8.5</v>
      </c>
      <c r="G3018" s="469">
        <v>7.6</v>
      </c>
      <c r="H3018" s="470">
        <v>216</v>
      </c>
      <c r="I3018" s="470">
        <v>500</v>
      </c>
      <c r="J3018" s="470">
        <v>3612</v>
      </c>
      <c r="K3018" s="469">
        <v>1.51</v>
      </c>
    </row>
    <row r="3019" spans="2:11" x14ac:dyDescent="0.35">
      <c r="B3019" s="62">
        <v>8.5</v>
      </c>
      <c r="C3019" s="471">
        <v>3035</v>
      </c>
      <c r="D3019" s="471">
        <v>3012.5</v>
      </c>
      <c r="E3019" s="469">
        <v>26.12</v>
      </c>
      <c r="F3019" s="469">
        <v>10.5</v>
      </c>
      <c r="G3019" s="469">
        <v>8.6999999999999993</v>
      </c>
      <c r="H3019" s="470">
        <v>217</v>
      </c>
      <c r="I3019" s="470">
        <v>503</v>
      </c>
      <c r="J3019" s="470">
        <v>3733</v>
      </c>
      <c r="K3019" s="469">
        <v>1.51</v>
      </c>
    </row>
    <row r="3020" spans="2:11" x14ac:dyDescent="0.35">
      <c r="B3020" s="62">
        <v>8.5</v>
      </c>
      <c r="C3020" s="471">
        <v>3036</v>
      </c>
      <c r="D3020" s="471">
        <v>3013.5</v>
      </c>
      <c r="E3020" s="469">
        <v>29.19</v>
      </c>
      <c r="F3020" s="469">
        <v>11.6</v>
      </c>
      <c r="G3020" s="469">
        <v>9.1</v>
      </c>
      <c r="H3020" s="470">
        <v>217</v>
      </c>
      <c r="I3020" s="470">
        <v>502</v>
      </c>
      <c r="J3020" s="470">
        <v>3803</v>
      </c>
      <c r="K3020" s="469">
        <v>1.51</v>
      </c>
    </row>
    <row r="3021" spans="2:11" x14ac:dyDescent="0.35">
      <c r="B3021" s="62">
        <v>8.5</v>
      </c>
      <c r="C3021" s="471">
        <v>3037</v>
      </c>
      <c r="D3021" s="471">
        <v>3014.44</v>
      </c>
      <c r="E3021" s="469">
        <v>26.12</v>
      </c>
      <c r="F3021" s="469">
        <v>11.9</v>
      </c>
      <c r="G3021" s="469">
        <v>8.9</v>
      </c>
      <c r="H3021" s="470">
        <v>218</v>
      </c>
      <c r="I3021" s="470">
        <v>504</v>
      </c>
      <c r="J3021" s="470">
        <v>3812</v>
      </c>
      <c r="K3021" s="469">
        <v>1.51</v>
      </c>
    </row>
    <row r="3022" spans="2:11" x14ac:dyDescent="0.35">
      <c r="B3022" s="62">
        <v>8.5</v>
      </c>
      <c r="C3022" s="471">
        <v>3038</v>
      </c>
      <c r="D3022" s="471">
        <v>3015.44</v>
      </c>
      <c r="E3022" s="469">
        <v>29.56</v>
      </c>
      <c r="F3022" s="469">
        <v>11.9</v>
      </c>
      <c r="G3022" s="469">
        <v>8.8000000000000007</v>
      </c>
      <c r="H3022" s="470">
        <v>218</v>
      </c>
      <c r="I3022" s="470">
        <v>506</v>
      </c>
      <c r="J3022" s="470">
        <v>3809</v>
      </c>
      <c r="K3022" s="469">
        <v>1.51</v>
      </c>
    </row>
    <row r="3023" spans="2:11" x14ac:dyDescent="0.35">
      <c r="B3023" s="62">
        <v>8.5</v>
      </c>
      <c r="C3023" s="471">
        <v>3039</v>
      </c>
      <c r="D3023" s="471">
        <v>3016.45</v>
      </c>
      <c r="E3023" s="469">
        <v>24.67</v>
      </c>
      <c r="F3023" s="469">
        <v>11.3</v>
      </c>
      <c r="G3023" s="469">
        <v>8.3000000000000007</v>
      </c>
      <c r="H3023" s="470">
        <v>217</v>
      </c>
      <c r="I3023" s="470">
        <v>502</v>
      </c>
      <c r="J3023" s="470">
        <v>3759</v>
      </c>
      <c r="K3023" s="469">
        <v>1.51</v>
      </c>
    </row>
    <row r="3024" spans="2:11" x14ac:dyDescent="0.35">
      <c r="B3024" s="62">
        <v>8.5</v>
      </c>
      <c r="C3024" s="471">
        <v>3040</v>
      </c>
      <c r="D3024" s="471">
        <v>3017.44</v>
      </c>
      <c r="E3024" s="469">
        <v>24.17</v>
      </c>
      <c r="F3024" s="469">
        <v>11.4</v>
      </c>
      <c r="G3024" s="469">
        <v>8.6</v>
      </c>
      <c r="H3024" s="470">
        <v>218</v>
      </c>
      <c r="I3024" s="470">
        <v>503</v>
      </c>
      <c r="J3024" s="470">
        <v>3803</v>
      </c>
      <c r="K3024" s="469">
        <v>1.51</v>
      </c>
    </row>
    <row r="3025" spans="2:11" x14ac:dyDescent="0.35">
      <c r="B3025" s="62">
        <v>8.5</v>
      </c>
      <c r="C3025" s="471">
        <v>3041</v>
      </c>
      <c r="D3025" s="471">
        <v>3018.38</v>
      </c>
      <c r="E3025" s="469">
        <v>19.97</v>
      </c>
      <c r="F3025" s="469">
        <v>11</v>
      </c>
      <c r="G3025" s="469">
        <v>8.1</v>
      </c>
      <c r="H3025" s="470">
        <v>217</v>
      </c>
      <c r="I3025" s="470">
        <v>502</v>
      </c>
      <c r="J3025" s="470">
        <v>3734</v>
      </c>
      <c r="K3025" s="469">
        <v>1.51</v>
      </c>
    </row>
    <row r="3026" spans="2:11" x14ac:dyDescent="0.35">
      <c r="B3026" s="62">
        <v>8.5</v>
      </c>
      <c r="C3026" s="471">
        <v>3042</v>
      </c>
      <c r="D3026" s="471">
        <v>3019.38</v>
      </c>
      <c r="E3026" s="469">
        <v>12.41</v>
      </c>
      <c r="F3026" s="469">
        <v>9.1999999999999993</v>
      </c>
      <c r="G3026" s="469">
        <v>7.6</v>
      </c>
      <c r="H3026" s="470">
        <v>203</v>
      </c>
      <c r="I3026" s="470">
        <v>452</v>
      </c>
      <c r="J3026" s="470">
        <v>3064</v>
      </c>
      <c r="K3026" s="469">
        <v>1.51</v>
      </c>
    </row>
    <row r="3027" spans="2:11" x14ac:dyDescent="0.35">
      <c r="B3027" s="62">
        <v>8.5</v>
      </c>
      <c r="C3027" s="471">
        <v>3043</v>
      </c>
      <c r="D3027" s="471">
        <v>3020.43</v>
      </c>
      <c r="E3027" s="469">
        <v>15.23</v>
      </c>
      <c r="F3027" s="469">
        <v>9.8000000000000007</v>
      </c>
      <c r="G3027" s="469">
        <v>7.3</v>
      </c>
      <c r="H3027" s="470">
        <v>208</v>
      </c>
      <c r="I3027" s="470">
        <v>468</v>
      </c>
      <c r="J3027" s="470">
        <v>3058</v>
      </c>
      <c r="K3027" s="469">
        <v>1.51</v>
      </c>
    </row>
    <row r="3028" spans="2:11" x14ac:dyDescent="0.35">
      <c r="B3028" s="62">
        <v>8.5</v>
      </c>
      <c r="C3028" s="471">
        <v>3044</v>
      </c>
      <c r="D3028" s="471">
        <v>3021.38</v>
      </c>
      <c r="E3028" s="469">
        <v>17.309999999999999</v>
      </c>
      <c r="F3028" s="469">
        <v>9.9</v>
      </c>
      <c r="G3028" s="469">
        <v>7.4</v>
      </c>
      <c r="H3028" s="470">
        <v>205</v>
      </c>
      <c r="I3028" s="470">
        <v>457</v>
      </c>
      <c r="J3028" s="470">
        <v>3199</v>
      </c>
      <c r="K3028" s="469">
        <v>1.51</v>
      </c>
    </row>
    <row r="3029" spans="2:11" x14ac:dyDescent="0.35">
      <c r="B3029" s="62">
        <v>8.5</v>
      </c>
      <c r="C3029" s="471">
        <v>3045</v>
      </c>
      <c r="D3029" s="471">
        <v>3022.3</v>
      </c>
      <c r="E3029" s="469">
        <v>18.3</v>
      </c>
      <c r="F3029" s="469">
        <v>10.6</v>
      </c>
      <c r="G3029" s="469">
        <v>7.8</v>
      </c>
      <c r="H3029" s="470">
        <v>204</v>
      </c>
      <c r="I3029" s="470">
        <v>453</v>
      </c>
      <c r="J3029" s="470">
        <v>3179</v>
      </c>
      <c r="K3029" s="469">
        <v>1.51</v>
      </c>
    </row>
    <row r="3030" spans="2:11" x14ac:dyDescent="0.35">
      <c r="B3030" s="62">
        <v>8.5</v>
      </c>
      <c r="C3030" s="471">
        <v>3046</v>
      </c>
      <c r="D3030" s="471">
        <v>3023.4</v>
      </c>
      <c r="E3030" s="469">
        <v>19.239999999999998</v>
      </c>
      <c r="F3030" s="469">
        <v>11.9</v>
      </c>
      <c r="G3030" s="469">
        <v>8</v>
      </c>
      <c r="H3030" s="470">
        <v>218</v>
      </c>
      <c r="I3030" s="470">
        <v>503</v>
      </c>
      <c r="J3030" s="470">
        <v>3796</v>
      </c>
      <c r="K3030" s="469">
        <v>1.51</v>
      </c>
    </row>
    <row r="3031" spans="2:11" x14ac:dyDescent="0.35">
      <c r="B3031" s="62">
        <v>8.5</v>
      </c>
      <c r="C3031" s="471">
        <v>3047</v>
      </c>
      <c r="D3031" s="471">
        <v>3024.3</v>
      </c>
      <c r="E3031" s="469">
        <v>14.25</v>
      </c>
      <c r="F3031" s="469">
        <v>11.1</v>
      </c>
      <c r="G3031" s="469">
        <v>7.8</v>
      </c>
      <c r="H3031" s="470">
        <v>219</v>
      </c>
      <c r="I3031" s="470">
        <v>508</v>
      </c>
      <c r="J3031" s="470">
        <v>3727</v>
      </c>
      <c r="K3031" s="469">
        <v>1.51</v>
      </c>
    </row>
    <row r="3032" spans="2:11" x14ac:dyDescent="0.35">
      <c r="B3032" s="62">
        <v>8.5</v>
      </c>
      <c r="C3032" s="471">
        <v>3048</v>
      </c>
      <c r="D3032" s="471">
        <v>3025.3</v>
      </c>
      <c r="E3032" s="469">
        <v>17.91</v>
      </c>
      <c r="F3032" s="469">
        <v>11.5</v>
      </c>
      <c r="G3032" s="469">
        <v>8</v>
      </c>
      <c r="H3032" s="470">
        <v>218</v>
      </c>
      <c r="I3032" s="470">
        <v>506</v>
      </c>
      <c r="J3032" s="470">
        <v>3793</v>
      </c>
      <c r="K3032" s="469">
        <v>1.51</v>
      </c>
    </row>
    <row r="3033" spans="2:11" x14ac:dyDescent="0.35">
      <c r="B3033" s="62">
        <v>8.5</v>
      </c>
      <c r="C3033" s="471">
        <v>3049</v>
      </c>
      <c r="D3033" s="471">
        <v>3026.4</v>
      </c>
      <c r="E3033" s="469">
        <v>20.77</v>
      </c>
      <c r="F3033" s="469">
        <v>11.3</v>
      </c>
      <c r="G3033" s="469">
        <v>8</v>
      </c>
      <c r="H3033" s="470">
        <v>218</v>
      </c>
      <c r="I3033" s="470">
        <v>504</v>
      </c>
      <c r="J3033" s="470">
        <v>3792</v>
      </c>
      <c r="K3033" s="469">
        <v>1.51</v>
      </c>
    </row>
    <row r="3034" spans="2:11" x14ac:dyDescent="0.35">
      <c r="B3034" s="62">
        <v>8.5</v>
      </c>
      <c r="C3034" s="471">
        <v>3050</v>
      </c>
      <c r="D3034" s="471">
        <v>3027.3</v>
      </c>
      <c r="E3034" s="469">
        <v>14.64</v>
      </c>
      <c r="F3034" s="469">
        <v>10.8</v>
      </c>
      <c r="G3034" s="469">
        <v>7.2</v>
      </c>
      <c r="H3034" s="470">
        <v>219</v>
      </c>
      <c r="I3034" s="470">
        <v>508</v>
      </c>
      <c r="J3034" s="470">
        <v>3714</v>
      </c>
      <c r="K3034" s="469">
        <v>1.51</v>
      </c>
    </row>
    <row r="3035" spans="2:11" x14ac:dyDescent="0.35">
      <c r="B3035" s="62">
        <v>8.5</v>
      </c>
      <c r="C3035" s="471">
        <v>3051</v>
      </c>
      <c r="D3035" s="471">
        <v>3028.3</v>
      </c>
      <c r="E3035" s="469">
        <v>15.05</v>
      </c>
      <c r="F3035" s="469">
        <v>11.4</v>
      </c>
      <c r="G3035" s="469">
        <v>7.6</v>
      </c>
      <c r="H3035" s="470">
        <v>219</v>
      </c>
      <c r="I3035" s="470">
        <v>507</v>
      </c>
      <c r="J3035" s="470">
        <v>3720</v>
      </c>
      <c r="K3035" s="469">
        <v>1.52</v>
      </c>
    </row>
    <row r="3036" spans="2:11" x14ac:dyDescent="0.35">
      <c r="B3036" s="62">
        <v>8.5</v>
      </c>
      <c r="C3036" s="471">
        <v>3052</v>
      </c>
      <c r="D3036" s="471">
        <v>3029.3</v>
      </c>
      <c r="E3036" s="469">
        <v>13.5</v>
      </c>
      <c r="F3036" s="469">
        <v>10.6</v>
      </c>
      <c r="G3036" s="469">
        <v>7.3</v>
      </c>
      <c r="H3036" s="470">
        <v>219</v>
      </c>
      <c r="I3036" s="470">
        <v>508</v>
      </c>
      <c r="J3036" s="470">
        <v>3702</v>
      </c>
      <c r="K3036" s="469">
        <v>1.52</v>
      </c>
    </row>
    <row r="3037" spans="2:11" x14ac:dyDescent="0.35">
      <c r="B3037" s="62">
        <v>8.5</v>
      </c>
      <c r="C3037" s="471">
        <v>3053</v>
      </c>
      <c r="D3037" s="471">
        <v>3030.3</v>
      </c>
      <c r="E3037" s="469">
        <v>14.54</v>
      </c>
      <c r="F3037" s="469">
        <v>11.2</v>
      </c>
      <c r="G3037" s="469">
        <v>7.6</v>
      </c>
      <c r="H3037" s="470">
        <v>219</v>
      </c>
      <c r="I3037" s="470">
        <v>506</v>
      </c>
      <c r="J3037" s="470">
        <v>3727</v>
      </c>
      <c r="K3037" s="469">
        <v>1.52</v>
      </c>
    </row>
    <row r="3038" spans="2:11" x14ac:dyDescent="0.35">
      <c r="B3038" s="62">
        <v>8.5</v>
      </c>
      <c r="C3038" s="471">
        <v>3054</v>
      </c>
      <c r="D3038" s="471">
        <v>3031.3</v>
      </c>
      <c r="E3038" s="469">
        <v>14.49</v>
      </c>
      <c r="F3038" s="469">
        <v>11.3</v>
      </c>
      <c r="G3038" s="469">
        <v>7.8</v>
      </c>
      <c r="H3038" s="470">
        <v>218</v>
      </c>
      <c r="I3038" s="470">
        <v>505</v>
      </c>
      <c r="J3038" s="470">
        <v>3760</v>
      </c>
      <c r="K3038" s="469">
        <v>1.52</v>
      </c>
    </row>
    <row r="3039" spans="2:11" x14ac:dyDescent="0.35">
      <c r="B3039" s="62">
        <v>8.5</v>
      </c>
      <c r="C3039" s="471">
        <v>3055</v>
      </c>
      <c r="D3039" s="471">
        <v>3032.3</v>
      </c>
      <c r="E3039" s="469">
        <v>13.49</v>
      </c>
      <c r="F3039" s="469">
        <v>11.2</v>
      </c>
      <c r="G3039" s="469">
        <v>7.4</v>
      </c>
      <c r="H3039" s="470">
        <v>219</v>
      </c>
      <c r="I3039" s="470">
        <v>507</v>
      </c>
      <c r="J3039" s="470">
        <v>3714</v>
      </c>
      <c r="K3039" s="469">
        <v>1.52</v>
      </c>
    </row>
    <row r="3040" spans="2:11" x14ac:dyDescent="0.35">
      <c r="B3040" s="62">
        <v>8.5</v>
      </c>
      <c r="C3040" s="471">
        <v>3056</v>
      </c>
      <c r="D3040" s="471">
        <v>3033.2</v>
      </c>
      <c r="E3040" s="469">
        <v>12.95</v>
      </c>
      <c r="F3040" s="469">
        <v>10.7</v>
      </c>
      <c r="G3040" s="469">
        <v>7.7</v>
      </c>
      <c r="H3040" s="470">
        <v>219</v>
      </c>
      <c r="I3040" s="470">
        <v>509</v>
      </c>
      <c r="J3040" s="470">
        <v>3693</v>
      </c>
      <c r="K3040" s="469">
        <v>1.52</v>
      </c>
    </row>
    <row r="3041" spans="2:11" x14ac:dyDescent="0.35">
      <c r="B3041" s="62">
        <v>8.5</v>
      </c>
      <c r="C3041" s="471">
        <v>3057</v>
      </c>
      <c r="D3041" s="471">
        <v>3034.2</v>
      </c>
      <c r="E3041" s="469">
        <v>23.71</v>
      </c>
      <c r="F3041" s="469">
        <v>11.9</v>
      </c>
      <c r="G3041" s="469">
        <v>8.1999999999999993</v>
      </c>
      <c r="H3041" s="470">
        <v>218</v>
      </c>
      <c r="I3041" s="470">
        <v>507</v>
      </c>
      <c r="J3041" s="470">
        <v>3841</v>
      </c>
      <c r="K3041" s="469">
        <v>1.52</v>
      </c>
    </row>
    <row r="3042" spans="2:11" x14ac:dyDescent="0.35">
      <c r="B3042" s="62">
        <v>8.5</v>
      </c>
      <c r="C3042" s="471">
        <v>3058</v>
      </c>
      <c r="D3042" s="471">
        <v>3035.2</v>
      </c>
      <c r="E3042" s="469">
        <v>26.08</v>
      </c>
      <c r="F3042" s="469">
        <v>11.9</v>
      </c>
      <c r="G3042" s="469">
        <v>8.5</v>
      </c>
      <c r="H3042" s="470">
        <v>218</v>
      </c>
      <c r="I3042" s="470">
        <v>508</v>
      </c>
      <c r="J3042" s="470">
        <v>3852</v>
      </c>
      <c r="K3042" s="469">
        <v>1.52</v>
      </c>
    </row>
    <row r="3043" spans="2:11" x14ac:dyDescent="0.35">
      <c r="B3043" s="62">
        <v>8.5</v>
      </c>
      <c r="C3043" s="471">
        <v>3059</v>
      </c>
      <c r="D3043" s="471">
        <v>3036.2</v>
      </c>
      <c r="E3043" s="469">
        <v>22.49</v>
      </c>
      <c r="F3043" s="469">
        <v>11.9</v>
      </c>
      <c r="G3043" s="469">
        <v>8.1</v>
      </c>
      <c r="H3043" s="470">
        <v>219</v>
      </c>
      <c r="I3043" s="470">
        <v>508</v>
      </c>
      <c r="J3043" s="470">
        <v>3808</v>
      </c>
      <c r="K3043" s="469">
        <v>1.52</v>
      </c>
    </row>
    <row r="3044" spans="2:11" x14ac:dyDescent="0.35">
      <c r="B3044" s="62">
        <v>8.5</v>
      </c>
      <c r="C3044" s="471">
        <v>3060</v>
      </c>
      <c r="D3044" s="471">
        <v>3037.2</v>
      </c>
      <c r="E3044" s="469">
        <v>21.22</v>
      </c>
      <c r="F3044" s="469">
        <v>11.8</v>
      </c>
      <c r="G3044" s="469">
        <v>8</v>
      </c>
      <c r="H3044" s="470">
        <v>218</v>
      </c>
      <c r="I3044" s="470">
        <v>505</v>
      </c>
      <c r="J3044" s="470">
        <v>3774</v>
      </c>
      <c r="K3044" s="469">
        <v>1.52</v>
      </c>
    </row>
    <row r="3045" spans="2:11" x14ac:dyDescent="0.35">
      <c r="B3045" s="62">
        <v>8.5</v>
      </c>
      <c r="C3045" s="471">
        <v>3061</v>
      </c>
      <c r="D3045" s="471">
        <v>3038.2</v>
      </c>
      <c r="E3045" s="469">
        <v>28.47</v>
      </c>
      <c r="F3045" s="469">
        <v>11.6</v>
      </c>
      <c r="G3045" s="469">
        <v>8.3000000000000007</v>
      </c>
      <c r="H3045" s="470">
        <v>218</v>
      </c>
      <c r="I3045" s="470">
        <v>506</v>
      </c>
      <c r="J3045" s="470">
        <v>3779</v>
      </c>
      <c r="K3045" s="469">
        <v>1.52</v>
      </c>
    </row>
    <row r="3046" spans="2:11" x14ac:dyDescent="0.35">
      <c r="B3046" s="62">
        <v>8.5</v>
      </c>
      <c r="C3046" s="471">
        <v>3062</v>
      </c>
      <c r="D3046" s="471">
        <v>3039.2</v>
      </c>
      <c r="E3046" s="469">
        <v>24.02</v>
      </c>
      <c r="F3046" s="469">
        <v>11.4</v>
      </c>
      <c r="G3046" s="469">
        <v>8.6</v>
      </c>
      <c r="H3046" s="470">
        <v>218</v>
      </c>
      <c r="I3046" s="470">
        <v>505</v>
      </c>
      <c r="J3046" s="470">
        <v>3841</v>
      </c>
      <c r="K3046" s="469">
        <v>1.52</v>
      </c>
    </row>
    <row r="3047" spans="2:11" x14ac:dyDescent="0.35">
      <c r="B3047" s="62">
        <v>8.5</v>
      </c>
      <c r="C3047" s="471">
        <v>3063</v>
      </c>
      <c r="D3047" s="471">
        <v>3040.2</v>
      </c>
      <c r="E3047" s="469">
        <v>10.25</v>
      </c>
      <c r="F3047" s="469">
        <v>5.6</v>
      </c>
      <c r="G3047" s="469">
        <v>6.6</v>
      </c>
      <c r="H3047" s="470">
        <v>218</v>
      </c>
      <c r="I3047" s="470">
        <v>506</v>
      </c>
      <c r="J3047" s="470">
        <v>3471</v>
      </c>
      <c r="K3047" s="469">
        <v>1.52</v>
      </c>
    </row>
    <row r="3048" spans="2:11" x14ac:dyDescent="0.35">
      <c r="B3048" s="62">
        <v>8.5</v>
      </c>
      <c r="C3048" s="471">
        <v>3064</v>
      </c>
      <c r="D3048" s="471">
        <v>3041.1</v>
      </c>
      <c r="E3048" s="469">
        <v>20.79</v>
      </c>
      <c r="F3048" s="469">
        <v>9.8000000000000007</v>
      </c>
      <c r="G3048" s="469">
        <v>8.3000000000000007</v>
      </c>
      <c r="H3048" s="470">
        <v>221</v>
      </c>
      <c r="I3048" s="470">
        <v>512</v>
      </c>
      <c r="J3048" s="470">
        <v>3783</v>
      </c>
      <c r="K3048" s="469">
        <v>1.52</v>
      </c>
    </row>
    <row r="3049" spans="2:11" x14ac:dyDescent="0.35">
      <c r="B3049" s="62">
        <v>8.5</v>
      </c>
      <c r="C3049" s="471">
        <v>3065</v>
      </c>
      <c r="D3049" s="471">
        <v>3042.2</v>
      </c>
      <c r="E3049" s="469">
        <v>26.27</v>
      </c>
      <c r="F3049" s="469">
        <v>10.9</v>
      </c>
      <c r="G3049" s="469">
        <v>9.1999999999999993</v>
      </c>
      <c r="H3049" s="470">
        <v>218</v>
      </c>
      <c r="I3049" s="470">
        <v>507</v>
      </c>
      <c r="J3049" s="470">
        <v>3967</v>
      </c>
      <c r="K3049" s="469">
        <v>1.52</v>
      </c>
    </row>
    <row r="3050" spans="2:11" x14ac:dyDescent="0.35">
      <c r="B3050" s="62">
        <v>8.5</v>
      </c>
      <c r="C3050" s="471">
        <v>3066</v>
      </c>
      <c r="D3050" s="471">
        <v>3043.1</v>
      </c>
      <c r="E3050" s="469">
        <v>21.72</v>
      </c>
      <c r="F3050" s="469">
        <v>11.1</v>
      </c>
      <c r="G3050" s="469">
        <v>8.9</v>
      </c>
      <c r="H3050" s="470">
        <v>221</v>
      </c>
      <c r="I3050" s="470">
        <v>511</v>
      </c>
      <c r="J3050" s="470">
        <v>3846</v>
      </c>
      <c r="K3050" s="469">
        <v>1.52</v>
      </c>
    </row>
    <row r="3051" spans="2:11" x14ac:dyDescent="0.35">
      <c r="B3051" s="62">
        <v>8.5</v>
      </c>
      <c r="C3051" s="471">
        <v>3067</v>
      </c>
      <c r="D3051" s="471">
        <v>3044.1</v>
      </c>
      <c r="E3051" s="469">
        <v>29.85</v>
      </c>
      <c r="F3051" s="469">
        <v>11.5</v>
      </c>
      <c r="G3051" s="469">
        <v>8.1999999999999993</v>
      </c>
      <c r="H3051" s="470">
        <v>223</v>
      </c>
      <c r="I3051" s="470">
        <v>512</v>
      </c>
      <c r="J3051" s="470">
        <v>3819</v>
      </c>
      <c r="K3051" s="469">
        <v>1.52</v>
      </c>
    </row>
    <row r="3052" spans="2:11" x14ac:dyDescent="0.35">
      <c r="B3052" s="62">
        <v>8.5</v>
      </c>
      <c r="C3052" s="471">
        <v>3068</v>
      </c>
      <c r="D3052" s="471">
        <v>3045.1</v>
      </c>
      <c r="E3052" s="469">
        <v>26.29</v>
      </c>
      <c r="F3052" s="469">
        <v>11.9</v>
      </c>
      <c r="G3052" s="469">
        <v>8.6</v>
      </c>
      <c r="H3052" s="470">
        <v>221</v>
      </c>
      <c r="I3052" s="470">
        <v>508</v>
      </c>
      <c r="J3052" s="470">
        <v>3896</v>
      </c>
      <c r="K3052" s="469">
        <v>1.52</v>
      </c>
    </row>
    <row r="3053" spans="2:11" x14ac:dyDescent="0.35">
      <c r="B3053" s="62">
        <v>8.5</v>
      </c>
      <c r="C3053" s="471">
        <v>3069</v>
      </c>
      <c r="D3053" s="471">
        <v>3046</v>
      </c>
      <c r="E3053" s="469">
        <v>24.14</v>
      </c>
      <c r="F3053" s="469">
        <v>11.7</v>
      </c>
      <c r="G3053" s="469">
        <v>8.6999999999999993</v>
      </c>
      <c r="H3053" s="470">
        <v>219</v>
      </c>
      <c r="I3053" s="470">
        <v>506</v>
      </c>
      <c r="J3053" s="470">
        <v>3933</v>
      </c>
      <c r="K3053" s="469">
        <v>1.52</v>
      </c>
    </row>
    <row r="3054" spans="2:11" x14ac:dyDescent="0.35">
      <c r="B3054" s="62">
        <v>8.5</v>
      </c>
      <c r="C3054" s="471">
        <v>3070</v>
      </c>
      <c r="D3054" s="471">
        <v>3047</v>
      </c>
      <c r="E3054" s="469">
        <v>25.81</v>
      </c>
      <c r="F3054" s="469">
        <v>11.9</v>
      </c>
      <c r="G3054" s="469">
        <v>8.3000000000000007</v>
      </c>
      <c r="H3054" s="470">
        <v>219</v>
      </c>
      <c r="I3054" s="470">
        <v>502</v>
      </c>
      <c r="J3054" s="470">
        <v>3958</v>
      </c>
      <c r="K3054" s="469">
        <v>1.52</v>
      </c>
    </row>
    <row r="3055" spans="2:11" x14ac:dyDescent="0.35">
      <c r="B3055" s="62">
        <v>8.5</v>
      </c>
      <c r="C3055" s="471">
        <v>3071</v>
      </c>
      <c r="D3055" s="471">
        <v>3048</v>
      </c>
      <c r="E3055" s="469">
        <v>27.28</v>
      </c>
      <c r="F3055" s="469">
        <v>11.2</v>
      </c>
      <c r="G3055" s="469">
        <v>8.4</v>
      </c>
      <c r="H3055" s="470">
        <v>220</v>
      </c>
      <c r="I3055" s="470">
        <v>502</v>
      </c>
      <c r="J3055" s="470">
        <v>3928</v>
      </c>
      <c r="K3055" s="469">
        <v>1.52</v>
      </c>
    </row>
    <row r="3056" spans="2:11" x14ac:dyDescent="0.35">
      <c r="B3056" s="62">
        <v>8.5</v>
      </c>
      <c r="C3056" s="471">
        <v>3072</v>
      </c>
      <c r="D3056" s="471">
        <v>3049</v>
      </c>
      <c r="E3056" s="469">
        <v>24.54</v>
      </c>
      <c r="F3056" s="469">
        <v>11.2</v>
      </c>
      <c r="G3056" s="469">
        <v>8.8000000000000007</v>
      </c>
      <c r="H3056" s="470">
        <v>220</v>
      </c>
      <c r="I3056" s="470">
        <v>507</v>
      </c>
      <c r="J3056" s="470">
        <v>3916</v>
      </c>
      <c r="K3056" s="469">
        <v>1.52</v>
      </c>
    </row>
    <row r="3057" spans="2:11" x14ac:dyDescent="0.35">
      <c r="B3057" s="62">
        <v>8.5</v>
      </c>
      <c r="C3057" s="471">
        <v>3073</v>
      </c>
      <c r="D3057" s="471">
        <v>3050</v>
      </c>
      <c r="E3057" s="469">
        <v>27.48</v>
      </c>
      <c r="F3057" s="469">
        <v>11.5</v>
      </c>
      <c r="G3057" s="469">
        <v>8.6999999999999993</v>
      </c>
      <c r="H3057" s="470">
        <v>218</v>
      </c>
      <c r="I3057" s="470">
        <v>502</v>
      </c>
      <c r="J3057" s="470">
        <v>3967</v>
      </c>
      <c r="K3057" s="469">
        <v>1.52</v>
      </c>
    </row>
    <row r="3058" spans="2:11" x14ac:dyDescent="0.35">
      <c r="B3058" s="62">
        <v>8.5</v>
      </c>
      <c r="C3058" s="471">
        <v>3074</v>
      </c>
      <c r="D3058" s="471">
        <v>3050.9</v>
      </c>
      <c r="E3058" s="469">
        <v>24.23</v>
      </c>
      <c r="F3058" s="469">
        <v>11.3</v>
      </c>
      <c r="G3058" s="469">
        <v>8.9</v>
      </c>
      <c r="H3058" s="470">
        <v>219</v>
      </c>
      <c r="I3058" s="470">
        <v>502</v>
      </c>
      <c r="J3058" s="470">
        <v>3961</v>
      </c>
      <c r="K3058" s="469">
        <v>1.52</v>
      </c>
    </row>
    <row r="3059" spans="2:11" x14ac:dyDescent="0.35">
      <c r="B3059" s="62">
        <v>8.5</v>
      </c>
      <c r="C3059" s="471">
        <v>3075</v>
      </c>
      <c r="D3059" s="471">
        <v>3051.9</v>
      </c>
      <c r="E3059" s="469">
        <v>22.2</v>
      </c>
      <c r="F3059" s="469">
        <v>11</v>
      </c>
      <c r="G3059" s="469">
        <v>9.1</v>
      </c>
      <c r="H3059" s="470">
        <v>217</v>
      </c>
      <c r="I3059" s="470">
        <v>504</v>
      </c>
      <c r="J3059" s="470">
        <v>3926</v>
      </c>
      <c r="K3059" s="469">
        <v>1.52</v>
      </c>
    </row>
    <row r="3060" spans="2:11" x14ac:dyDescent="0.35">
      <c r="B3060" s="62">
        <v>8.5</v>
      </c>
      <c r="C3060" s="471">
        <v>3076</v>
      </c>
      <c r="D3060" s="471">
        <v>3052.9</v>
      </c>
      <c r="E3060" s="469">
        <v>23.38</v>
      </c>
      <c r="F3060" s="469">
        <v>11.8</v>
      </c>
      <c r="G3060" s="469">
        <v>8.3000000000000007</v>
      </c>
      <c r="H3060" s="470">
        <v>219</v>
      </c>
      <c r="I3060" s="470">
        <v>501</v>
      </c>
      <c r="J3060" s="470">
        <v>3986</v>
      </c>
      <c r="K3060" s="469">
        <v>1.52</v>
      </c>
    </row>
    <row r="3061" spans="2:11" x14ac:dyDescent="0.35">
      <c r="B3061" s="62">
        <v>8.5</v>
      </c>
      <c r="C3061" s="471">
        <v>3077</v>
      </c>
      <c r="D3061" s="471">
        <v>3053.9</v>
      </c>
      <c r="E3061" s="469">
        <v>18.010000000000002</v>
      </c>
      <c r="F3061" s="469">
        <v>11.9</v>
      </c>
      <c r="G3061" s="469">
        <v>7.7</v>
      </c>
      <c r="H3061" s="470">
        <v>220</v>
      </c>
      <c r="I3061" s="470">
        <v>501</v>
      </c>
      <c r="J3061" s="470">
        <v>3960</v>
      </c>
      <c r="K3061" s="469">
        <v>1.52</v>
      </c>
    </row>
    <row r="3062" spans="2:11" x14ac:dyDescent="0.35">
      <c r="B3062" s="62">
        <v>8.5</v>
      </c>
      <c r="C3062" s="471">
        <v>3078</v>
      </c>
      <c r="D3062" s="471">
        <v>3054.9</v>
      </c>
      <c r="E3062" s="469">
        <v>19.350000000000001</v>
      </c>
      <c r="F3062" s="469">
        <v>11.4</v>
      </c>
      <c r="G3062" s="469">
        <v>8.6999999999999993</v>
      </c>
      <c r="H3062" s="470">
        <v>219</v>
      </c>
      <c r="I3062" s="470">
        <v>499</v>
      </c>
      <c r="J3062" s="470">
        <v>3980</v>
      </c>
      <c r="K3062" s="469">
        <v>1.52</v>
      </c>
    </row>
    <row r="3063" spans="2:11" x14ac:dyDescent="0.35">
      <c r="B3063" s="62">
        <v>8.5</v>
      </c>
      <c r="C3063" s="471">
        <v>3079</v>
      </c>
      <c r="D3063" s="471">
        <v>3055.9</v>
      </c>
      <c r="E3063" s="469">
        <v>16.489999999999998</v>
      </c>
      <c r="F3063" s="469">
        <v>12.1</v>
      </c>
      <c r="G3063" s="469">
        <v>8.3000000000000007</v>
      </c>
      <c r="H3063" s="470">
        <v>220</v>
      </c>
      <c r="I3063" s="470">
        <v>504</v>
      </c>
      <c r="J3063" s="470">
        <v>3952</v>
      </c>
      <c r="K3063" s="469">
        <v>1.52</v>
      </c>
    </row>
    <row r="3064" spans="2:11" x14ac:dyDescent="0.35">
      <c r="B3064" s="62">
        <v>8.5</v>
      </c>
      <c r="C3064" s="471">
        <v>3080</v>
      </c>
      <c r="D3064" s="471">
        <v>3056.8</v>
      </c>
      <c r="E3064" s="469">
        <v>22.51</v>
      </c>
      <c r="F3064" s="469">
        <v>11.4</v>
      </c>
      <c r="G3064" s="469">
        <v>8.5</v>
      </c>
      <c r="H3064" s="470">
        <v>222</v>
      </c>
      <c r="I3064" s="470">
        <v>510</v>
      </c>
      <c r="J3064" s="470">
        <v>3915</v>
      </c>
      <c r="K3064" s="469">
        <v>1.52</v>
      </c>
    </row>
    <row r="3065" spans="2:11" x14ac:dyDescent="0.35">
      <c r="B3065" s="62">
        <v>8.5</v>
      </c>
      <c r="C3065" s="471">
        <v>3081</v>
      </c>
      <c r="D3065" s="471">
        <v>3057.9</v>
      </c>
      <c r="E3065" s="469">
        <v>15.2</v>
      </c>
      <c r="F3065" s="469">
        <v>11.4</v>
      </c>
      <c r="G3065" s="469">
        <v>6.8</v>
      </c>
      <c r="H3065" s="470">
        <v>222</v>
      </c>
      <c r="I3065" s="470">
        <v>509</v>
      </c>
      <c r="J3065" s="470">
        <v>3875</v>
      </c>
      <c r="K3065" s="469">
        <v>1.52</v>
      </c>
    </row>
    <row r="3066" spans="2:11" x14ac:dyDescent="0.35">
      <c r="B3066" s="62">
        <v>8.5</v>
      </c>
      <c r="C3066" s="471">
        <v>3082</v>
      </c>
      <c r="D3066" s="471">
        <v>3058.8</v>
      </c>
      <c r="E3066" s="469">
        <v>18.690000000000001</v>
      </c>
      <c r="F3066" s="469">
        <v>11.6</v>
      </c>
      <c r="G3066" s="469">
        <v>7.4</v>
      </c>
      <c r="H3066" s="470">
        <v>222</v>
      </c>
      <c r="I3066" s="470">
        <v>511</v>
      </c>
      <c r="J3066" s="470">
        <v>3849</v>
      </c>
      <c r="K3066" s="469">
        <v>1.52</v>
      </c>
    </row>
    <row r="3067" spans="2:11" x14ac:dyDescent="0.35">
      <c r="B3067" s="62">
        <v>8.5</v>
      </c>
      <c r="C3067" s="471">
        <v>3083</v>
      </c>
      <c r="D3067" s="471">
        <v>3059.8</v>
      </c>
      <c r="E3067" s="469">
        <v>4.5199999999999996</v>
      </c>
      <c r="F3067" s="469">
        <v>12.3</v>
      </c>
      <c r="G3067" s="469">
        <v>5.8</v>
      </c>
      <c r="H3067" s="470">
        <v>223</v>
      </c>
      <c r="I3067" s="470">
        <v>512</v>
      </c>
      <c r="J3067" s="470">
        <v>3836</v>
      </c>
      <c r="K3067" s="469">
        <v>1.52</v>
      </c>
    </row>
    <row r="3068" spans="2:11" x14ac:dyDescent="0.35">
      <c r="B3068" s="62">
        <v>8.5</v>
      </c>
      <c r="C3068" s="471">
        <v>3084</v>
      </c>
      <c r="D3068" s="471">
        <v>3060.8</v>
      </c>
      <c r="E3068" s="469">
        <v>4.2</v>
      </c>
      <c r="F3068" s="469">
        <v>12.5</v>
      </c>
      <c r="G3068" s="469">
        <v>5.9</v>
      </c>
      <c r="H3068" s="470">
        <v>223</v>
      </c>
      <c r="I3068" s="470">
        <v>513</v>
      </c>
      <c r="J3068" s="470">
        <v>3818</v>
      </c>
      <c r="K3068" s="469">
        <v>1.52</v>
      </c>
    </row>
    <row r="3069" spans="2:11" x14ac:dyDescent="0.35">
      <c r="B3069" s="62">
        <v>8.5</v>
      </c>
      <c r="C3069" s="471">
        <v>3085</v>
      </c>
      <c r="D3069" s="471">
        <v>3061.8</v>
      </c>
      <c r="E3069" s="469">
        <v>8.19</v>
      </c>
      <c r="F3069" s="469">
        <v>11.8</v>
      </c>
      <c r="G3069" s="469">
        <v>6</v>
      </c>
      <c r="H3069" s="470">
        <v>222</v>
      </c>
      <c r="I3069" s="470">
        <v>509</v>
      </c>
      <c r="J3069" s="470">
        <v>3871</v>
      </c>
      <c r="K3069" s="469">
        <v>1.52</v>
      </c>
    </row>
    <row r="3070" spans="2:11" x14ac:dyDescent="0.35">
      <c r="B3070" s="62">
        <v>8.5</v>
      </c>
      <c r="C3070" s="471">
        <v>3086</v>
      </c>
      <c r="D3070" s="471">
        <v>3062.8</v>
      </c>
      <c r="E3070" s="469">
        <v>20.85</v>
      </c>
      <c r="F3070" s="469">
        <v>11.7</v>
      </c>
      <c r="G3070" s="469">
        <v>7.1</v>
      </c>
      <c r="H3070" s="470">
        <v>220</v>
      </c>
      <c r="I3070" s="470">
        <v>502</v>
      </c>
      <c r="J3070" s="470">
        <v>3989</v>
      </c>
      <c r="K3070" s="469">
        <v>1.52</v>
      </c>
    </row>
    <row r="3071" spans="2:11" x14ac:dyDescent="0.35">
      <c r="B3071" s="62">
        <v>8.5</v>
      </c>
      <c r="C3071" s="471">
        <v>3087</v>
      </c>
      <c r="D3071" s="471">
        <v>3063.8</v>
      </c>
      <c r="E3071" s="469">
        <v>15.53</v>
      </c>
      <c r="F3071" s="469">
        <v>11.8</v>
      </c>
      <c r="G3071" s="469">
        <v>6.7</v>
      </c>
      <c r="H3071" s="470">
        <v>222</v>
      </c>
      <c r="I3071" s="470">
        <v>509</v>
      </c>
      <c r="J3071" s="470">
        <v>3924</v>
      </c>
      <c r="K3071" s="469">
        <v>1.52</v>
      </c>
    </row>
    <row r="3072" spans="2:11" x14ac:dyDescent="0.35">
      <c r="B3072" s="62">
        <v>8.5</v>
      </c>
      <c r="C3072" s="471">
        <v>3088</v>
      </c>
      <c r="D3072" s="471">
        <v>3064.8</v>
      </c>
      <c r="E3072" s="469">
        <v>17.22</v>
      </c>
      <c r="F3072" s="469">
        <v>11.7</v>
      </c>
      <c r="G3072" s="469">
        <v>6.8</v>
      </c>
      <c r="H3072" s="470">
        <v>222</v>
      </c>
      <c r="I3072" s="470">
        <v>510</v>
      </c>
      <c r="J3072" s="470">
        <v>3916</v>
      </c>
      <c r="K3072" s="469">
        <v>1.52</v>
      </c>
    </row>
    <row r="3073" spans="2:11" x14ac:dyDescent="0.35">
      <c r="B3073" s="62">
        <v>8.5</v>
      </c>
      <c r="C3073" s="471">
        <v>3089</v>
      </c>
      <c r="D3073" s="471">
        <v>3065.7</v>
      </c>
      <c r="E3073" s="469">
        <v>11.78</v>
      </c>
      <c r="F3073" s="469">
        <v>11.2</v>
      </c>
      <c r="G3073" s="469">
        <v>6.5</v>
      </c>
      <c r="H3073" s="470">
        <v>223</v>
      </c>
      <c r="I3073" s="470">
        <v>512</v>
      </c>
      <c r="J3073" s="470">
        <v>3871</v>
      </c>
      <c r="K3073" s="469">
        <v>1.52</v>
      </c>
    </row>
    <row r="3074" spans="2:11" x14ac:dyDescent="0.35">
      <c r="B3074" s="62">
        <v>8.5</v>
      </c>
      <c r="C3074" s="471">
        <v>3090</v>
      </c>
      <c r="D3074" s="471">
        <v>3066.7</v>
      </c>
      <c r="E3074" s="469">
        <v>25</v>
      </c>
      <c r="F3074" s="469">
        <v>11</v>
      </c>
      <c r="G3074" s="469">
        <v>6.9</v>
      </c>
      <c r="H3074" s="470">
        <v>222</v>
      </c>
      <c r="I3074" s="470">
        <v>510</v>
      </c>
      <c r="J3074" s="470">
        <v>3938</v>
      </c>
      <c r="K3074" s="469">
        <v>1.52</v>
      </c>
    </row>
    <row r="3075" spans="2:11" x14ac:dyDescent="0.35">
      <c r="B3075" s="62">
        <v>8.5</v>
      </c>
      <c r="C3075" s="471">
        <v>3091</v>
      </c>
      <c r="D3075" s="471">
        <v>3067.7</v>
      </c>
      <c r="E3075" s="469">
        <v>18.37</v>
      </c>
      <c r="F3075" s="469">
        <v>10.9</v>
      </c>
      <c r="G3075" s="469">
        <v>7.1</v>
      </c>
      <c r="H3075" s="470">
        <v>221</v>
      </c>
      <c r="I3075" s="470">
        <v>505</v>
      </c>
      <c r="J3075" s="470">
        <v>3997</v>
      </c>
      <c r="K3075" s="469">
        <v>1.52</v>
      </c>
    </row>
    <row r="3076" spans="2:11" x14ac:dyDescent="0.35">
      <c r="B3076" s="62">
        <v>8.5</v>
      </c>
      <c r="C3076" s="471">
        <v>3092</v>
      </c>
      <c r="D3076" s="471">
        <v>3068.7</v>
      </c>
      <c r="E3076" s="469">
        <v>8.4600000000000009</v>
      </c>
      <c r="F3076" s="469">
        <v>6.1</v>
      </c>
      <c r="G3076" s="469">
        <v>6.6</v>
      </c>
      <c r="H3076" s="470">
        <v>220</v>
      </c>
      <c r="I3076" s="470">
        <v>506</v>
      </c>
      <c r="J3076" s="470">
        <v>3690</v>
      </c>
      <c r="K3076" s="469">
        <v>1.52</v>
      </c>
    </row>
    <row r="3077" spans="2:11" x14ac:dyDescent="0.35">
      <c r="B3077" s="62">
        <v>8.5</v>
      </c>
      <c r="C3077" s="471">
        <v>3093</v>
      </c>
      <c r="D3077" s="471">
        <v>3069.7</v>
      </c>
      <c r="E3077" s="469">
        <v>11.42</v>
      </c>
      <c r="F3077" s="469">
        <v>10.5</v>
      </c>
      <c r="G3077" s="469">
        <v>7.2</v>
      </c>
      <c r="H3077" s="470">
        <v>220</v>
      </c>
      <c r="I3077" s="470">
        <v>505</v>
      </c>
      <c r="J3077" s="470">
        <v>3717</v>
      </c>
      <c r="K3077" s="469">
        <v>1.52</v>
      </c>
    </row>
    <row r="3078" spans="2:11" x14ac:dyDescent="0.35">
      <c r="B3078" s="62">
        <v>8.5</v>
      </c>
      <c r="C3078" s="471">
        <v>3094</v>
      </c>
      <c r="D3078" s="471">
        <v>3070.7</v>
      </c>
      <c r="E3078" s="469">
        <v>10.130000000000001</v>
      </c>
      <c r="F3078" s="469">
        <v>11.5</v>
      </c>
      <c r="G3078" s="469">
        <v>7.3</v>
      </c>
      <c r="H3078" s="470">
        <v>219</v>
      </c>
      <c r="I3078" s="470">
        <v>504</v>
      </c>
      <c r="J3078" s="470">
        <v>3725</v>
      </c>
      <c r="K3078" s="469">
        <v>1.52</v>
      </c>
    </row>
    <row r="3079" spans="2:11" x14ac:dyDescent="0.35">
      <c r="B3079" s="62">
        <v>8.5</v>
      </c>
      <c r="C3079" s="471">
        <v>3095</v>
      </c>
      <c r="D3079" s="471">
        <v>3071.7</v>
      </c>
      <c r="E3079" s="469">
        <v>8.3800000000000008</v>
      </c>
      <c r="F3079" s="469">
        <v>11.5</v>
      </c>
      <c r="G3079" s="469">
        <v>6.6</v>
      </c>
      <c r="H3079" s="470">
        <v>219</v>
      </c>
      <c r="I3079" s="470">
        <v>505</v>
      </c>
      <c r="J3079" s="470">
        <v>3656</v>
      </c>
      <c r="K3079" s="469">
        <v>1.52</v>
      </c>
    </row>
    <row r="3080" spans="2:11" x14ac:dyDescent="0.35">
      <c r="B3080" s="62">
        <v>8.5</v>
      </c>
      <c r="C3080" s="471">
        <v>3096</v>
      </c>
      <c r="D3080" s="471">
        <v>3072.7</v>
      </c>
      <c r="E3080" s="469">
        <v>7.41</v>
      </c>
      <c r="F3080" s="469">
        <v>11.4</v>
      </c>
      <c r="G3080" s="469">
        <v>6.8</v>
      </c>
      <c r="H3080" s="470">
        <v>219</v>
      </c>
      <c r="I3080" s="470">
        <v>503</v>
      </c>
      <c r="J3080" s="470">
        <v>3724</v>
      </c>
      <c r="K3080" s="469">
        <v>1.52</v>
      </c>
    </row>
    <row r="3081" spans="2:11" x14ac:dyDescent="0.35">
      <c r="B3081" s="62">
        <v>8.5</v>
      </c>
      <c r="C3081" s="471">
        <v>3097</v>
      </c>
      <c r="D3081" s="471">
        <v>3073.7</v>
      </c>
      <c r="E3081" s="469">
        <v>4.8099999999999996</v>
      </c>
      <c r="F3081" s="469">
        <v>11.9</v>
      </c>
      <c r="G3081" s="469">
        <v>6.3</v>
      </c>
      <c r="H3081" s="470">
        <v>220</v>
      </c>
      <c r="I3081" s="470">
        <v>505</v>
      </c>
      <c r="J3081" s="470">
        <v>3647</v>
      </c>
      <c r="K3081" s="469">
        <v>1.52</v>
      </c>
    </row>
    <row r="3082" spans="2:11" x14ac:dyDescent="0.35">
      <c r="B3082" s="62">
        <v>8.5</v>
      </c>
      <c r="C3082" s="471">
        <v>3098</v>
      </c>
      <c r="D3082" s="471">
        <v>3074.7</v>
      </c>
      <c r="E3082" s="469">
        <v>5.68</v>
      </c>
      <c r="F3082" s="469">
        <v>11.9</v>
      </c>
      <c r="G3082" s="469">
        <v>5.5</v>
      </c>
      <c r="H3082" s="470">
        <v>219</v>
      </c>
      <c r="I3082" s="470">
        <v>504</v>
      </c>
      <c r="J3082" s="470">
        <v>3650</v>
      </c>
      <c r="K3082" s="469">
        <v>1.52</v>
      </c>
    </row>
    <row r="3083" spans="2:11" x14ac:dyDescent="0.35">
      <c r="B3083" s="62">
        <v>8.5</v>
      </c>
      <c r="C3083" s="471">
        <v>3099</v>
      </c>
      <c r="D3083" s="471">
        <v>3075.6</v>
      </c>
      <c r="E3083" s="469">
        <v>9.49</v>
      </c>
      <c r="F3083" s="469">
        <v>11.7</v>
      </c>
      <c r="G3083" s="469">
        <v>7.4</v>
      </c>
      <c r="H3083" s="470">
        <v>216</v>
      </c>
      <c r="I3083" s="470">
        <v>500</v>
      </c>
      <c r="J3083" s="470">
        <v>3856</v>
      </c>
      <c r="K3083" s="469">
        <v>1.52</v>
      </c>
    </row>
    <row r="3084" spans="2:11" x14ac:dyDescent="0.35">
      <c r="B3084" s="62">
        <v>8.5</v>
      </c>
      <c r="C3084" s="471">
        <v>3100</v>
      </c>
      <c r="D3084" s="471">
        <v>3076.6</v>
      </c>
      <c r="E3084" s="469">
        <v>15.95</v>
      </c>
      <c r="F3084" s="469">
        <v>11.3</v>
      </c>
      <c r="G3084" s="469">
        <v>8.6999999999999993</v>
      </c>
      <c r="H3084" s="470">
        <v>213</v>
      </c>
      <c r="I3084" s="470">
        <v>499</v>
      </c>
      <c r="J3084" s="470">
        <v>3876</v>
      </c>
      <c r="K3084" s="469">
        <v>1.52</v>
      </c>
    </row>
    <row r="3085" spans="2:11" x14ac:dyDescent="0.35">
      <c r="B3085" s="62">
        <v>8.5</v>
      </c>
      <c r="C3085" s="471">
        <v>3101</v>
      </c>
      <c r="D3085" s="471">
        <v>3077.6</v>
      </c>
      <c r="E3085" s="469">
        <v>23.93</v>
      </c>
      <c r="F3085" s="469">
        <v>11.2</v>
      </c>
      <c r="G3085" s="469">
        <v>8.5</v>
      </c>
      <c r="H3085" s="470">
        <v>215</v>
      </c>
      <c r="I3085" s="470">
        <v>496</v>
      </c>
      <c r="J3085" s="470">
        <v>3942</v>
      </c>
      <c r="K3085" s="469">
        <v>1.52</v>
      </c>
    </row>
    <row r="3086" spans="2:11" x14ac:dyDescent="0.35">
      <c r="B3086" s="62">
        <v>8.5</v>
      </c>
      <c r="C3086" s="471">
        <v>3102</v>
      </c>
      <c r="D3086" s="471">
        <v>3078.6</v>
      </c>
      <c r="E3086" s="469">
        <v>20.46</v>
      </c>
      <c r="F3086" s="469">
        <v>11.6</v>
      </c>
      <c r="G3086" s="469">
        <v>7.5</v>
      </c>
      <c r="H3086" s="470">
        <v>217</v>
      </c>
      <c r="I3086" s="470">
        <v>499</v>
      </c>
      <c r="J3086" s="470">
        <v>3941</v>
      </c>
      <c r="K3086" s="469">
        <v>1.52</v>
      </c>
    </row>
    <row r="3087" spans="2:11" x14ac:dyDescent="0.35">
      <c r="B3087" s="62">
        <v>8.5</v>
      </c>
      <c r="C3087" s="471">
        <v>3103</v>
      </c>
      <c r="D3087" s="471">
        <v>3079.6</v>
      </c>
      <c r="E3087" s="469">
        <v>10.210000000000001</v>
      </c>
      <c r="F3087" s="469">
        <v>11.9</v>
      </c>
      <c r="G3087" s="469">
        <v>7.2</v>
      </c>
      <c r="H3087" s="470">
        <v>218</v>
      </c>
      <c r="I3087" s="470">
        <v>498</v>
      </c>
      <c r="J3087" s="470">
        <v>3893</v>
      </c>
      <c r="K3087" s="469">
        <v>1.52</v>
      </c>
    </row>
    <row r="3088" spans="2:11" x14ac:dyDescent="0.35">
      <c r="B3088" s="62">
        <v>8.5</v>
      </c>
      <c r="C3088" s="471">
        <v>3104</v>
      </c>
      <c r="D3088" s="471">
        <v>3080.6</v>
      </c>
      <c r="E3088" s="469">
        <v>9.48</v>
      </c>
      <c r="F3088" s="469">
        <v>12.1</v>
      </c>
      <c r="G3088" s="469">
        <v>6.8</v>
      </c>
      <c r="H3088" s="470">
        <v>218</v>
      </c>
      <c r="I3088" s="470">
        <v>502</v>
      </c>
      <c r="J3088" s="470">
        <v>3823</v>
      </c>
      <c r="K3088" s="469">
        <v>1.52</v>
      </c>
    </row>
    <row r="3089" spans="2:11" x14ac:dyDescent="0.35">
      <c r="B3089" s="62">
        <v>8.5</v>
      </c>
      <c r="C3089" s="471">
        <v>3105</v>
      </c>
      <c r="D3089" s="471">
        <v>3081.5</v>
      </c>
      <c r="E3089" s="469">
        <v>17.8</v>
      </c>
      <c r="F3089" s="469">
        <v>11.6</v>
      </c>
      <c r="G3089" s="469">
        <v>7.7</v>
      </c>
      <c r="H3089" s="470">
        <v>216</v>
      </c>
      <c r="I3089" s="470">
        <v>499</v>
      </c>
      <c r="J3089" s="470">
        <v>3843</v>
      </c>
      <c r="K3089" s="469">
        <v>1.52</v>
      </c>
    </row>
    <row r="3090" spans="2:11" x14ac:dyDescent="0.35">
      <c r="B3090" s="62">
        <v>8.5</v>
      </c>
      <c r="C3090" s="471">
        <v>3106</v>
      </c>
      <c r="D3090" s="471">
        <v>3082.5</v>
      </c>
      <c r="E3090" s="469">
        <v>12.6</v>
      </c>
      <c r="F3090" s="469">
        <v>10.9</v>
      </c>
      <c r="G3090" s="469">
        <v>7.1</v>
      </c>
      <c r="H3090" s="470">
        <v>218</v>
      </c>
      <c r="I3090" s="470">
        <v>499</v>
      </c>
      <c r="J3090" s="470">
        <v>3836</v>
      </c>
      <c r="K3090" s="469">
        <v>1.52</v>
      </c>
    </row>
    <row r="3091" spans="2:11" x14ac:dyDescent="0.35">
      <c r="B3091" s="62">
        <v>8.5</v>
      </c>
      <c r="C3091" s="471">
        <v>3107</v>
      </c>
      <c r="D3091" s="471">
        <v>3083.5</v>
      </c>
      <c r="E3091" s="469">
        <v>8.76</v>
      </c>
      <c r="F3091" s="469">
        <v>12.1</v>
      </c>
      <c r="G3091" s="469">
        <v>6.7</v>
      </c>
      <c r="H3091" s="470">
        <v>218</v>
      </c>
      <c r="I3091" s="470">
        <v>500</v>
      </c>
      <c r="J3091" s="470">
        <v>3819</v>
      </c>
      <c r="K3091" s="469">
        <v>1.52</v>
      </c>
    </row>
    <row r="3092" spans="2:11" x14ac:dyDescent="0.35">
      <c r="B3092" s="62">
        <v>8.5</v>
      </c>
      <c r="C3092" s="471">
        <v>3108</v>
      </c>
      <c r="D3092" s="471">
        <v>3084.5</v>
      </c>
      <c r="E3092" s="469">
        <v>6.54</v>
      </c>
      <c r="F3092" s="469">
        <v>11.9</v>
      </c>
      <c r="G3092" s="469">
        <v>6.9</v>
      </c>
      <c r="H3092" s="470">
        <v>217</v>
      </c>
      <c r="I3092" s="470">
        <v>498</v>
      </c>
      <c r="J3092" s="470">
        <v>3928</v>
      </c>
      <c r="K3092" s="469">
        <v>1.52</v>
      </c>
    </row>
    <row r="3093" spans="2:11" x14ac:dyDescent="0.35">
      <c r="B3093" s="62">
        <v>8.5</v>
      </c>
      <c r="C3093" s="471">
        <v>3109</v>
      </c>
      <c r="D3093" s="471">
        <v>3085.5</v>
      </c>
      <c r="E3093" s="469">
        <v>7.83</v>
      </c>
      <c r="F3093" s="469">
        <v>11.9</v>
      </c>
      <c r="G3093" s="469">
        <v>7</v>
      </c>
      <c r="H3093" s="470">
        <v>218</v>
      </c>
      <c r="I3093" s="470">
        <v>499</v>
      </c>
      <c r="J3093" s="470">
        <v>3891</v>
      </c>
      <c r="K3093" s="469">
        <v>1.52</v>
      </c>
    </row>
    <row r="3094" spans="2:11" x14ac:dyDescent="0.35">
      <c r="B3094" s="62">
        <v>8.5</v>
      </c>
      <c r="C3094" s="471">
        <v>3110</v>
      </c>
      <c r="D3094" s="471">
        <v>3086.51</v>
      </c>
      <c r="E3094" s="469">
        <v>20.37</v>
      </c>
      <c r="F3094" s="469">
        <v>11.1</v>
      </c>
      <c r="G3094" s="469">
        <v>8.1</v>
      </c>
      <c r="H3094" s="470">
        <v>217</v>
      </c>
      <c r="I3094" s="470">
        <v>497</v>
      </c>
      <c r="J3094" s="470">
        <v>4044</v>
      </c>
      <c r="K3094" s="469">
        <v>1.52</v>
      </c>
    </row>
    <row r="3095" spans="2:11" x14ac:dyDescent="0.35">
      <c r="B3095" s="62">
        <v>8.5</v>
      </c>
      <c r="C3095" s="471">
        <v>3111</v>
      </c>
      <c r="D3095" s="471">
        <v>3087.51</v>
      </c>
      <c r="E3095" s="469">
        <v>23.79</v>
      </c>
      <c r="F3095" s="469">
        <v>11.2</v>
      </c>
      <c r="G3095" s="469">
        <v>8.6999999999999993</v>
      </c>
      <c r="H3095" s="470">
        <v>217</v>
      </c>
      <c r="I3095" s="470">
        <v>499</v>
      </c>
      <c r="J3095" s="470">
        <v>4095</v>
      </c>
      <c r="K3095" s="469">
        <v>1.52</v>
      </c>
    </row>
    <row r="3096" spans="2:11" x14ac:dyDescent="0.35">
      <c r="B3096" s="62">
        <v>8.5</v>
      </c>
      <c r="C3096" s="471">
        <v>3112</v>
      </c>
      <c r="D3096" s="471">
        <v>3088.49</v>
      </c>
      <c r="E3096" s="469">
        <v>24.89</v>
      </c>
      <c r="F3096" s="469">
        <v>11.1</v>
      </c>
      <c r="G3096" s="469">
        <v>8.5</v>
      </c>
      <c r="H3096" s="470">
        <v>217</v>
      </c>
      <c r="I3096" s="470">
        <v>497</v>
      </c>
      <c r="J3096" s="470">
        <v>4050</v>
      </c>
      <c r="K3096" s="469">
        <v>1.52</v>
      </c>
    </row>
    <row r="3097" spans="2:11" x14ac:dyDescent="0.35">
      <c r="B3097" s="62">
        <v>8.5</v>
      </c>
      <c r="C3097" s="471">
        <v>3113</v>
      </c>
      <c r="D3097" s="471">
        <v>3089.45</v>
      </c>
      <c r="E3097" s="469">
        <v>21.05</v>
      </c>
      <c r="F3097" s="469">
        <v>11.3</v>
      </c>
      <c r="G3097" s="469">
        <v>8.9</v>
      </c>
      <c r="H3097" s="470">
        <v>215</v>
      </c>
      <c r="I3097" s="470">
        <v>498</v>
      </c>
      <c r="J3097" s="470">
        <v>4008</v>
      </c>
      <c r="K3097" s="469">
        <v>1.52</v>
      </c>
    </row>
    <row r="3098" spans="2:11" x14ac:dyDescent="0.35">
      <c r="B3098" s="62">
        <v>8.5</v>
      </c>
      <c r="C3098" s="471">
        <v>3114</v>
      </c>
      <c r="D3098" s="471">
        <v>3090.44</v>
      </c>
      <c r="E3098" s="469">
        <v>22.4</v>
      </c>
      <c r="F3098" s="469">
        <v>11.3</v>
      </c>
      <c r="G3098" s="469">
        <v>8.6</v>
      </c>
      <c r="H3098" s="470">
        <v>216</v>
      </c>
      <c r="I3098" s="470">
        <v>497</v>
      </c>
      <c r="J3098" s="470">
        <v>4021</v>
      </c>
      <c r="K3098" s="469">
        <v>1.52</v>
      </c>
    </row>
    <row r="3099" spans="2:11" x14ac:dyDescent="0.35">
      <c r="B3099" s="62">
        <v>8.5</v>
      </c>
      <c r="C3099" s="471">
        <v>3115</v>
      </c>
      <c r="D3099" s="471">
        <v>3091.46</v>
      </c>
      <c r="E3099" s="469">
        <v>22.78</v>
      </c>
      <c r="F3099" s="469">
        <v>10.7</v>
      </c>
      <c r="G3099" s="469">
        <v>8.9</v>
      </c>
      <c r="H3099" s="470">
        <v>214</v>
      </c>
      <c r="I3099" s="470">
        <v>497</v>
      </c>
      <c r="J3099" s="470">
        <v>4065</v>
      </c>
      <c r="K3099" s="469">
        <v>1.52</v>
      </c>
    </row>
    <row r="3100" spans="2:11" x14ac:dyDescent="0.35">
      <c r="B3100" s="62">
        <v>8.5</v>
      </c>
      <c r="C3100" s="471">
        <v>3116</v>
      </c>
      <c r="D3100" s="471">
        <v>3092.43</v>
      </c>
      <c r="E3100" s="469">
        <v>25.43</v>
      </c>
      <c r="F3100" s="469">
        <v>11.1</v>
      </c>
      <c r="G3100" s="469">
        <v>9</v>
      </c>
      <c r="H3100" s="470">
        <v>217</v>
      </c>
      <c r="I3100" s="470">
        <v>498</v>
      </c>
      <c r="J3100" s="470">
        <v>4082</v>
      </c>
      <c r="K3100" s="469">
        <v>1.52</v>
      </c>
    </row>
    <row r="3101" spans="2:11" x14ac:dyDescent="0.35">
      <c r="B3101" s="62">
        <v>8.5</v>
      </c>
      <c r="C3101" s="471">
        <v>3117</v>
      </c>
      <c r="D3101" s="471">
        <v>3093.43</v>
      </c>
      <c r="E3101" s="469">
        <v>26.65</v>
      </c>
      <c r="F3101" s="469">
        <v>10.9</v>
      </c>
      <c r="G3101" s="469">
        <v>9.1999999999999993</v>
      </c>
      <c r="H3101" s="470">
        <v>216</v>
      </c>
      <c r="I3101" s="470">
        <v>497</v>
      </c>
      <c r="J3101" s="470">
        <v>4043</v>
      </c>
      <c r="K3101" s="469">
        <v>1.52</v>
      </c>
    </row>
    <row r="3102" spans="2:11" x14ac:dyDescent="0.35">
      <c r="B3102" s="62">
        <v>8.5</v>
      </c>
      <c r="C3102" s="471">
        <v>3118</v>
      </c>
      <c r="D3102" s="471">
        <v>3094.39</v>
      </c>
      <c r="E3102" s="469">
        <v>23.01</v>
      </c>
      <c r="F3102" s="469">
        <v>10.7</v>
      </c>
      <c r="G3102" s="469">
        <v>8.4</v>
      </c>
      <c r="H3102" s="470">
        <v>216</v>
      </c>
      <c r="I3102" s="470">
        <v>498</v>
      </c>
      <c r="J3102" s="470">
        <v>4038</v>
      </c>
      <c r="K3102" s="469">
        <v>1.52</v>
      </c>
    </row>
    <row r="3103" spans="2:11" x14ac:dyDescent="0.35">
      <c r="B3103" s="62">
        <v>8.5</v>
      </c>
      <c r="C3103" s="471">
        <v>3119</v>
      </c>
      <c r="D3103" s="471">
        <v>3095.43</v>
      </c>
      <c r="E3103" s="469">
        <v>23.33</v>
      </c>
      <c r="F3103" s="469">
        <v>9.9</v>
      </c>
      <c r="G3103" s="469">
        <v>8.9</v>
      </c>
      <c r="H3103" s="470">
        <v>216</v>
      </c>
      <c r="I3103" s="470">
        <v>498</v>
      </c>
      <c r="J3103" s="470">
        <v>4026</v>
      </c>
      <c r="K3103" s="469">
        <v>1.52</v>
      </c>
    </row>
    <row r="3104" spans="2:11" x14ac:dyDescent="0.35">
      <c r="B3104" s="62">
        <v>8.5</v>
      </c>
      <c r="C3104" s="471">
        <v>3120</v>
      </c>
      <c r="D3104" s="471">
        <v>3096.37</v>
      </c>
      <c r="E3104" s="469">
        <v>24.92</v>
      </c>
      <c r="F3104" s="469">
        <v>9</v>
      </c>
      <c r="G3104" s="469">
        <v>8.9</v>
      </c>
      <c r="H3104" s="470">
        <v>214</v>
      </c>
      <c r="I3104" s="470">
        <v>497</v>
      </c>
      <c r="J3104" s="470">
        <v>4096</v>
      </c>
      <c r="K3104" s="469">
        <v>1.52</v>
      </c>
    </row>
    <row r="3105" spans="2:11" x14ac:dyDescent="0.35">
      <c r="B3105" s="62">
        <v>8.5</v>
      </c>
      <c r="C3105" s="471">
        <v>3121</v>
      </c>
      <c r="D3105" s="471">
        <v>3097.39</v>
      </c>
      <c r="E3105" s="469">
        <v>11.99</v>
      </c>
      <c r="F3105" s="469">
        <v>6.7</v>
      </c>
      <c r="G3105" s="469">
        <v>7.3</v>
      </c>
      <c r="H3105" s="470">
        <v>212</v>
      </c>
      <c r="I3105" s="470">
        <v>501</v>
      </c>
      <c r="J3105" s="470">
        <v>3835</v>
      </c>
      <c r="K3105" s="469">
        <v>1.52</v>
      </c>
    </row>
    <row r="3106" spans="2:11" x14ac:dyDescent="0.35">
      <c r="B3106" s="62">
        <v>8.5</v>
      </c>
      <c r="C3106" s="471">
        <v>3122</v>
      </c>
      <c r="D3106" s="471">
        <v>3098.39</v>
      </c>
      <c r="E3106" s="469">
        <v>10.19</v>
      </c>
      <c r="F3106" s="469">
        <v>10.8</v>
      </c>
      <c r="G3106" s="469">
        <v>7.2</v>
      </c>
      <c r="H3106" s="470">
        <v>208</v>
      </c>
      <c r="I3106" s="470">
        <v>496</v>
      </c>
      <c r="J3106" s="470">
        <v>4030</v>
      </c>
      <c r="K3106" s="469">
        <v>1.52</v>
      </c>
    </row>
    <row r="3107" spans="2:11" x14ac:dyDescent="0.35">
      <c r="B3107" s="62">
        <v>8.5</v>
      </c>
      <c r="C3107" s="471">
        <v>3123</v>
      </c>
      <c r="D3107" s="471">
        <v>3099.35</v>
      </c>
      <c r="E3107" s="469">
        <v>15.88</v>
      </c>
      <c r="F3107" s="469">
        <v>11.3</v>
      </c>
      <c r="G3107" s="469">
        <v>8.1999999999999993</v>
      </c>
      <c r="H3107" s="470">
        <v>209</v>
      </c>
      <c r="I3107" s="470">
        <v>504</v>
      </c>
      <c r="J3107" s="470">
        <v>4082</v>
      </c>
      <c r="K3107" s="469">
        <v>1.52</v>
      </c>
    </row>
    <row r="3108" spans="2:11" x14ac:dyDescent="0.35">
      <c r="B3108" s="62">
        <v>8.5</v>
      </c>
      <c r="C3108" s="471">
        <v>3124</v>
      </c>
      <c r="D3108" s="471">
        <v>3100.33</v>
      </c>
      <c r="E3108" s="469">
        <v>15.77</v>
      </c>
      <c r="F3108" s="469">
        <v>11.6</v>
      </c>
      <c r="G3108" s="469">
        <v>8.1999999999999993</v>
      </c>
      <c r="H3108" s="470">
        <v>210</v>
      </c>
      <c r="I3108" s="470">
        <v>504</v>
      </c>
      <c r="J3108" s="470">
        <v>4164</v>
      </c>
      <c r="K3108" s="469">
        <v>1.52</v>
      </c>
    </row>
    <row r="3109" spans="2:11" x14ac:dyDescent="0.35">
      <c r="B3109" s="62">
        <v>8.5</v>
      </c>
      <c r="C3109" s="471">
        <v>3125</v>
      </c>
      <c r="D3109" s="471">
        <v>3101.32</v>
      </c>
      <c r="E3109" s="469">
        <v>19.09</v>
      </c>
      <c r="F3109" s="469">
        <v>11.2</v>
      </c>
      <c r="G3109" s="469">
        <v>8.6</v>
      </c>
      <c r="H3109" s="470">
        <v>209</v>
      </c>
      <c r="I3109" s="470">
        <v>503</v>
      </c>
      <c r="J3109" s="470">
        <v>4133</v>
      </c>
      <c r="K3109" s="469">
        <v>1.52</v>
      </c>
    </row>
    <row r="3110" spans="2:11" x14ac:dyDescent="0.35">
      <c r="B3110" s="62">
        <v>8.5</v>
      </c>
      <c r="C3110" s="471">
        <v>3126</v>
      </c>
      <c r="D3110" s="471">
        <v>3102.36</v>
      </c>
      <c r="E3110" s="469">
        <v>24.17</v>
      </c>
      <c r="F3110" s="469">
        <v>10.9</v>
      </c>
      <c r="G3110" s="469">
        <v>8.3000000000000007</v>
      </c>
      <c r="H3110" s="470">
        <v>209</v>
      </c>
      <c r="I3110" s="470">
        <v>501</v>
      </c>
      <c r="J3110" s="470">
        <v>4146</v>
      </c>
      <c r="K3110" s="469">
        <v>1.52</v>
      </c>
    </row>
    <row r="3111" spans="2:11" x14ac:dyDescent="0.35">
      <c r="B3111" s="62">
        <v>8.5</v>
      </c>
      <c r="C3111" s="471">
        <v>3127</v>
      </c>
      <c r="D3111" s="471">
        <v>3103.35</v>
      </c>
      <c r="E3111" s="469">
        <v>22.62</v>
      </c>
      <c r="F3111" s="469">
        <v>10.3</v>
      </c>
      <c r="G3111" s="469">
        <v>8.4</v>
      </c>
      <c r="H3111" s="470">
        <v>209</v>
      </c>
      <c r="I3111" s="470">
        <v>502</v>
      </c>
      <c r="J3111" s="470">
        <v>4144</v>
      </c>
      <c r="K3111" s="469">
        <v>1.52</v>
      </c>
    </row>
    <row r="3112" spans="2:11" x14ac:dyDescent="0.35">
      <c r="B3112" s="62">
        <v>8.5</v>
      </c>
      <c r="C3112" s="471">
        <v>3128</v>
      </c>
      <c r="D3112" s="471">
        <v>3104.27</v>
      </c>
      <c r="E3112" s="469">
        <v>22.36</v>
      </c>
      <c r="F3112" s="469">
        <v>10.1</v>
      </c>
      <c r="G3112" s="469">
        <v>8.4</v>
      </c>
      <c r="H3112" s="470">
        <v>209</v>
      </c>
      <c r="I3112" s="470">
        <v>504</v>
      </c>
      <c r="J3112" s="470">
        <v>4160</v>
      </c>
      <c r="K3112" s="469">
        <v>1.52</v>
      </c>
    </row>
    <row r="3113" spans="2:11" x14ac:dyDescent="0.35">
      <c r="B3113" s="62">
        <v>8.5</v>
      </c>
      <c r="C3113" s="471">
        <v>3129</v>
      </c>
      <c r="D3113" s="471">
        <v>3105.26</v>
      </c>
      <c r="E3113" s="469">
        <v>24.35</v>
      </c>
      <c r="F3113" s="469">
        <v>10.199999999999999</v>
      </c>
      <c r="G3113" s="469">
        <v>8.4</v>
      </c>
      <c r="H3113" s="470">
        <v>209</v>
      </c>
      <c r="I3113" s="470">
        <v>502</v>
      </c>
      <c r="J3113" s="470">
        <v>4137</v>
      </c>
      <c r="K3113" s="469">
        <v>1.52</v>
      </c>
    </row>
    <row r="3114" spans="2:11" x14ac:dyDescent="0.35">
      <c r="B3114" s="62">
        <v>8.5</v>
      </c>
      <c r="C3114" s="471">
        <v>3130</v>
      </c>
      <c r="D3114" s="471">
        <v>3106.24</v>
      </c>
      <c r="E3114" s="469">
        <v>27.22</v>
      </c>
      <c r="F3114" s="469">
        <v>11.2</v>
      </c>
      <c r="G3114" s="469">
        <v>8.6999999999999993</v>
      </c>
      <c r="H3114" s="470">
        <v>209</v>
      </c>
      <c r="I3114" s="470">
        <v>502</v>
      </c>
      <c r="J3114" s="470">
        <v>4160</v>
      </c>
      <c r="K3114" s="469">
        <v>1.52</v>
      </c>
    </row>
    <row r="3115" spans="2:11" x14ac:dyDescent="0.35">
      <c r="B3115" s="62">
        <v>8.5</v>
      </c>
      <c r="C3115" s="471">
        <v>3131</v>
      </c>
      <c r="D3115" s="471">
        <v>3107.24</v>
      </c>
      <c r="E3115" s="469">
        <v>23.14</v>
      </c>
      <c r="F3115" s="469">
        <v>11.2</v>
      </c>
      <c r="G3115" s="469">
        <v>8.6999999999999993</v>
      </c>
      <c r="H3115" s="470">
        <v>210</v>
      </c>
      <c r="I3115" s="470">
        <v>505</v>
      </c>
      <c r="J3115" s="470">
        <v>4132</v>
      </c>
      <c r="K3115" s="469">
        <v>1.52</v>
      </c>
    </row>
    <row r="3116" spans="2:11" x14ac:dyDescent="0.35">
      <c r="B3116" s="62">
        <v>8.5</v>
      </c>
      <c r="C3116" s="471">
        <v>3132</v>
      </c>
      <c r="D3116" s="471">
        <v>3108.24</v>
      </c>
      <c r="E3116" s="469">
        <v>27.18</v>
      </c>
      <c r="F3116" s="469">
        <v>10.7</v>
      </c>
      <c r="G3116" s="469">
        <v>8.6999999999999993</v>
      </c>
      <c r="H3116" s="470">
        <v>209</v>
      </c>
      <c r="I3116" s="470">
        <v>501</v>
      </c>
      <c r="J3116" s="470">
        <v>4126</v>
      </c>
      <c r="K3116" s="469">
        <v>1.52</v>
      </c>
    </row>
    <row r="3117" spans="2:11" x14ac:dyDescent="0.35">
      <c r="B3117" s="62">
        <v>8.5</v>
      </c>
      <c r="C3117" s="471">
        <v>3133</v>
      </c>
      <c r="D3117" s="471">
        <v>3109.21</v>
      </c>
      <c r="E3117" s="469">
        <v>20.84</v>
      </c>
      <c r="F3117" s="469">
        <v>10.4</v>
      </c>
      <c r="G3117" s="469">
        <v>8.1999999999999993</v>
      </c>
      <c r="H3117" s="470">
        <v>210</v>
      </c>
      <c r="I3117" s="470">
        <v>503</v>
      </c>
      <c r="J3117" s="470">
        <v>4044</v>
      </c>
      <c r="K3117" s="469">
        <v>1.52</v>
      </c>
    </row>
    <row r="3118" spans="2:11" x14ac:dyDescent="0.35">
      <c r="B3118" s="62">
        <v>8.5</v>
      </c>
      <c r="C3118" s="471">
        <v>3134</v>
      </c>
      <c r="D3118" s="471">
        <v>3110.21</v>
      </c>
      <c r="E3118" s="469">
        <v>24.25</v>
      </c>
      <c r="F3118" s="469">
        <v>10.3</v>
      </c>
      <c r="G3118" s="469">
        <v>8.8000000000000007</v>
      </c>
      <c r="H3118" s="470">
        <v>209</v>
      </c>
      <c r="I3118" s="470">
        <v>504</v>
      </c>
      <c r="J3118" s="470">
        <v>4119</v>
      </c>
      <c r="K3118" s="469">
        <v>1.52</v>
      </c>
    </row>
    <row r="3119" spans="2:11" x14ac:dyDescent="0.35">
      <c r="B3119" s="62">
        <v>8.5</v>
      </c>
      <c r="C3119" s="471">
        <v>3135</v>
      </c>
      <c r="D3119" s="471">
        <v>3111.2</v>
      </c>
      <c r="E3119" s="469">
        <v>26.08</v>
      </c>
      <c r="F3119" s="469">
        <v>9.9</v>
      </c>
      <c r="G3119" s="469">
        <v>9.1</v>
      </c>
      <c r="H3119" s="470">
        <v>206</v>
      </c>
      <c r="I3119" s="470">
        <v>501</v>
      </c>
      <c r="J3119" s="470">
        <v>4108</v>
      </c>
      <c r="K3119" s="469">
        <v>1.52</v>
      </c>
    </row>
    <row r="3120" spans="2:11" x14ac:dyDescent="0.35">
      <c r="B3120" s="62">
        <v>8.5</v>
      </c>
      <c r="C3120" s="471">
        <v>3136</v>
      </c>
      <c r="D3120" s="471">
        <v>3112.17</v>
      </c>
      <c r="E3120" s="469">
        <v>25.19</v>
      </c>
      <c r="F3120" s="469">
        <v>10.4</v>
      </c>
      <c r="G3120" s="469">
        <v>8.9</v>
      </c>
      <c r="H3120" s="470">
        <v>209</v>
      </c>
      <c r="I3120" s="470">
        <v>502</v>
      </c>
      <c r="J3120" s="470">
        <v>4126</v>
      </c>
      <c r="K3120" s="469">
        <v>1.52</v>
      </c>
    </row>
    <row r="3121" spans="2:11" x14ac:dyDescent="0.35">
      <c r="B3121" s="62">
        <v>8.5</v>
      </c>
      <c r="C3121" s="471">
        <v>3137</v>
      </c>
      <c r="D3121" s="471">
        <v>3113.18</v>
      </c>
      <c r="E3121" s="469">
        <v>28.53</v>
      </c>
      <c r="F3121" s="469">
        <v>9.1</v>
      </c>
      <c r="G3121" s="469">
        <v>9</v>
      </c>
      <c r="H3121" s="470">
        <v>209</v>
      </c>
      <c r="I3121" s="470">
        <v>504</v>
      </c>
      <c r="J3121" s="470">
        <v>4115</v>
      </c>
      <c r="K3121" s="469">
        <v>1.52</v>
      </c>
    </row>
    <row r="3122" spans="2:11" x14ac:dyDescent="0.35">
      <c r="B3122" s="62">
        <v>8.5</v>
      </c>
      <c r="C3122" s="471">
        <v>3138</v>
      </c>
      <c r="D3122" s="471">
        <v>3114.16</v>
      </c>
      <c r="E3122" s="469">
        <v>19.78</v>
      </c>
      <c r="F3122" s="469">
        <v>11</v>
      </c>
      <c r="G3122" s="469">
        <v>7.7</v>
      </c>
      <c r="H3122" s="470">
        <v>210</v>
      </c>
      <c r="I3122" s="470">
        <v>506</v>
      </c>
      <c r="J3122" s="470">
        <v>4083</v>
      </c>
      <c r="K3122" s="469">
        <v>1.52</v>
      </c>
    </row>
    <row r="3123" spans="2:11" x14ac:dyDescent="0.35">
      <c r="B3123" s="62">
        <v>8.5</v>
      </c>
      <c r="C3123" s="471">
        <v>3139</v>
      </c>
      <c r="D3123" s="471">
        <v>3115.17</v>
      </c>
      <c r="E3123" s="469">
        <v>17.010000000000002</v>
      </c>
      <c r="F3123" s="469">
        <v>11</v>
      </c>
      <c r="G3123" s="469">
        <v>7.6</v>
      </c>
      <c r="H3123" s="470">
        <v>210</v>
      </c>
      <c r="I3123" s="470">
        <v>506</v>
      </c>
      <c r="J3123" s="470">
        <v>4073</v>
      </c>
      <c r="K3123" s="469">
        <v>1.52</v>
      </c>
    </row>
    <row r="3124" spans="2:11" x14ac:dyDescent="0.35">
      <c r="B3124" s="62">
        <v>8.5</v>
      </c>
      <c r="C3124" s="471">
        <v>3140</v>
      </c>
      <c r="D3124" s="471">
        <v>3116.15</v>
      </c>
      <c r="E3124" s="469">
        <v>12.02</v>
      </c>
      <c r="F3124" s="469">
        <v>11.6</v>
      </c>
      <c r="G3124" s="469">
        <v>7.2</v>
      </c>
      <c r="H3124" s="470">
        <v>210</v>
      </c>
      <c r="I3124" s="470">
        <v>505</v>
      </c>
      <c r="J3124" s="470">
        <v>4022</v>
      </c>
      <c r="K3124" s="469">
        <v>1.52</v>
      </c>
    </row>
    <row r="3125" spans="2:11" x14ac:dyDescent="0.35">
      <c r="B3125" s="62">
        <v>8.5</v>
      </c>
      <c r="C3125" s="471">
        <v>3141</v>
      </c>
      <c r="D3125" s="471">
        <v>3117.14</v>
      </c>
      <c r="E3125" s="469">
        <v>7.44</v>
      </c>
      <c r="F3125" s="469">
        <v>11</v>
      </c>
      <c r="G3125" s="469">
        <v>6.1</v>
      </c>
      <c r="H3125" s="470">
        <v>210</v>
      </c>
      <c r="I3125" s="470">
        <v>504</v>
      </c>
      <c r="J3125" s="470">
        <v>3849</v>
      </c>
      <c r="K3125" s="469">
        <v>1.52</v>
      </c>
    </row>
    <row r="3126" spans="2:11" x14ac:dyDescent="0.35">
      <c r="B3126" s="62">
        <v>8.5</v>
      </c>
      <c r="C3126" s="471">
        <v>3142</v>
      </c>
      <c r="D3126" s="471">
        <v>3118.11</v>
      </c>
      <c r="E3126" s="469">
        <v>3.21</v>
      </c>
      <c r="F3126" s="469">
        <v>11.4</v>
      </c>
      <c r="G3126" s="469">
        <v>5.4</v>
      </c>
      <c r="H3126" s="470">
        <v>210</v>
      </c>
      <c r="I3126" s="470">
        <v>505</v>
      </c>
      <c r="J3126" s="470">
        <v>3770</v>
      </c>
      <c r="K3126" s="469">
        <v>1.52</v>
      </c>
    </row>
    <row r="3127" spans="2:11" x14ac:dyDescent="0.35">
      <c r="B3127" s="62">
        <v>8.5</v>
      </c>
      <c r="C3127" s="471">
        <v>3143</v>
      </c>
      <c r="D3127" s="471">
        <v>3119.09</v>
      </c>
      <c r="E3127" s="469">
        <v>4.51</v>
      </c>
      <c r="F3127" s="469">
        <v>11.6</v>
      </c>
      <c r="G3127" s="469">
        <v>5.9</v>
      </c>
      <c r="H3127" s="470">
        <v>210</v>
      </c>
      <c r="I3127" s="470">
        <v>505</v>
      </c>
      <c r="J3127" s="470">
        <v>3817</v>
      </c>
      <c r="K3127" s="469">
        <v>1.52</v>
      </c>
    </row>
    <row r="3128" spans="2:11" x14ac:dyDescent="0.35">
      <c r="B3128" s="62">
        <v>8.5</v>
      </c>
      <c r="C3128" s="471">
        <v>3144</v>
      </c>
      <c r="D3128" s="471">
        <v>3120.11</v>
      </c>
      <c r="E3128" s="469">
        <v>13.69</v>
      </c>
      <c r="F3128" s="469">
        <v>11</v>
      </c>
      <c r="G3128" s="469">
        <v>7.3</v>
      </c>
      <c r="H3128" s="470">
        <v>211</v>
      </c>
      <c r="I3128" s="470">
        <v>508</v>
      </c>
      <c r="J3128" s="470">
        <v>3982</v>
      </c>
      <c r="K3128" s="469">
        <v>1.52</v>
      </c>
    </row>
    <row r="3129" spans="2:11" x14ac:dyDescent="0.35">
      <c r="B3129" s="62">
        <v>8.5</v>
      </c>
      <c r="C3129" s="471">
        <v>3145</v>
      </c>
      <c r="D3129" s="471">
        <v>3121.07</v>
      </c>
      <c r="E3129" s="469">
        <v>11.94</v>
      </c>
      <c r="F3129" s="469">
        <v>10.6</v>
      </c>
      <c r="G3129" s="469">
        <v>7.2</v>
      </c>
      <c r="H3129" s="470">
        <v>210</v>
      </c>
      <c r="I3129" s="470">
        <v>506</v>
      </c>
      <c r="J3129" s="470">
        <v>4011</v>
      </c>
      <c r="K3129" s="469">
        <v>1.52</v>
      </c>
    </row>
    <row r="3130" spans="2:11" x14ac:dyDescent="0.35">
      <c r="B3130" s="62">
        <v>8.5</v>
      </c>
      <c r="C3130" s="471">
        <v>3146</v>
      </c>
      <c r="D3130" s="471">
        <v>3122.08</v>
      </c>
      <c r="E3130" s="469">
        <v>15.4</v>
      </c>
      <c r="F3130" s="469">
        <v>10.7</v>
      </c>
      <c r="G3130" s="469">
        <v>7.6</v>
      </c>
      <c r="H3130" s="470">
        <v>210</v>
      </c>
      <c r="I3130" s="470">
        <v>507</v>
      </c>
      <c r="J3130" s="470">
        <v>4037</v>
      </c>
      <c r="K3130" s="469">
        <v>1.52</v>
      </c>
    </row>
    <row r="3131" spans="2:11" x14ac:dyDescent="0.35">
      <c r="B3131" s="62">
        <v>8.5</v>
      </c>
      <c r="C3131" s="471">
        <v>3147</v>
      </c>
      <c r="D3131" s="471">
        <v>3123.06</v>
      </c>
      <c r="E3131" s="469">
        <v>13.27</v>
      </c>
      <c r="F3131" s="469">
        <v>11.3</v>
      </c>
      <c r="G3131" s="469">
        <v>7.9</v>
      </c>
      <c r="H3131" s="470">
        <v>210</v>
      </c>
      <c r="I3131" s="470">
        <v>506</v>
      </c>
      <c r="J3131" s="470">
        <v>4051</v>
      </c>
      <c r="K3131" s="469">
        <v>1.52</v>
      </c>
    </row>
    <row r="3132" spans="2:11" x14ac:dyDescent="0.35">
      <c r="B3132" s="62">
        <v>8.5</v>
      </c>
      <c r="C3132" s="471">
        <v>3148</v>
      </c>
      <c r="D3132" s="471">
        <v>3124.06</v>
      </c>
      <c r="E3132" s="469">
        <v>19.23</v>
      </c>
      <c r="F3132" s="469">
        <v>10.8</v>
      </c>
      <c r="G3132" s="469">
        <v>7.8</v>
      </c>
      <c r="H3132" s="470">
        <v>210</v>
      </c>
      <c r="I3132" s="470">
        <v>506</v>
      </c>
      <c r="J3132" s="470">
        <v>4070</v>
      </c>
      <c r="K3132" s="469">
        <v>1.52</v>
      </c>
    </row>
    <row r="3133" spans="2:11" x14ac:dyDescent="0.35">
      <c r="B3133" s="62">
        <v>8.5</v>
      </c>
      <c r="C3133" s="471">
        <v>3149</v>
      </c>
      <c r="D3133" s="471">
        <v>3125.02</v>
      </c>
      <c r="E3133" s="469">
        <v>16.97</v>
      </c>
      <c r="F3133" s="469">
        <v>10.9</v>
      </c>
      <c r="G3133" s="469">
        <v>8</v>
      </c>
      <c r="H3133" s="470">
        <v>210</v>
      </c>
      <c r="I3133" s="470">
        <v>506</v>
      </c>
      <c r="J3133" s="470">
        <v>4113</v>
      </c>
      <c r="K3133" s="469">
        <v>1.52</v>
      </c>
    </row>
    <row r="3134" spans="2:11" x14ac:dyDescent="0.35">
      <c r="B3134" s="62">
        <v>8.5</v>
      </c>
      <c r="C3134" s="471">
        <v>3150</v>
      </c>
      <c r="D3134" s="471">
        <v>3126</v>
      </c>
      <c r="E3134" s="469">
        <v>9.9600000000000009</v>
      </c>
      <c r="F3134" s="469">
        <v>6.8</v>
      </c>
      <c r="G3134" s="469">
        <v>8.3000000000000007</v>
      </c>
      <c r="H3134" s="470">
        <v>205</v>
      </c>
      <c r="I3134" s="470">
        <v>474</v>
      </c>
      <c r="J3134" s="470">
        <v>3763</v>
      </c>
      <c r="K3134" s="469">
        <v>1.52</v>
      </c>
    </row>
    <row r="3135" spans="2:11" x14ac:dyDescent="0.35">
      <c r="B3135" s="62">
        <v>8.5</v>
      </c>
      <c r="C3135" s="471">
        <v>3151</v>
      </c>
      <c r="D3135" s="471">
        <v>3127.03</v>
      </c>
      <c r="E3135" s="469">
        <v>18.5</v>
      </c>
      <c r="F3135" s="469">
        <v>6.2</v>
      </c>
      <c r="G3135" s="469">
        <v>8.3000000000000007</v>
      </c>
      <c r="H3135" s="470">
        <v>214</v>
      </c>
      <c r="I3135" s="470">
        <v>493</v>
      </c>
      <c r="J3135" s="470">
        <v>3782</v>
      </c>
      <c r="K3135" s="469">
        <v>1.52</v>
      </c>
    </row>
    <row r="3136" spans="2:11" x14ac:dyDescent="0.35">
      <c r="B3136" s="62">
        <v>8.5</v>
      </c>
      <c r="C3136" s="471">
        <v>3152</v>
      </c>
      <c r="D3136" s="471">
        <v>3127.94</v>
      </c>
      <c r="E3136" s="469">
        <v>16.45</v>
      </c>
      <c r="F3136" s="469">
        <v>7.9</v>
      </c>
      <c r="G3136" s="469">
        <v>8.6</v>
      </c>
      <c r="H3136" s="470">
        <v>216</v>
      </c>
      <c r="I3136" s="470">
        <v>495</v>
      </c>
      <c r="J3136" s="470">
        <v>3864</v>
      </c>
      <c r="K3136" s="469">
        <v>1.52</v>
      </c>
    </row>
    <row r="3137" spans="2:11" x14ac:dyDescent="0.35">
      <c r="B3137" s="62">
        <v>8.5</v>
      </c>
      <c r="C3137" s="471">
        <v>3153</v>
      </c>
      <c r="D3137" s="471">
        <v>3128.96</v>
      </c>
      <c r="E3137" s="469">
        <v>24.62</v>
      </c>
      <c r="F3137" s="469">
        <v>9.5</v>
      </c>
      <c r="G3137" s="469">
        <v>9.1</v>
      </c>
      <c r="H3137" s="470">
        <v>216</v>
      </c>
      <c r="I3137" s="470">
        <v>498</v>
      </c>
      <c r="J3137" s="470">
        <v>4029</v>
      </c>
      <c r="K3137" s="469">
        <v>1.52</v>
      </c>
    </row>
    <row r="3138" spans="2:11" x14ac:dyDescent="0.35">
      <c r="B3138" s="62">
        <v>8.5</v>
      </c>
      <c r="C3138" s="471">
        <v>3154</v>
      </c>
      <c r="D3138" s="471">
        <v>3129.93</v>
      </c>
      <c r="E3138" s="469">
        <v>27.97</v>
      </c>
      <c r="F3138" s="469">
        <v>10.1</v>
      </c>
      <c r="G3138" s="469">
        <v>8.6999999999999993</v>
      </c>
      <c r="H3138" s="470">
        <v>214</v>
      </c>
      <c r="I3138" s="470">
        <v>499</v>
      </c>
      <c r="J3138" s="470">
        <v>4033</v>
      </c>
      <c r="K3138" s="469">
        <v>1.52</v>
      </c>
    </row>
    <row r="3139" spans="2:11" x14ac:dyDescent="0.35">
      <c r="B3139" s="62">
        <v>8.5</v>
      </c>
      <c r="C3139" s="471">
        <v>3155</v>
      </c>
      <c r="D3139" s="471">
        <v>3130.91</v>
      </c>
      <c r="E3139" s="469">
        <v>21.76</v>
      </c>
      <c r="F3139" s="469">
        <v>10.7</v>
      </c>
      <c r="G3139" s="469">
        <v>8.4</v>
      </c>
      <c r="H3139" s="470">
        <v>217</v>
      </c>
      <c r="I3139" s="470">
        <v>499</v>
      </c>
      <c r="J3139" s="470">
        <v>3952</v>
      </c>
      <c r="K3139" s="469">
        <v>1.52</v>
      </c>
    </row>
    <row r="3140" spans="2:11" x14ac:dyDescent="0.35">
      <c r="B3140" s="62">
        <v>8.5</v>
      </c>
      <c r="C3140" s="471">
        <v>3156</v>
      </c>
      <c r="D3140" s="471">
        <v>3131.9</v>
      </c>
      <c r="E3140" s="469">
        <v>24.38</v>
      </c>
      <c r="F3140" s="469">
        <v>11.1</v>
      </c>
      <c r="G3140" s="469">
        <v>8.4</v>
      </c>
      <c r="H3140" s="470">
        <v>216</v>
      </c>
      <c r="I3140" s="470">
        <v>495</v>
      </c>
      <c r="J3140" s="470">
        <v>3923</v>
      </c>
      <c r="K3140" s="469">
        <v>1.52</v>
      </c>
    </row>
    <row r="3141" spans="2:11" x14ac:dyDescent="0.35">
      <c r="B3141" s="62">
        <v>8.5</v>
      </c>
      <c r="C3141" s="471">
        <v>3157</v>
      </c>
      <c r="D3141" s="471">
        <v>3132.88</v>
      </c>
      <c r="E3141" s="469">
        <v>21.79</v>
      </c>
      <c r="F3141" s="469">
        <v>10.9</v>
      </c>
      <c r="G3141" s="469">
        <v>8.6</v>
      </c>
      <c r="H3141" s="470">
        <v>216</v>
      </c>
      <c r="I3141" s="470">
        <v>497</v>
      </c>
      <c r="J3141" s="470">
        <v>3900</v>
      </c>
      <c r="K3141" s="469">
        <v>1.52</v>
      </c>
    </row>
    <row r="3142" spans="2:11" x14ac:dyDescent="0.35">
      <c r="B3142" s="62">
        <v>8.5</v>
      </c>
      <c r="C3142" s="471">
        <v>3158</v>
      </c>
      <c r="D3142" s="471">
        <v>3133.88</v>
      </c>
      <c r="E3142" s="469">
        <v>32.78</v>
      </c>
      <c r="F3142" s="469">
        <v>10.7</v>
      </c>
      <c r="G3142" s="469">
        <v>8.5</v>
      </c>
      <c r="H3142" s="470">
        <v>220</v>
      </c>
      <c r="I3142" s="470">
        <v>499</v>
      </c>
      <c r="J3142" s="470">
        <v>3956</v>
      </c>
      <c r="K3142" s="469">
        <v>1.52</v>
      </c>
    </row>
    <row r="3143" spans="2:11" x14ac:dyDescent="0.35">
      <c r="B3143" s="62">
        <v>8.5</v>
      </c>
      <c r="C3143" s="471">
        <v>3159</v>
      </c>
      <c r="D3143" s="471">
        <v>3134.86</v>
      </c>
      <c r="E3143" s="469">
        <v>31.79</v>
      </c>
      <c r="F3143" s="469">
        <v>11.7</v>
      </c>
      <c r="G3143" s="469">
        <v>8.4</v>
      </c>
      <c r="H3143" s="470">
        <v>229</v>
      </c>
      <c r="I3143" s="470">
        <v>499</v>
      </c>
      <c r="J3143" s="470">
        <v>3975</v>
      </c>
      <c r="K3143" s="469">
        <v>1.52</v>
      </c>
    </row>
    <row r="3144" spans="2:11" x14ac:dyDescent="0.35">
      <c r="B3144" s="62">
        <v>8.5</v>
      </c>
      <c r="C3144" s="471">
        <v>3160</v>
      </c>
      <c r="D3144" s="471">
        <v>3135.84</v>
      </c>
      <c r="E3144" s="469">
        <v>9.52</v>
      </c>
      <c r="F3144" s="469">
        <v>11.7</v>
      </c>
      <c r="G3144" s="469">
        <v>7.5</v>
      </c>
      <c r="H3144" s="470">
        <v>229</v>
      </c>
      <c r="I3144" s="470">
        <v>498</v>
      </c>
      <c r="J3144" s="470">
        <v>3910</v>
      </c>
      <c r="K3144" s="469">
        <v>1.52</v>
      </c>
    </row>
    <row r="3145" spans="2:11" x14ac:dyDescent="0.35">
      <c r="B3145" s="62">
        <v>8.5</v>
      </c>
      <c r="C3145" s="471">
        <v>3161</v>
      </c>
      <c r="D3145" s="471">
        <v>3136.83</v>
      </c>
      <c r="E3145" s="469">
        <v>11.62</v>
      </c>
      <c r="F3145" s="469">
        <v>11.7</v>
      </c>
      <c r="G3145" s="469">
        <v>7.7</v>
      </c>
      <c r="H3145" s="470">
        <v>231</v>
      </c>
      <c r="I3145" s="470">
        <v>506</v>
      </c>
      <c r="J3145" s="470">
        <v>3967</v>
      </c>
      <c r="K3145" s="469">
        <v>1.52</v>
      </c>
    </row>
    <row r="3146" spans="2:11" x14ac:dyDescent="0.35">
      <c r="B3146" s="62">
        <v>8.5</v>
      </c>
      <c r="C3146" s="471">
        <v>3162</v>
      </c>
      <c r="D3146" s="471">
        <v>3137.81</v>
      </c>
      <c r="E3146" s="469">
        <v>11.08</v>
      </c>
      <c r="F3146" s="469">
        <v>11.5</v>
      </c>
      <c r="G3146" s="469">
        <v>7.3</v>
      </c>
      <c r="H3146" s="470">
        <v>232</v>
      </c>
      <c r="I3146" s="470">
        <v>509</v>
      </c>
      <c r="J3146" s="470">
        <v>3895</v>
      </c>
      <c r="K3146" s="469">
        <v>1.52</v>
      </c>
    </row>
    <row r="3147" spans="2:11" x14ac:dyDescent="0.35">
      <c r="B3147" s="62">
        <v>8.5</v>
      </c>
      <c r="C3147" s="471">
        <v>3163</v>
      </c>
      <c r="D3147" s="471">
        <v>3138.86</v>
      </c>
      <c r="E3147" s="469">
        <v>10.28</v>
      </c>
      <c r="F3147" s="469">
        <v>11.5</v>
      </c>
      <c r="G3147" s="469">
        <v>7.3</v>
      </c>
      <c r="H3147" s="470">
        <v>230</v>
      </c>
      <c r="I3147" s="470">
        <v>503</v>
      </c>
      <c r="J3147" s="470">
        <v>3896</v>
      </c>
      <c r="K3147" s="469">
        <v>1.52</v>
      </c>
    </row>
    <row r="3148" spans="2:11" x14ac:dyDescent="0.35">
      <c r="B3148" s="62">
        <v>8.5</v>
      </c>
      <c r="C3148" s="471">
        <v>3164</v>
      </c>
      <c r="D3148" s="471">
        <v>3139.8</v>
      </c>
      <c r="E3148" s="469">
        <v>2.09</v>
      </c>
      <c r="F3148" s="469">
        <v>12</v>
      </c>
      <c r="G3148" s="469">
        <v>6</v>
      </c>
      <c r="H3148" s="470">
        <v>231</v>
      </c>
      <c r="I3148" s="470">
        <v>506</v>
      </c>
      <c r="J3148" s="470">
        <v>3759</v>
      </c>
      <c r="K3148" s="469">
        <v>1.52</v>
      </c>
    </row>
    <row r="3149" spans="2:11" x14ac:dyDescent="0.35">
      <c r="B3149" s="62">
        <v>8.5</v>
      </c>
      <c r="C3149" s="471">
        <v>3165</v>
      </c>
      <c r="D3149" s="471">
        <v>3140.8</v>
      </c>
      <c r="E3149" s="469">
        <v>4.59</v>
      </c>
      <c r="F3149" s="469">
        <v>11.6</v>
      </c>
      <c r="G3149" s="469">
        <v>6.6</v>
      </c>
      <c r="H3149" s="470">
        <v>230</v>
      </c>
      <c r="I3149" s="470">
        <v>505</v>
      </c>
      <c r="J3149" s="470">
        <v>3798</v>
      </c>
      <c r="K3149" s="469">
        <v>1.52</v>
      </c>
    </row>
    <row r="3150" spans="2:11" x14ac:dyDescent="0.35">
      <c r="B3150" s="62">
        <v>8.5</v>
      </c>
      <c r="C3150" s="471">
        <v>3166</v>
      </c>
      <c r="D3150" s="471">
        <v>3141.77</v>
      </c>
      <c r="E3150" s="469">
        <v>3.58</v>
      </c>
      <c r="F3150" s="469">
        <v>11.8</v>
      </c>
      <c r="G3150" s="469">
        <v>6.1</v>
      </c>
      <c r="H3150" s="470">
        <v>231</v>
      </c>
      <c r="I3150" s="470">
        <v>507</v>
      </c>
      <c r="J3150" s="470">
        <v>3742</v>
      </c>
      <c r="K3150" s="469">
        <v>1.52</v>
      </c>
    </row>
    <row r="3151" spans="2:11" x14ac:dyDescent="0.35">
      <c r="B3151" s="62">
        <v>8.5</v>
      </c>
      <c r="C3151" s="471">
        <v>3167</v>
      </c>
      <c r="D3151" s="471">
        <v>3142.8</v>
      </c>
      <c r="E3151" s="469">
        <v>5.52</v>
      </c>
      <c r="F3151" s="469">
        <v>11.5</v>
      </c>
      <c r="G3151" s="469">
        <v>6.4</v>
      </c>
      <c r="H3151" s="470">
        <v>231</v>
      </c>
      <c r="I3151" s="470">
        <v>505</v>
      </c>
      <c r="J3151" s="470">
        <v>3785</v>
      </c>
      <c r="K3151" s="469">
        <v>1.52</v>
      </c>
    </row>
    <row r="3152" spans="2:11" x14ac:dyDescent="0.35">
      <c r="B3152" s="62">
        <v>8.5</v>
      </c>
      <c r="C3152" s="471">
        <v>3168</v>
      </c>
      <c r="D3152" s="471">
        <v>3143.75</v>
      </c>
      <c r="E3152" s="469">
        <v>9.85</v>
      </c>
      <c r="F3152" s="469">
        <v>11.5</v>
      </c>
      <c r="G3152" s="469">
        <v>6.6</v>
      </c>
      <c r="H3152" s="470">
        <v>230</v>
      </c>
      <c r="I3152" s="470">
        <v>504</v>
      </c>
      <c r="J3152" s="470">
        <v>3832</v>
      </c>
      <c r="K3152" s="469">
        <v>1.52</v>
      </c>
    </row>
    <row r="3153" spans="2:11" x14ac:dyDescent="0.35">
      <c r="B3153" s="62">
        <v>8.5</v>
      </c>
      <c r="C3153" s="471">
        <v>3169</v>
      </c>
      <c r="D3153" s="471">
        <v>3144.74</v>
      </c>
      <c r="E3153" s="469">
        <v>17.12</v>
      </c>
      <c r="F3153" s="469">
        <v>11.6</v>
      </c>
      <c r="G3153" s="469">
        <v>7.4</v>
      </c>
      <c r="H3153" s="470">
        <v>231</v>
      </c>
      <c r="I3153" s="470">
        <v>504</v>
      </c>
      <c r="J3153" s="470">
        <v>3886</v>
      </c>
      <c r="K3153" s="469">
        <v>1.52</v>
      </c>
    </row>
    <row r="3154" spans="2:11" x14ac:dyDescent="0.35">
      <c r="B3154" s="62">
        <v>8.5</v>
      </c>
      <c r="C3154" s="471">
        <v>3170</v>
      </c>
      <c r="D3154" s="471">
        <v>3145.71</v>
      </c>
      <c r="E3154" s="469">
        <v>16.11</v>
      </c>
      <c r="F3154" s="469">
        <v>11.5</v>
      </c>
      <c r="G3154" s="469">
        <v>7.4</v>
      </c>
      <c r="H3154" s="470">
        <v>230</v>
      </c>
      <c r="I3154" s="470">
        <v>505</v>
      </c>
      <c r="J3154" s="470">
        <v>3847</v>
      </c>
      <c r="K3154" s="469">
        <v>1.52</v>
      </c>
    </row>
    <row r="3155" spans="2:11" x14ac:dyDescent="0.35">
      <c r="B3155" s="62">
        <v>8.5</v>
      </c>
      <c r="C3155" s="471">
        <v>3171</v>
      </c>
      <c r="D3155" s="471">
        <v>3146.74</v>
      </c>
      <c r="E3155" s="469">
        <v>20.399999999999999</v>
      </c>
      <c r="F3155" s="469">
        <v>11.1</v>
      </c>
      <c r="G3155" s="469">
        <v>6.7</v>
      </c>
      <c r="H3155" s="470">
        <v>230</v>
      </c>
      <c r="I3155" s="470">
        <v>505</v>
      </c>
      <c r="J3155" s="470">
        <v>3902</v>
      </c>
      <c r="K3155" s="469">
        <v>1.52</v>
      </c>
    </row>
    <row r="3156" spans="2:11" x14ac:dyDescent="0.35">
      <c r="B3156" s="62">
        <v>8.5</v>
      </c>
      <c r="C3156" s="471">
        <v>3172</v>
      </c>
      <c r="D3156" s="471">
        <v>3147.71</v>
      </c>
      <c r="E3156" s="469">
        <v>16.07</v>
      </c>
      <c r="F3156" s="469">
        <v>11.7</v>
      </c>
      <c r="G3156" s="469">
        <v>6.8</v>
      </c>
      <c r="H3156" s="470">
        <v>231</v>
      </c>
      <c r="I3156" s="470">
        <v>506</v>
      </c>
      <c r="J3156" s="470">
        <v>3860</v>
      </c>
      <c r="K3156" s="469">
        <v>1.52</v>
      </c>
    </row>
    <row r="3157" spans="2:11" x14ac:dyDescent="0.35">
      <c r="B3157" s="62">
        <v>8.5</v>
      </c>
      <c r="C3157" s="471">
        <v>3173</v>
      </c>
      <c r="D3157" s="471">
        <v>3148.72</v>
      </c>
      <c r="E3157" s="469">
        <v>5.84</v>
      </c>
      <c r="F3157" s="469">
        <v>11.5</v>
      </c>
      <c r="G3157" s="469">
        <v>6.2</v>
      </c>
      <c r="H3157" s="470">
        <v>231</v>
      </c>
      <c r="I3157" s="470">
        <v>508</v>
      </c>
      <c r="J3157" s="470">
        <v>3774</v>
      </c>
      <c r="K3157" s="469">
        <v>1.52</v>
      </c>
    </row>
    <row r="3158" spans="2:11" x14ac:dyDescent="0.35">
      <c r="B3158" s="62">
        <v>8.5</v>
      </c>
      <c r="C3158" s="471">
        <v>3174</v>
      </c>
      <c r="D3158" s="471">
        <v>3149.75</v>
      </c>
      <c r="E3158" s="469">
        <v>13.29</v>
      </c>
      <c r="F3158" s="469">
        <v>11.1</v>
      </c>
      <c r="G3158" s="469">
        <v>7.7</v>
      </c>
      <c r="H3158" s="470">
        <v>230</v>
      </c>
      <c r="I3158" s="470">
        <v>503</v>
      </c>
      <c r="J3158" s="470">
        <v>4064</v>
      </c>
      <c r="K3158" s="469">
        <v>1.52</v>
      </c>
    </row>
    <row r="3159" spans="2:11" x14ac:dyDescent="0.35">
      <c r="B3159" s="62">
        <v>8.5</v>
      </c>
      <c r="C3159" s="471">
        <v>3175</v>
      </c>
      <c r="D3159" s="471">
        <v>3150.69</v>
      </c>
      <c r="E3159" s="469">
        <v>16.079999999999998</v>
      </c>
      <c r="F3159" s="469">
        <v>10.8</v>
      </c>
      <c r="G3159" s="469">
        <v>8.3000000000000007</v>
      </c>
      <c r="H3159" s="470">
        <v>229</v>
      </c>
      <c r="I3159" s="470">
        <v>498</v>
      </c>
      <c r="J3159" s="470">
        <v>4101</v>
      </c>
      <c r="K3159" s="469">
        <v>1.52</v>
      </c>
    </row>
    <row r="3160" spans="2:11" x14ac:dyDescent="0.35">
      <c r="B3160" s="62">
        <v>8.5</v>
      </c>
      <c r="C3160" s="471">
        <v>3176</v>
      </c>
      <c r="D3160" s="471">
        <v>3151.66</v>
      </c>
      <c r="E3160" s="469">
        <v>18.829999999999998</v>
      </c>
      <c r="F3160" s="469">
        <v>10.7</v>
      </c>
      <c r="G3160" s="469">
        <v>8.3000000000000007</v>
      </c>
      <c r="H3160" s="470">
        <v>227</v>
      </c>
      <c r="I3160" s="470">
        <v>494</v>
      </c>
      <c r="J3160" s="470">
        <v>4159</v>
      </c>
      <c r="K3160" s="469">
        <v>1.52</v>
      </c>
    </row>
    <row r="3161" spans="2:11" x14ac:dyDescent="0.35">
      <c r="B3161" s="62">
        <v>8.5</v>
      </c>
      <c r="C3161" s="471">
        <v>3177</v>
      </c>
      <c r="D3161" s="471">
        <v>3152.67</v>
      </c>
      <c r="E3161" s="469">
        <v>14.92</v>
      </c>
      <c r="F3161" s="469">
        <v>11.5</v>
      </c>
      <c r="G3161" s="469">
        <v>7.7</v>
      </c>
      <c r="H3161" s="470">
        <v>228</v>
      </c>
      <c r="I3161" s="470">
        <v>496</v>
      </c>
      <c r="J3161" s="470">
        <v>4129</v>
      </c>
      <c r="K3161" s="469">
        <v>1.52</v>
      </c>
    </row>
    <row r="3162" spans="2:11" x14ac:dyDescent="0.35">
      <c r="B3162" s="62">
        <v>8.5</v>
      </c>
      <c r="C3162" s="471">
        <v>3178</v>
      </c>
      <c r="D3162" s="471">
        <v>3153.67</v>
      </c>
      <c r="E3162" s="469">
        <v>13.18</v>
      </c>
      <c r="F3162" s="469">
        <v>11.5</v>
      </c>
      <c r="G3162" s="469">
        <v>8.3000000000000007</v>
      </c>
      <c r="H3162" s="470">
        <v>228</v>
      </c>
      <c r="I3162" s="470">
        <v>495</v>
      </c>
      <c r="J3162" s="470">
        <v>4174</v>
      </c>
      <c r="K3162" s="469">
        <v>1.52</v>
      </c>
    </row>
    <row r="3163" spans="2:11" x14ac:dyDescent="0.35">
      <c r="B3163" s="62">
        <v>8.5</v>
      </c>
      <c r="C3163" s="471">
        <v>3179</v>
      </c>
      <c r="D3163" s="471">
        <v>3154.67</v>
      </c>
      <c r="E3163" s="469">
        <v>5.07</v>
      </c>
      <c r="F3163" s="469">
        <v>6.1</v>
      </c>
      <c r="G3163" s="469">
        <v>6.7</v>
      </c>
      <c r="H3163" s="470">
        <v>228</v>
      </c>
      <c r="I3163" s="470">
        <v>501</v>
      </c>
      <c r="J3163" s="470">
        <v>3889</v>
      </c>
      <c r="K3163" s="469">
        <v>1.52</v>
      </c>
    </row>
    <row r="3164" spans="2:11" x14ac:dyDescent="0.35">
      <c r="B3164" s="62">
        <v>8.5</v>
      </c>
      <c r="C3164" s="471">
        <v>3180</v>
      </c>
      <c r="D3164" s="471">
        <v>3155.61</v>
      </c>
      <c r="E3164" s="469">
        <v>5.83</v>
      </c>
      <c r="F3164" s="469">
        <v>5.6</v>
      </c>
      <c r="G3164" s="469">
        <v>7</v>
      </c>
      <c r="H3164" s="470">
        <v>230</v>
      </c>
      <c r="I3164" s="470">
        <v>506</v>
      </c>
      <c r="J3164" s="470">
        <v>3734</v>
      </c>
      <c r="K3164" s="469">
        <v>1.52</v>
      </c>
    </row>
    <row r="3165" spans="2:11" x14ac:dyDescent="0.35">
      <c r="B3165" s="62">
        <v>8.5</v>
      </c>
      <c r="C3165" s="471">
        <v>3181</v>
      </c>
      <c r="D3165" s="471">
        <v>3156.6</v>
      </c>
      <c r="E3165" s="469">
        <v>4.8099999999999996</v>
      </c>
      <c r="F3165" s="469">
        <v>6.5</v>
      </c>
      <c r="G3165" s="469">
        <v>6.5</v>
      </c>
      <c r="H3165" s="470">
        <v>230</v>
      </c>
      <c r="I3165" s="470">
        <v>506</v>
      </c>
      <c r="J3165" s="470">
        <v>3733</v>
      </c>
      <c r="K3165" s="469">
        <v>1.52</v>
      </c>
    </row>
    <row r="3166" spans="2:11" x14ac:dyDescent="0.35">
      <c r="B3166" s="62">
        <v>8.5</v>
      </c>
      <c r="C3166" s="471">
        <v>3182</v>
      </c>
      <c r="D3166" s="471">
        <v>3157.6</v>
      </c>
      <c r="E3166" s="469">
        <v>8.75</v>
      </c>
      <c r="F3166" s="469">
        <v>7.4</v>
      </c>
      <c r="G3166" s="469">
        <v>6.8</v>
      </c>
      <c r="H3166" s="470">
        <v>228</v>
      </c>
      <c r="I3166" s="470">
        <v>500</v>
      </c>
      <c r="J3166" s="470">
        <v>3775</v>
      </c>
      <c r="K3166" s="469">
        <v>1.52</v>
      </c>
    </row>
    <row r="3167" spans="2:11" x14ac:dyDescent="0.35">
      <c r="B3167" s="62">
        <v>8.5</v>
      </c>
      <c r="C3167" s="471">
        <v>3183</v>
      </c>
      <c r="D3167" s="471">
        <v>3158.59</v>
      </c>
      <c r="E3167" s="469">
        <v>4.63</v>
      </c>
      <c r="F3167" s="469">
        <v>7.6</v>
      </c>
      <c r="G3167" s="469">
        <v>6.6</v>
      </c>
      <c r="H3167" s="470">
        <v>228</v>
      </c>
      <c r="I3167" s="470">
        <v>502</v>
      </c>
      <c r="J3167" s="470">
        <v>3767</v>
      </c>
      <c r="K3167" s="469">
        <v>1.53</v>
      </c>
    </row>
    <row r="3168" spans="2:11" x14ac:dyDescent="0.35">
      <c r="B3168" s="62">
        <v>8.5</v>
      </c>
      <c r="C3168" s="471">
        <v>3184</v>
      </c>
      <c r="D3168" s="471">
        <v>3159.57</v>
      </c>
      <c r="E3168" s="469">
        <v>4.46</v>
      </c>
      <c r="F3168" s="469">
        <v>7.7</v>
      </c>
      <c r="G3168" s="469">
        <v>6.7</v>
      </c>
      <c r="H3168" s="470">
        <v>228</v>
      </c>
      <c r="I3168" s="470">
        <v>500</v>
      </c>
      <c r="J3168" s="470">
        <v>3771</v>
      </c>
      <c r="K3168" s="469">
        <v>1.53</v>
      </c>
    </row>
    <row r="3169" spans="2:11" x14ac:dyDescent="0.35">
      <c r="B3169" s="62">
        <v>8.5</v>
      </c>
      <c r="C3169" s="471">
        <v>3185</v>
      </c>
      <c r="D3169" s="471">
        <v>3160.62</v>
      </c>
      <c r="E3169" s="469">
        <v>7.14</v>
      </c>
      <c r="F3169" s="469">
        <v>6.9</v>
      </c>
      <c r="G3169" s="469">
        <v>6.9</v>
      </c>
      <c r="H3169" s="470">
        <v>227</v>
      </c>
      <c r="I3169" s="470">
        <v>499</v>
      </c>
      <c r="J3169" s="470">
        <v>3777</v>
      </c>
      <c r="K3169" s="469">
        <v>1.53</v>
      </c>
    </row>
    <row r="3170" spans="2:11" x14ac:dyDescent="0.35">
      <c r="B3170" s="62">
        <v>8.5</v>
      </c>
      <c r="C3170" s="471">
        <v>3186</v>
      </c>
      <c r="D3170" s="471">
        <v>3161.54</v>
      </c>
      <c r="E3170" s="469">
        <v>4.1900000000000004</v>
      </c>
      <c r="F3170" s="469">
        <v>6.7</v>
      </c>
      <c r="G3170" s="469">
        <v>6.8</v>
      </c>
      <c r="H3170" s="470">
        <v>229</v>
      </c>
      <c r="I3170" s="470">
        <v>502</v>
      </c>
      <c r="J3170" s="470">
        <v>3704</v>
      </c>
      <c r="K3170" s="469">
        <v>1.53</v>
      </c>
    </row>
    <row r="3171" spans="2:11" x14ac:dyDescent="0.35">
      <c r="B3171" s="62">
        <v>8.5</v>
      </c>
      <c r="C3171" s="471">
        <v>3187</v>
      </c>
      <c r="D3171" s="471">
        <v>3162.52</v>
      </c>
      <c r="E3171" s="469">
        <v>4.57</v>
      </c>
      <c r="F3171" s="469">
        <v>7.3</v>
      </c>
      <c r="G3171" s="469">
        <v>6.5</v>
      </c>
      <c r="H3171" s="470">
        <v>229</v>
      </c>
      <c r="I3171" s="470">
        <v>505</v>
      </c>
      <c r="J3171" s="470">
        <v>3688</v>
      </c>
      <c r="K3171" s="469">
        <v>1.53</v>
      </c>
    </row>
    <row r="3172" spans="2:11" x14ac:dyDescent="0.35">
      <c r="B3172" s="62">
        <v>8.5</v>
      </c>
      <c r="C3172" s="471">
        <v>3188</v>
      </c>
      <c r="D3172" s="471">
        <v>3163.45</v>
      </c>
      <c r="E3172" s="469">
        <v>5.59</v>
      </c>
      <c r="F3172" s="469">
        <v>7.4</v>
      </c>
      <c r="G3172" s="469">
        <v>6.9</v>
      </c>
      <c r="H3172" s="470">
        <v>229</v>
      </c>
      <c r="I3172" s="470">
        <v>503</v>
      </c>
      <c r="J3172" s="470">
        <v>3691</v>
      </c>
      <c r="K3172" s="469">
        <v>1.53</v>
      </c>
    </row>
    <row r="3173" spans="2:11" x14ac:dyDescent="0.35">
      <c r="B3173" s="62">
        <v>8.5</v>
      </c>
      <c r="C3173" s="471">
        <v>3189</v>
      </c>
      <c r="D3173" s="471">
        <v>3164.44</v>
      </c>
      <c r="E3173" s="469">
        <v>4.62</v>
      </c>
      <c r="F3173" s="469">
        <v>6.5</v>
      </c>
      <c r="G3173" s="469">
        <v>6.6</v>
      </c>
      <c r="H3173" s="470">
        <v>219</v>
      </c>
      <c r="I3173" s="470">
        <v>498</v>
      </c>
      <c r="J3173" s="470">
        <v>3745</v>
      </c>
      <c r="K3173" s="469">
        <v>1.53</v>
      </c>
    </row>
    <row r="3174" spans="2:11" x14ac:dyDescent="0.35">
      <c r="B3174" s="62">
        <v>8.5</v>
      </c>
      <c r="C3174" s="471">
        <v>3190</v>
      </c>
      <c r="D3174" s="471">
        <v>3165.42</v>
      </c>
      <c r="E3174" s="469">
        <v>5.78</v>
      </c>
      <c r="F3174" s="469">
        <v>7.1</v>
      </c>
      <c r="G3174" s="469">
        <v>6.8</v>
      </c>
      <c r="H3174" s="470">
        <v>216</v>
      </c>
      <c r="I3174" s="470">
        <v>494</v>
      </c>
      <c r="J3174" s="470">
        <v>3779</v>
      </c>
      <c r="K3174" s="469">
        <v>1.53</v>
      </c>
    </row>
    <row r="3175" spans="2:11" x14ac:dyDescent="0.35">
      <c r="B3175" s="62">
        <v>8.5</v>
      </c>
      <c r="C3175" s="471">
        <v>3191</v>
      </c>
      <c r="D3175" s="471">
        <v>3166.43</v>
      </c>
      <c r="E3175" s="469">
        <v>5.04</v>
      </c>
      <c r="F3175" s="469">
        <v>6.5</v>
      </c>
      <c r="G3175" s="469">
        <v>6.9</v>
      </c>
      <c r="H3175" s="470">
        <v>218</v>
      </c>
      <c r="I3175" s="470">
        <v>500</v>
      </c>
      <c r="J3175" s="470">
        <v>3691</v>
      </c>
      <c r="K3175" s="469">
        <v>1.53</v>
      </c>
    </row>
    <row r="3176" spans="2:11" x14ac:dyDescent="0.35">
      <c r="B3176" s="62">
        <v>6</v>
      </c>
      <c r="C3176" s="471">
        <v>3192</v>
      </c>
      <c r="D3176" s="471">
        <v>3167.4</v>
      </c>
      <c r="E3176" s="469">
        <v>34.04</v>
      </c>
      <c r="F3176" s="469">
        <v>1.8</v>
      </c>
      <c r="G3176" s="469">
        <v>5.8</v>
      </c>
      <c r="H3176" s="470">
        <v>165</v>
      </c>
      <c r="I3176" s="470">
        <v>248</v>
      </c>
      <c r="J3176" s="470">
        <v>1456</v>
      </c>
      <c r="K3176" s="469">
        <v>1.05</v>
      </c>
    </row>
    <row r="3177" spans="2:11" x14ac:dyDescent="0.35">
      <c r="B3177" s="62">
        <v>6</v>
      </c>
      <c r="C3177" s="471">
        <v>3193</v>
      </c>
      <c r="D3177" s="471">
        <v>3168.4</v>
      </c>
      <c r="E3177" s="469">
        <v>42.96</v>
      </c>
      <c r="F3177" s="469">
        <v>1.8</v>
      </c>
      <c r="G3177" s="469">
        <v>6.3</v>
      </c>
      <c r="H3177" s="470">
        <v>160</v>
      </c>
      <c r="I3177" s="470">
        <v>228</v>
      </c>
      <c r="J3177" s="470">
        <v>1272</v>
      </c>
      <c r="K3177" s="469">
        <v>1.05</v>
      </c>
    </row>
    <row r="3178" spans="2:11" x14ac:dyDescent="0.35">
      <c r="B3178" s="62">
        <v>6</v>
      </c>
      <c r="C3178" s="471">
        <v>3194</v>
      </c>
      <c r="D3178" s="471">
        <v>3169.4</v>
      </c>
      <c r="E3178" s="469">
        <v>11.36</v>
      </c>
      <c r="F3178" s="469">
        <v>5.8</v>
      </c>
      <c r="G3178" s="469">
        <v>6.9</v>
      </c>
      <c r="H3178" s="470">
        <v>157</v>
      </c>
      <c r="I3178" s="470">
        <v>222</v>
      </c>
      <c r="J3178" s="470">
        <v>1507</v>
      </c>
      <c r="K3178" s="469">
        <v>1.05</v>
      </c>
    </row>
    <row r="3179" spans="2:11" x14ac:dyDescent="0.35">
      <c r="B3179" s="62">
        <v>6</v>
      </c>
      <c r="C3179" s="471">
        <v>3195</v>
      </c>
      <c r="D3179" s="471">
        <v>3170.3</v>
      </c>
      <c r="E3179" s="469">
        <v>7.81</v>
      </c>
      <c r="F3179" s="469">
        <v>4.8</v>
      </c>
      <c r="G3179" s="469">
        <v>7.3</v>
      </c>
      <c r="H3179" s="470">
        <v>157</v>
      </c>
      <c r="I3179" s="470">
        <v>223</v>
      </c>
      <c r="J3179" s="470">
        <v>1482</v>
      </c>
      <c r="K3179" s="469">
        <v>1.05</v>
      </c>
    </row>
    <row r="3180" spans="2:11" x14ac:dyDescent="0.35">
      <c r="B3180" s="62">
        <v>6</v>
      </c>
      <c r="C3180" s="471">
        <v>3196</v>
      </c>
      <c r="D3180" s="471">
        <v>3171.3</v>
      </c>
      <c r="E3180" s="469">
        <v>13.71</v>
      </c>
      <c r="F3180" s="469">
        <v>8</v>
      </c>
      <c r="G3180" s="469">
        <v>7.7</v>
      </c>
      <c r="H3180" s="470">
        <v>161</v>
      </c>
      <c r="I3180" s="470">
        <v>229</v>
      </c>
      <c r="J3180" s="470">
        <v>1826</v>
      </c>
      <c r="K3180" s="469">
        <v>1.05</v>
      </c>
    </row>
    <row r="3181" spans="2:11" x14ac:dyDescent="0.35">
      <c r="B3181" s="62">
        <v>6</v>
      </c>
      <c r="C3181" s="471">
        <v>3197</v>
      </c>
      <c r="D3181" s="471">
        <v>3172.4</v>
      </c>
      <c r="E3181" s="469">
        <v>14.67</v>
      </c>
      <c r="F3181" s="469">
        <v>8.9</v>
      </c>
      <c r="G3181" s="469">
        <v>8.1</v>
      </c>
      <c r="H3181" s="470">
        <v>160</v>
      </c>
      <c r="I3181" s="470">
        <v>228</v>
      </c>
      <c r="J3181" s="470">
        <v>1894</v>
      </c>
      <c r="K3181" s="469">
        <v>1.05</v>
      </c>
    </row>
    <row r="3182" spans="2:11" x14ac:dyDescent="0.35">
      <c r="B3182" s="62">
        <v>6</v>
      </c>
      <c r="C3182" s="471">
        <v>3198</v>
      </c>
      <c r="D3182" s="471">
        <v>3173.3</v>
      </c>
      <c r="E3182" s="469">
        <v>13.35</v>
      </c>
      <c r="F3182" s="469">
        <v>9.1</v>
      </c>
      <c r="G3182" s="469">
        <v>7.9</v>
      </c>
      <c r="H3182" s="470">
        <v>161</v>
      </c>
      <c r="I3182" s="470">
        <v>229</v>
      </c>
      <c r="J3182" s="470">
        <v>1913</v>
      </c>
      <c r="K3182" s="469">
        <v>1.05</v>
      </c>
    </row>
    <row r="3183" spans="2:11" x14ac:dyDescent="0.35">
      <c r="B3183" s="62">
        <v>6</v>
      </c>
      <c r="C3183" s="471">
        <v>3199</v>
      </c>
      <c r="D3183" s="471">
        <v>3174.3</v>
      </c>
      <c r="E3183" s="469">
        <v>13</v>
      </c>
      <c r="F3183" s="469">
        <v>8.4</v>
      </c>
      <c r="G3183" s="469">
        <v>8.1</v>
      </c>
      <c r="H3183" s="470">
        <v>160</v>
      </c>
      <c r="I3183" s="470">
        <v>228</v>
      </c>
      <c r="J3183" s="470">
        <v>1855</v>
      </c>
      <c r="K3183" s="469">
        <v>1.05</v>
      </c>
    </row>
    <row r="3184" spans="2:11" x14ac:dyDescent="0.35">
      <c r="B3184" s="62">
        <v>6</v>
      </c>
      <c r="C3184" s="471">
        <v>3200</v>
      </c>
      <c r="D3184" s="471">
        <v>3175.3</v>
      </c>
      <c r="E3184" s="469">
        <v>7.65</v>
      </c>
      <c r="F3184" s="469">
        <v>7.1</v>
      </c>
      <c r="G3184" s="469">
        <v>7.9</v>
      </c>
      <c r="H3184" s="470">
        <v>159</v>
      </c>
      <c r="I3184" s="470">
        <v>224</v>
      </c>
      <c r="J3184" s="470">
        <v>1622</v>
      </c>
      <c r="K3184" s="469">
        <v>1.05</v>
      </c>
    </row>
    <row r="3185" spans="2:11" x14ac:dyDescent="0.35">
      <c r="B3185" s="62">
        <v>6</v>
      </c>
      <c r="C3185" s="471">
        <v>3201</v>
      </c>
      <c r="D3185" s="471">
        <v>3176.3</v>
      </c>
      <c r="E3185" s="469">
        <v>10.47</v>
      </c>
      <c r="F3185" s="469">
        <v>6.7</v>
      </c>
      <c r="G3185" s="469">
        <v>7.3</v>
      </c>
      <c r="H3185" s="470">
        <v>161</v>
      </c>
      <c r="I3185" s="470">
        <v>225</v>
      </c>
      <c r="J3185" s="470">
        <v>1626</v>
      </c>
      <c r="K3185" s="469">
        <v>1.05</v>
      </c>
    </row>
    <row r="3186" spans="2:11" x14ac:dyDescent="0.35">
      <c r="B3186" s="62">
        <v>6</v>
      </c>
      <c r="C3186" s="471">
        <v>3202</v>
      </c>
      <c r="D3186" s="471">
        <v>3177.3</v>
      </c>
      <c r="E3186" s="469">
        <v>15.02</v>
      </c>
      <c r="F3186" s="469">
        <v>8.6999999999999993</v>
      </c>
      <c r="G3186" s="469">
        <v>8</v>
      </c>
      <c r="H3186" s="470">
        <v>175</v>
      </c>
      <c r="I3186" s="470">
        <v>227</v>
      </c>
      <c r="J3186" s="470">
        <v>1836</v>
      </c>
      <c r="K3186" s="469">
        <v>1.05</v>
      </c>
    </row>
    <row r="3187" spans="2:11" x14ac:dyDescent="0.35">
      <c r="B3187" s="62">
        <v>6</v>
      </c>
      <c r="C3187" s="471">
        <v>3203</v>
      </c>
      <c r="D3187" s="471">
        <v>3178.2</v>
      </c>
      <c r="E3187" s="469">
        <v>17.71</v>
      </c>
      <c r="F3187" s="469">
        <v>8.3000000000000007</v>
      </c>
      <c r="G3187" s="469">
        <v>7.6</v>
      </c>
      <c r="H3187" s="470">
        <v>178</v>
      </c>
      <c r="I3187" s="470">
        <v>228</v>
      </c>
      <c r="J3187" s="470">
        <v>1793</v>
      </c>
      <c r="K3187" s="469">
        <v>1.05</v>
      </c>
    </row>
    <row r="3188" spans="2:11" x14ac:dyDescent="0.35">
      <c r="B3188" s="62">
        <v>6</v>
      </c>
      <c r="C3188" s="471">
        <v>3204</v>
      </c>
      <c r="D3188" s="471">
        <v>3179.3</v>
      </c>
      <c r="E3188" s="469">
        <v>20.52</v>
      </c>
      <c r="F3188" s="469">
        <v>8.4</v>
      </c>
      <c r="G3188" s="469">
        <v>7.9</v>
      </c>
      <c r="H3188" s="470">
        <v>179</v>
      </c>
      <c r="I3188" s="470">
        <v>229</v>
      </c>
      <c r="J3188" s="470">
        <v>1778</v>
      </c>
      <c r="K3188" s="469">
        <v>1.05</v>
      </c>
    </row>
    <row r="3189" spans="2:11" x14ac:dyDescent="0.35">
      <c r="B3189" s="62">
        <v>6</v>
      </c>
      <c r="C3189" s="471">
        <v>3205</v>
      </c>
      <c r="D3189" s="471">
        <v>3180.2</v>
      </c>
      <c r="E3189" s="469">
        <v>18.53</v>
      </c>
      <c r="F3189" s="469">
        <v>8.1</v>
      </c>
      <c r="G3189" s="469">
        <v>7.9</v>
      </c>
      <c r="H3189" s="470">
        <v>178</v>
      </c>
      <c r="I3189" s="470">
        <v>227</v>
      </c>
      <c r="J3189" s="470">
        <v>1781</v>
      </c>
      <c r="K3189" s="469">
        <v>1.05</v>
      </c>
    </row>
    <row r="3190" spans="2:11" x14ac:dyDescent="0.35">
      <c r="B3190" s="62">
        <v>6</v>
      </c>
      <c r="C3190" s="471">
        <v>3206</v>
      </c>
      <c r="D3190" s="471">
        <v>3181.2</v>
      </c>
      <c r="E3190" s="469">
        <v>18.73</v>
      </c>
      <c r="F3190" s="469">
        <v>8.1999999999999993</v>
      </c>
      <c r="G3190" s="469">
        <v>8.1</v>
      </c>
      <c r="H3190" s="470">
        <v>178</v>
      </c>
      <c r="I3190" s="470">
        <v>228</v>
      </c>
      <c r="J3190" s="470">
        <v>1810</v>
      </c>
      <c r="K3190" s="469">
        <v>1.05</v>
      </c>
    </row>
    <row r="3191" spans="2:11" x14ac:dyDescent="0.35">
      <c r="B3191" s="62">
        <v>6</v>
      </c>
      <c r="C3191" s="471">
        <v>3207</v>
      </c>
      <c r="D3191" s="471">
        <v>3182.2</v>
      </c>
      <c r="E3191" s="469">
        <v>17.89</v>
      </c>
      <c r="F3191" s="469">
        <v>7.8</v>
      </c>
      <c r="G3191" s="469">
        <v>8.1</v>
      </c>
      <c r="H3191" s="470">
        <v>179</v>
      </c>
      <c r="I3191" s="470">
        <v>229</v>
      </c>
      <c r="J3191" s="470">
        <v>1776</v>
      </c>
      <c r="K3191" s="469">
        <v>1.05</v>
      </c>
    </row>
    <row r="3192" spans="2:11" x14ac:dyDescent="0.35">
      <c r="B3192" s="62">
        <v>6</v>
      </c>
      <c r="C3192" s="471">
        <v>3208</v>
      </c>
      <c r="D3192" s="471">
        <v>3183.2</v>
      </c>
      <c r="E3192" s="469">
        <v>21.98</v>
      </c>
      <c r="F3192" s="469">
        <v>8</v>
      </c>
      <c r="G3192" s="469">
        <v>7.9</v>
      </c>
      <c r="H3192" s="470">
        <v>179</v>
      </c>
      <c r="I3192" s="470">
        <v>228</v>
      </c>
      <c r="J3192" s="470">
        <v>1776</v>
      </c>
      <c r="K3192" s="469">
        <v>1.05</v>
      </c>
    </row>
    <row r="3193" spans="2:11" x14ac:dyDescent="0.35">
      <c r="B3193" s="62">
        <v>6</v>
      </c>
      <c r="C3193" s="471">
        <v>3209</v>
      </c>
      <c r="D3193" s="471">
        <v>3184.2</v>
      </c>
      <c r="E3193" s="469">
        <v>16.989999999999998</v>
      </c>
      <c r="F3193" s="469">
        <v>8.1</v>
      </c>
      <c r="G3193" s="469">
        <v>8.6999999999999993</v>
      </c>
      <c r="H3193" s="470">
        <v>178</v>
      </c>
      <c r="I3193" s="470">
        <v>228</v>
      </c>
      <c r="J3193" s="470">
        <v>1821</v>
      </c>
      <c r="K3193" s="469">
        <v>1.05</v>
      </c>
    </row>
    <row r="3194" spans="2:11" x14ac:dyDescent="0.35">
      <c r="B3194" s="62">
        <v>6</v>
      </c>
      <c r="C3194" s="471">
        <v>3210</v>
      </c>
      <c r="D3194" s="471">
        <v>3185.1</v>
      </c>
      <c r="E3194" s="469">
        <v>21.75</v>
      </c>
      <c r="F3194" s="469">
        <v>8.6999999999999993</v>
      </c>
      <c r="G3194" s="469">
        <v>8.3000000000000007</v>
      </c>
      <c r="H3194" s="470">
        <v>179</v>
      </c>
      <c r="I3194" s="470">
        <v>229</v>
      </c>
      <c r="J3194" s="470">
        <v>1875</v>
      </c>
      <c r="K3194" s="469">
        <v>1.05</v>
      </c>
    </row>
    <row r="3195" spans="2:11" x14ac:dyDescent="0.35">
      <c r="B3195" s="62">
        <v>6</v>
      </c>
      <c r="C3195" s="471">
        <v>3211</v>
      </c>
      <c r="D3195" s="471">
        <v>3186.1</v>
      </c>
      <c r="E3195" s="469">
        <v>20.03</v>
      </c>
      <c r="F3195" s="469">
        <v>8.3000000000000007</v>
      </c>
      <c r="G3195" s="469">
        <v>8.9</v>
      </c>
      <c r="H3195" s="470">
        <v>178</v>
      </c>
      <c r="I3195" s="470">
        <v>228</v>
      </c>
      <c r="J3195" s="470">
        <v>1868</v>
      </c>
      <c r="K3195" s="469">
        <v>1.05</v>
      </c>
    </row>
    <row r="3196" spans="2:11" x14ac:dyDescent="0.35">
      <c r="B3196" s="62">
        <v>6</v>
      </c>
      <c r="C3196" s="471">
        <v>3212</v>
      </c>
      <c r="D3196" s="471">
        <v>3187.1</v>
      </c>
      <c r="E3196" s="469">
        <v>21.69</v>
      </c>
      <c r="F3196" s="469">
        <v>8.3000000000000007</v>
      </c>
      <c r="G3196" s="469">
        <v>8.3000000000000007</v>
      </c>
      <c r="H3196" s="470">
        <v>179</v>
      </c>
      <c r="I3196" s="470">
        <v>228</v>
      </c>
      <c r="J3196" s="470">
        <v>1860</v>
      </c>
      <c r="K3196" s="469">
        <v>1.05</v>
      </c>
    </row>
    <row r="3197" spans="2:11" x14ac:dyDescent="0.35">
      <c r="B3197" s="62">
        <v>6</v>
      </c>
      <c r="C3197" s="471">
        <v>3213</v>
      </c>
      <c r="D3197" s="471">
        <v>3188.1</v>
      </c>
      <c r="E3197" s="469">
        <v>22.86</v>
      </c>
      <c r="F3197" s="469">
        <v>7.8</v>
      </c>
      <c r="G3197" s="469">
        <v>7.9</v>
      </c>
      <c r="H3197" s="470">
        <v>179</v>
      </c>
      <c r="I3197" s="470">
        <v>229</v>
      </c>
      <c r="J3197" s="470">
        <v>1828</v>
      </c>
      <c r="K3197" s="469">
        <v>1.05</v>
      </c>
    </row>
    <row r="3198" spans="2:11" x14ac:dyDescent="0.35">
      <c r="B3198" s="62">
        <v>6</v>
      </c>
      <c r="C3198" s="471">
        <v>3214</v>
      </c>
      <c r="D3198" s="471">
        <v>3189.1</v>
      </c>
      <c r="E3198" s="469">
        <v>16.309999999999999</v>
      </c>
      <c r="F3198" s="469">
        <v>8.1</v>
      </c>
      <c r="G3198" s="469">
        <v>8.5</v>
      </c>
      <c r="H3198" s="470">
        <v>179</v>
      </c>
      <c r="I3198" s="470">
        <v>229</v>
      </c>
      <c r="J3198" s="470">
        <v>1832</v>
      </c>
      <c r="K3198" s="469">
        <v>1.05</v>
      </c>
    </row>
    <row r="3199" spans="2:11" x14ac:dyDescent="0.35">
      <c r="B3199" s="62">
        <v>6</v>
      </c>
      <c r="C3199" s="471">
        <v>3215</v>
      </c>
      <c r="D3199" s="471">
        <v>3190.1</v>
      </c>
      <c r="E3199" s="469">
        <v>18.36</v>
      </c>
      <c r="F3199" s="469">
        <v>7.4</v>
      </c>
      <c r="G3199" s="469">
        <v>8.1999999999999993</v>
      </c>
      <c r="H3199" s="470">
        <v>179</v>
      </c>
      <c r="I3199" s="470">
        <v>229</v>
      </c>
      <c r="J3199" s="470">
        <v>1813</v>
      </c>
      <c r="K3199" s="469">
        <v>1.05</v>
      </c>
    </row>
    <row r="3200" spans="2:11" x14ac:dyDescent="0.35">
      <c r="B3200" s="62">
        <v>6</v>
      </c>
      <c r="C3200" s="471">
        <v>3216</v>
      </c>
      <c r="D3200" s="471">
        <v>3191.1</v>
      </c>
      <c r="E3200" s="469">
        <v>20.170000000000002</v>
      </c>
      <c r="F3200" s="469">
        <v>7.7</v>
      </c>
      <c r="G3200" s="469">
        <v>8</v>
      </c>
      <c r="H3200" s="470">
        <v>179</v>
      </c>
      <c r="I3200" s="470">
        <v>229</v>
      </c>
      <c r="J3200" s="470">
        <v>1818</v>
      </c>
      <c r="K3200" s="469">
        <v>1.05</v>
      </c>
    </row>
    <row r="3201" spans="2:11" x14ac:dyDescent="0.35">
      <c r="B3201" s="62">
        <v>6</v>
      </c>
      <c r="C3201" s="471">
        <v>3217</v>
      </c>
      <c r="D3201" s="471">
        <v>3192.1</v>
      </c>
      <c r="E3201" s="469">
        <v>20.23</v>
      </c>
      <c r="F3201" s="469">
        <v>7.2</v>
      </c>
      <c r="G3201" s="469">
        <v>7.8</v>
      </c>
      <c r="H3201" s="470">
        <v>179</v>
      </c>
      <c r="I3201" s="470">
        <v>228</v>
      </c>
      <c r="J3201" s="470">
        <v>1784</v>
      </c>
      <c r="K3201" s="469">
        <v>1.05</v>
      </c>
    </row>
    <row r="3202" spans="2:11" x14ac:dyDescent="0.35">
      <c r="B3202" s="62">
        <v>6</v>
      </c>
      <c r="C3202" s="471">
        <v>3218</v>
      </c>
      <c r="D3202" s="471">
        <v>3193.1</v>
      </c>
      <c r="E3202" s="469">
        <v>20.59</v>
      </c>
      <c r="F3202" s="469">
        <v>7.3</v>
      </c>
      <c r="G3202" s="469">
        <v>8.3000000000000007</v>
      </c>
      <c r="H3202" s="470">
        <v>179</v>
      </c>
      <c r="I3202" s="470">
        <v>230</v>
      </c>
      <c r="J3202" s="470">
        <v>1764</v>
      </c>
      <c r="K3202" s="469">
        <v>1.05</v>
      </c>
    </row>
    <row r="3203" spans="2:11" x14ac:dyDescent="0.35">
      <c r="B3203" s="62">
        <v>6</v>
      </c>
      <c r="C3203" s="471">
        <v>3219</v>
      </c>
      <c r="D3203" s="471">
        <v>3194</v>
      </c>
      <c r="E3203" s="469">
        <v>25.57</v>
      </c>
      <c r="F3203" s="469">
        <v>7.2</v>
      </c>
      <c r="G3203" s="469">
        <v>8.1</v>
      </c>
      <c r="H3203" s="470">
        <v>179</v>
      </c>
      <c r="I3203" s="470">
        <v>230</v>
      </c>
      <c r="J3203" s="470">
        <v>1796</v>
      </c>
      <c r="K3203" s="469">
        <v>1.05</v>
      </c>
    </row>
    <row r="3204" spans="2:11" x14ac:dyDescent="0.35">
      <c r="B3204" s="62">
        <v>6</v>
      </c>
      <c r="C3204" s="471">
        <v>3220</v>
      </c>
      <c r="D3204" s="471">
        <v>3195.1</v>
      </c>
      <c r="E3204" s="469">
        <v>16.96</v>
      </c>
      <c r="F3204" s="469">
        <v>7.5</v>
      </c>
      <c r="G3204" s="469">
        <v>8.6</v>
      </c>
      <c r="H3204" s="470">
        <v>180</v>
      </c>
      <c r="I3204" s="470">
        <v>231</v>
      </c>
      <c r="J3204" s="470">
        <v>1835</v>
      </c>
      <c r="K3204" s="469">
        <v>1.05</v>
      </c>
    </row>
    <row r="3205" spans="2:11" x14ac:dyDescent="0.35">
      <c r="B3205" s="62">
        <v>6</v>
      </c>
      <c r="C3205" s="471">
        <v>3221</v>
      </c>
      <c r="D3205" s="471">
        <v>3196</v>
      </c>
      <c r="E3205" s="469">
        <v>21.16</v>
      </c>
      <c r="F3205" s="469">
        <v>7.9</v>
      </c>
      <c r="G3205" s="469">
        <v>8.8000000000000007</v>
      </c>
      <c r="H3205" s="470">
        <v>179</v>
      </c>
      <c r="I3205" s="470">
        <v>229</v>
      </c>
      <c r="J3205" s="470">
        <v>1830</v>
      </c>
      <c r="K3205" s="469">
        <v>1.05</v>
      </c>
    </row>
    <row r="3206" spans="2:11" x14ac:dyDescent="0.35">
      <c r="B3206" s="62">
        <v>6</v>
      </c>
      <c r="C3206" s="471">
        <v>3222</v>
      </c>
      <c r="D3206" s="471">
        <v>3197</v>
      </c>
      <c r="E3206" s="469">
        <v>17.059999999999999</v>
      </c>
      <c r="F3206" s="469">
        <v>8.6999999999999993</v>
      </c>
      <c r="G3206" s="469">
        <v>8.6</v>
      </c>
      <c r="H3206" s="470">
        <v>179</v>
      </c>
      <c r="I3206" s="470">
        <v>228</v>
      </c>
      <c r="J3206" s="470">
        <v>1901</v>
      </c>
      <c r="K3206" s="469">
        <v>1.05</v>
      </c>
    </row>
    <row r="3207" spans="2:11" x14ac:dyDescent="0.35">
      <c r="B3207" s="62">
        <v>6</v>
      </c>
      <c r="C3207" s="471">
        <v>3223</v>
      </c>
      <c r="D3207" s="471">
        <v>3198</v>
      </c>
      <c r="E3207" s="469">
        <v>18.059999999999999</v>
      </c>
      <c r="F3207" s="469">
        <v>8.1999999999999993</v>
      </c>
      <c r="G3207" s="469">
        <v>8.5</v>
      </c>
      <c r="H3207" s="470">
        <v>179</v>
      </c>
      <c r="I3207" s="470">
        <v>229</v>
      </c>
      <c r="J3207" s="470">
        <v>1853</v>
      </c>
      <c r="K3207" s="469">
        <v>1.05</v>
      </c>
    </row>
    <row r="3208" spans="2:11" x14ac:dyDescent="0.35">
      <c r="B3208" s="62">
        <v>6</v>
      </c>
      <c r="C3208" s="471">
        <v>3224</v>
      </c>
      <c r="D3208" s="471">
        <v>3199</v>
      </c>
      <c r="E3208" s="469">
        <v>22.64</v>
      </c>
      <c r="F3208" s="469">
        <v>7</v>
      </c>
      <c r="G3208" s="469">
        <v>8.4</v>
      </c>
      <c r="H3208" s="470">
        <v>179</v>
      </c>
      <c r="I3208" s="470">
        <v>229</v>
      </c>
      <c r="J3208" s="470">
        <v>1813</v>
      </c>
      <c r="K3208" s="469">
        <v>1.05</v>
      </c>
    </row>
    <row r="3209" spans="2:11" x14ac:dyDescent="0.35">
      <c r="B3209" s="62">
        <v>6</v>
      </c>
      <c r="C3209" s="471">
        <v>3225</v>
      </c>
      <c r="D3209" s="471">
        <v>3199.9</v>
      </c>
      <c r="E3209" s="469">
        <v>20.84</v>
      </c>
      <c r="F3209" s="469">
        <v>7.2</v>
      </c>
      <c r="G3209" s="469">
        <v>8</v>
      </c>
      <c r="H3209" s="470">
        <v>179</v>
      </c>
      <c r="I3209" s="470">
        <v>230</v>
      </c>
      <c r="J3209" s="470">
        <v>1789</v>
      </c>
      <c r="K3209" s="469">
        <v>1.05</v>
      </c>
    </row>
    <row r="3210" spans="2:11" x14ac:dyDescent="0.35">
      <c r="B3210" s="62">
        <v>6</v>
      </c>
      <c r="C3210" s="471">
        <v>3226</v>
      </c>
      <c r="D3210" s="471">
        <v>3200.9</v>
      </c>
      <c r="E3210" s="469">
        <v>17.82</v>
      </c>
      <c r="F3210" s="469">
        <v>6.9</v>
      </c>
      <c r="G3210" s="469">
        <v>8</v>
      </c>
      <c r="H3210" s="470">
        <v>179</v>
      </c>
      <c r="I3210" s="470">
        <v>228</v>
      </c>
      <c r="J3210" s="470">
        <v>1816</v>
      </c>
      <c r="K3210" s="469">
        <v>1.05</v>
      </c>
    </row>
    <row r="3211" spans="2:11" x14ac:dyDescent="0.35">
      <c r="B3211" s="62">
        <v>6</v>
      </c>
      <c r="C3211" s="471">
        <v>3227</v>
      </c>
      <c r="D3211" s="471">
        <v>3201.9</v>
      </c>
      <c r="E3211" s="469">
        <v>30.28</v>
      </c>
      <c r="F3211" s="469">
        <v>6.5</v>
      </c>
      <c r="G3211" s="469">
        <v>8.3000000000000007</v>
      </c>
      <c r="H3211" s="470">
        <v>180</v>
      </c>
      <c r="I3211" s="470">
        <v>229</v>
      </c>
      <c r="J3211" s="470">
        <v>1764</v>
      </c>
      <c r="K3211" s="469">
        <v>1.05</v>
      </c>
    </row>
    <row r="3212" spans="2:11" x14ac:dyDescent="0.35">
      <c r="B3212" s="62">
        <v>6</v>
      </c>
      <c r="C3212" s="471">
        <v>3228</v>
      </c>
      <c r="D3212" s="471">
        <v>3202.9</v>
      </c>
      <c r="E3212" s="469">
        <v>19.52</v>
      </c>
      <c r="F3212" s="469">
        <v>4.8</v>
      </c>
      <c r="G3212" s="469">
        <v>8.3000000000000007</v>
      </c>
      <c r="H3212" s="470">
        <v>182</v>
      </c>
      <c r="I3212" s="470">
        <v>233</v>
      </c>
      <c r="J3212" s="470">
        <v>1669</v>
      </c>
      <c r="K3212" s="469">
        <v>1.05</v>
      </c>
    </row>
    <row r="3213" spans="2:11" x14ac:dyDescent="0.35">
      <c r="B3213" s="62">
        <v>6</v>
      </c>
      <c r="C3213" s="471">
        <v>3229</v>
      </c>
      <c r="D3213" s="471">
        <v>3203.9</v>
      </c>
      <c r="E3213" s="469">
        <v>26.65</v>
      </c>
      <c r="F3213" s="469">
        <v>4.5</v>
      </c>
      <c r="G3213" s="469">
        <v>8.3000000000000007</v>
      </c>
      <c r="H3213" s="470">
        <v>186</v>
      </c>
      <c r="I3213" s="470">
        <v>239</v>
      </c>
      <c r="J3213" s="470">
        <v>1539</v>
      </c>
      <c r="K3213" s="469">
        <v>1.05</v>
      </c>
    </row>
    <row r="3214" spans="2:11" x14ac:dyDescent="0.35">
      <c r="B3214" s="62">
        <v>6</v>
      </c>
      <c r="C3214" s="471">
        <v>3230</v>
      </c>
      <c r="D3214" s="471">
        <v>3204.9</v>
      </c>
      <c r="E3214" s="469">
        <v>30.47</v>
      </c>
      <c r="F3214" s="469">
        <v>7.9</v>
      </c>
      <c r="G3214" s="469">
        <v>8.4</v>
      </c>
      <c r="H3214" s="470">
        <v>184</v>
      </c>
      <c r="I3214" s="470">
        <v>234</v>
      </c>
      <c r="J3214" s="470">
        <v>1824</v>
      </c>
      <c r="K3214" s="469">
        <v>1.05</v>
      </c>
    </row>
    <row r="3215" spans="2:11" x14ac:dyDescent="0.35">
      <c r="B3215" s="62">
        <v>6</v>
      </c>
      <c r="C3215" s="471">
        <v>3231</v>
      </c>
      <c r="D3215" s="471">
        <v>3205.8</v>
      </c>
      <c r="E3215" s="469">
        <v>31.59</v>
      </c>
      <c r="F3215" s="469">
        <v>9.3000000000000007</v>
      </c>
      <c r="G3215" s="469">
        <v>8.5</v>
      </c>
      <c r="H3215" s="470">
        <v>183</v>
      </c>
      <c r="I3215" s="470">
        <v>233</v>
      </c>
      <c r="J3215" s="470">
        <v>1849</v>
      </c>
      <c r="K3215" s="469">
        <v>1.05</v>
      </c>
    </row>
    <row r="3216" spans="2:11" x14ac:dyDescent="0.35">
      <c r="B3216" s="62">
        <v>6</v>
      </c>
      <c r="C3216" s="471">
        <v>3232</v>
      </c>
      <c r="D3216" s="471">
        <v>3206.9</v>
      </c>
      <c r="E3216" s="469">
        <v>26.74</v>
      </c>
      <c r="F3216" s="469">
        <v>9.1</v>
      </c>
      <c r="G3216" s="469">
        <v>8.9</v>
      </c>
      <c r="H3216" s="470">
        <v>181</v>
      </c>
      <c r="I3216" s="470">
        <v>228</v>
      </c>
      <c r="J3216" s="470">
        <v>1882</v>
      </c>
      <c r="K3216" s="469">
        <v>1.05</v>
      </c>
    </row>
    <row r="3217" spans="2:11" x14ac:dyDescent="0.35">
      <c r="B3217" s="62">
        <v>6</v>
      </c>
      <c r="C3217" s="471">
        <v>3233</v>
      </c>
      <c r="D3217" s="471">
        <v>3207.8</v>
      </c>
      <c r="E3217" s="469">
        <v>28.96</v>
      </c>
      <c r="F3217" s="469">
        <v>8.6</v>
      </c>
      <c r="G3217" s="469">
        <v>8.9</v>
      </c>
      <c r="H3217" s="470">
        <v>182</v>
      </c>
      <c r="I3217" s="470">
        <v>230</v>
      </c>
      <c r="J3217" s="470">
        <v>1874</v>
      </c>
      <c r="K3217" s="469">
        <v>1.05</v>
      </c>
    </row>
    <row r="3218" spans="2:11" x14ac:dyDescent="0.35">
      <c r="B3218" s="62">
        <v>6</v>
      </c>
      <c r="C3218" s="471">
        <v>3234</v>
      </c>
      <c r="D3218" s="471">
        <v>3208.8</v>
      </c>
      <c r="E3218" s="469">
        <v>33.31</v>
      </c>
      <c r="F3218" s="469">
        <v>8.3000000000000007</v>
      </c>
      <c r="G3218" s="469">
        <v>8.9</v>
      </c>
      <c r="H3218" s="470">
        <v>184</v>
      </c>
      <c r="I3218" s="470">
        <v>235</v>
      </c>
      <c r="J3218" s="470">
        <v>1840</v>
      </c>
      <c r="K3218" s="469">
        <v>1.05</v>
      </c>
    </row>
    <row r="3219" spans="2:11" x14ac:dyDescent="0.35">
      <c r="B3219" s="62">
        <v>6</v>
      </c>
      <c r="C3219" s="471">
        <v>3235</v>
      </c>
      <c r="D3219" s="471">
        <v>3209.8</v>
      </c>
      <c r="E3219" s="469">
        <v>21.95</v>
      </c>
      <c r="F3219" s="469">
        <v>9.5</v>
      </c>
      <c r="G3219" s="469">
        <v>9.3000000000000007</v>
      </c>
      <c r="H3219" s="470">
        <v>183</v>
      </c>
      <c r="I3219" s="470">
        <v>233</v>
      </c>
      <c r="J3219" s="470">
        <v>1883</v>
      </c>
      <c r="K3219" s="469">
        <v>1.05</v>
      </c>
    </row>
    <row r="3220" spans="2:11" x14ac:dyDescent="0.35">
      <c r="B3220" s="62">
        <v>6</v>
      </c>
      <c r="C3220" s="471">
        <v>3236</v>
      </c>
      <c r="D3220" s="471">
        <v>3210.8</v>
      </c>
      <c r="E3220" s="469">
        <v>25.35</v>
      </c>
      <c r="F3220" s="469">
        <v>8.9</v>
      </c>
      <c r="G3220" s="469">
        <v>8.9</v>
      </c>
      <c r="H3220" s="470">
        <v>183</v>
      </c>
      <c r="I3220" s="470">
        <v>233</v>
      </c>
      <c r="J3220" s="470">
        <v>1896</v>
      </c>
      <c r="K3220" s="469">
        <v>1.05</v>
      </c>
    </row>
    <row r="3221" spans="2:11" x14ac:dyDescent="0.35">
      <c r="B3221" s="62">
        <v>6</v>
      </c>
      <c r="C3221" s="471">
        <v>3237</v>
      </c>
      <c r="D3221" s="471">
        <v>3211.8</v>
      </c>
      <c r="E3221" s="469">
        <v>30.98</v>
      </c>
      <c r="F3221" s="469">
        <v>9.1</v>
      </c>
      <c r="G3221" s="469">
        <v>8.9</v>
      </c>
      <c r="H3221" s="470">
        <v>182</v>
      </c>
      <c r="I3221" s="470">
        <v>231</v>
      </c>
      <c r="J3221" s="470">
        <v>1914</v>
      </c>
      <c r="K3221" s="469">
        <v>1.05</v>
      </c>
    </row>
    <row r="3222" spans="2:11" x14ac:dyDescent="0.35">
      <c r="B3222" s="62">
        <v>6</v>
      </c>
      <c r="C3222" s="471">
        <v>3238</v>
      </c>
      <c r="D3222" s="471">
        <v>3212.8</v>
      </c>
      <c r="E3222" s="469">
        <v>28.4</v>
      </c>
      <c r="F3222" s="469">
        <v>9.3000000000000007</v>
      </c>
      <c r="G3222" s="469">
        <v>9.1</v>
      </c>
      <c r="H3222" s="470">
        <v>183</v>
      </c>
      <c r="I3222" s="470">
        <v>232</v>
      </c>
      <c r="J3222" s="470">
        <v>1903</v>
      </c>
      <c r="K3222" s="469">
        <v>1.05</v>
      </c>
    </row>
    <row r="3223" spans="2:11" x14ac:dyDescent="0.35">
      <c r="B3223" s="62">
        <v>6</v>
      </c>
      <c r="C3223" s="471">
        <v>3239</v>
      </c>
      <c r="D3223" s="471">
        <v>3213.8</v>
      </c>
      <c r="E3223" s="469">
        <v>28.06</v>
      </c>
      <c r="F3223" s="469">
        <v>9.1</v>
      </c>
      <c r="G3223" s="469">
        <v>9.1</v>
      </c>
      <c r="H3223" s="470">
        <v>183</v>
      </c>
      <c r="I3223" s="470">
        <v>233</v>
      </c>
      <c r="J3223" s="470">
        <v>1905</v>
      </c>
      <c r="K3223" s="469">
        <v>1.05</v>
      </c>
    </row>
    <row r="3224" spans="2:11" x14ac:dyDescent="0.35">
      <c r="B3224" s="62">
        <v>6</v>
      </c>
      <c r="C3224" s="471">
        <v>3240</v>
      </c>
      <c r="D3224" s="471">
        <v>3214.7</v>
      </c>
      <c r="E3224" s="469">
        <v>20.11</v>
      </c>
      <c r="F3224" s="469">
        <v>9.5</v>
      </c>
      <c r="G3224" s="469">
        <v>9.1999999999999993</v>
      </c>
      <c r="H3224" s="470">
        <v>183</v>
      </c>
      <c r="I3224" s="470">
        <v>234</v>
      </c>
      <c r="J3224" s="470">
        <v>1910</v>
      </c>
      <c r="K3224" s="469">
        <v>1.05</v>
      </c>
    </row>
    <row r="3225" spans="2:11" x14ac:dyDescent="0.35">
      <c r="B3225" s="62">
        <v>6</v>
      </c>
      <c r="C3225" s="471">
        <v>3241</v>
      </c>
      <c r="D3225" s="471">
        <v>3215.7</v>
      </c>
      <c r="E3225" s="469">
        <v>15.03</v>
      </c>
      <c r="F3225" s="469">
        <v>9.1</v>
      </c>
      <c r="G3225" s="469">
        <v>8.5</v>
      </c>
      <c r="H3225" s="470">
        <v>182</v>
      </c>
      <c r="I3225" s="470">
        <v>230</v>
      </c>
      <c r="J3225" s="470">
        <v>1934</v>
      </c>
      <c r="K3225" s="469">
        <v>1.05</v>
      </c>
    </row>
    <row r="3226" spans="2:11" x14ac:dyDescent="0.35">
      <c r="B3226" s="62">
        <v>6</v>
      </c>
      <c r="C3226" s="471">
        <v>3242</v>
      </c>
      <c r="D3226" s="471">
        <v>3216.7</v>
      </c>
      <c r="E3226" s="469">
        <v>13.26</v>
      </c>
      <c r="F3226" s="469">
        <v>9</v>
      </c>
      <c r="G3226" s="469">
        <v>9</v>
      </c>
      <c r="H3226" s="470">
        <v>181</v>
      </c>
      <c r="I3226" s="470">
        <v>229</v>
      </c>
      <c r="J3226" s="470">
        <v>1931</v>
      </c>
      <c r="K3226" s="469">
        <v>1.05</v>
      </c>
    </row>
    <row r="3227" spans="2:11" x14ac:dyDescent="0.35">
      <c r="B3227" s="62">
        <v>6</v>
      </c>
      <c r="C3227" s="471">
        <v>3243</v>
      </c>
      <c r="D3227" s="471">
        <v>3217.7</v>
      </c>
      <c r="E3227" s="469">
        <v>15.72</v>
      </c>
      <c r="F3227" s="469">
        <v>8.8000000000000007</v>
      </c>
      <c r="G3227" s="469">
        <v>8.9</v>
      </c>
      <c r="H3227" s="470">
        <v>182</v>
      </c>
      <c r="I3227" s="470">
        <v>230</v>
      </c>
      <c r="J3227" s="470">
        <v>1938</v>
      </c>
      <c r="K3227" s="469">
        <v>1.05</v>
      </c>
    </row>
    <row r="3228" spans="2:11" x14ac:dyDescent="0.35">
      <c r="B3228" s="62">
        <v>6</v>
      </c>
      <c r="C3228" s="471">
        <v>3244</v>
      </c>
      <c r="D3228" s="471">
        <v>3218.7</v>
      </c>
      <c r="E3228" s="469">
        <v>11.06</v>
      </c>
      <c r="F3228" s="469">
        <v>9</v>
      </c>
      <c r="G3228" s="469">
        <v>8.6</v>
      </c>
      <c r="H3228" s="470">
        <v>183</v>
      </c>
      <c r="I3228" s="470">
        <v>232</v>
      </c>
      <c r="J3228" s="470">
        <v>1903</v>
      </c>
      <c r="K3228" s="469">
        <v>1.05</v>
      </c>
    </row>
    <row r="3229" spans="2:11" x14ac:dyDescent="0.35">
      <c r="B3229" s="62">
        <v>6</v>
      </c>
      <c r="C3229" s="471">
        <v>3245</v>
      </c>
      <c r="D3229" s="471">
        <v>3219.7</v>
      </c>
      <c r="E3229" s="469">
        <v>13.06</v>
      </c>
      <c r="F3229" s="469">
        <v>9</v>
      </c>
      <c r="G3229" s="469">
        <v>8.5</v>
      </c>
      <c r="H3229" s="470">
        <v>183</v>
      </c>
      <c r="I3229" s="470">
        <v>233</v>
      </c>
      <c r="J3229" s="470">
        <v>1895</v>
      </c>
      <c r="K3229" s="469">
        <v>1.05</v>
      </c>
    </row>
    <row r="3230" spans="2:11" x14ac:dyDescent="0.35">
      <c r="B3230" s="62">
        <v>6</v>
      </c>
      <c r="C3230" s="471">
        <v>3246</v>
      </c>
      <c r="D3230" s="471">
        <v>3220.6</v>
      </c>
      <c r="E3230" s="469">
        <v>14.26</v>
      </c>
      <c r="F3230" s="469">
        <v>8.6999999999999993</v>
      </c>
      <c r="G3230" s="469">
        <v>8.5</v>
      </c>
      <c r="H3230" s="470">
        <v>181</v>
      </c>
      <c r="I3230" s="470">
        <v>229</v>
      </c>
      <c r="J3230" s="470">
        <v>1903</v>
      </c>
      <c r="K3230" s="469">
        <v>1.05</v>
      </c>
    </row>
    <row r="3231" spans="2:11" x14ac:dyDescent="0.35">
      <c r="B3231" s="62">
        <v>6</v>
      </c>
      <c r="C3231" s="471">
        <v>3247</v>
      </c>
      <c r="D3231" s="471">
        <v>3221.7</v>
      </c>
      <c r="E3231" s="469">
        <v>13.6</v>
      </c>
      <c r="F3231" s="469">
        <v>8.9</v>
      </c>
      <c r="G3231" s="469">
        <v>8.8000000000000007</v>
      </c>
      <c r="H3231" s="470">
        <v>180</v>
      </c>
      <c r="I3231" s="470">
        <v>227</v>
      </c>
      <c r="J3231" s="470">
        <v>1906</v>
      </c>
      <c r="K3231" s="469">
        <v>1.05</v>
      </c>
    </row>
    <row r="3232" spans="2:11" x14ac:dyDescent="0.35">
      <c r="B3232" s="62">
        <v>6</v>
      </c>
      <c r="C3232" s="471">
        <v>3248</v>
      </c>
      <c r="D3232" s="471">
        <v>3222.6</v>
      </c>
      <c r="E3232" s="469">
        <v>12.63</v>
      </c>
      <c r="F3232" s="469">
        <v>8.8000000000000007</v>
      </c>
      <c r="G3232" s="469">
        <v>9</v>
      </c>
      <c r="H3232" s="470">
        <v>181</v>
      </c>
      <c r="I3232" s="470">
        <v>228</v>
      </c>
      <c r="J3232" s="470">
        <v>1933</v>
      </c>
      <c r="K3232" s="469">
        <v>1.05</v>
      </c>
    </row>
    <row r="3233" spans="2:11" x14ac:dyDescent="0.35">
      <c r="B3233" s="62">
        <v>6</v>
      </c>
      <c r="C3233" s="471">
        <v>3249</v>
      </c>
      <c r="D3233" s="471">
        <v>3223.6</v>
      </c>
      <c r="E3233" s="469">
        <v>12.35</v>
      </c>
      <c r="F3233" s="469">
        <v>8.8000000000000007</v>
      </c>
      <c r="G3233" s="469">
        <v>8.9</v>
      </c>
      <c r="H3233" s="470">
        <v>181</v>
      </c>
      <c r="I3233" s="470">
        <v>229</v>
      </c>
      <c r="J3233" s="470">
        <v>1930</v>
      </c>
      <c r="K3233" s="469">
        <v>1.05</v>
      </c>
    </row>
    <row r="3234" spans="2:11" x14ac:dyDescent="0.35">
      <c r="B3234" s="62">
        <v>6</v>
      </c>
      <c r="C3234" s="471">
        <v>3250</v>
      </c>
      <c r="D3234" s="471">
        <v>3224.6</v>
      </c>
      <c r="E3234" s="469">
        <v>13.72</v>
      </c>
      <c r="F3234" s="469">
        <v>8.9</v>
      </c>
      <c r="G3234" s="469">
        <v>8.8000000000000007</v>
      </c>
      <c r="H3234" s="470">
        <v>180</v>
      </c>
      <c r="I3234" s="470">
        <v>228</v>
      </c>
      <c r="J3234" s="470">
        <v>1936</v>
      </c>
      <c r="K3234" s="469">
        <v>1.05</v>
      </c>
    </row>
    <row r="3235" spans="2:11" x14ac:dyDescent="0.35">
      <c r="B3235" s="62">
        <v>6</v>
      </c>
      <c r="C3235" s="471">
        <v>3251</v>
      </c>
      <c r="D3235" s="471">
        <v>3225.6</v>
      </c>
      <c r="E3235" s="469">
        <v>11.28</v>
      </c>
      <c r="F3235" s="469">
        <v>9</v>
      </c>
      <c r="G3235" s="469">
        <v>8.8000000000000007</v>
      </c>
      <c r="H3235" s="470">
        <v>181</v>
      </c>
      <c r="I3235" s="470">
        <v>229</v>
      </c>
      <c r="J3235" s="470">
        <v>1877</v>
      </c>
      <c r="K3235" s="469">
        <v>1.05</v>
      </c>
    </row>
    <row r="3236" spans="2:11" x14ac:dyDescent="0.35">
      <c r="B3236" s="62">
        <v>6</v>
      </c>
      <c r="C3236" s="471">
        <v>3252</v>
      </c>
      <c r="D3236" s="471">
        <v>3226.6</v>
      </c>
      <c r="E3236" s="469">
        <v>12.73</v>
      </c>
      <c r="F3236" s="469">
        <v>8.4</v>
      </c>
      <c r="G3236" s="469">
        <v>9</v>
      </c>
      <c r="H3236" s="470">
        <v>182</v>
      </c>
      <c r="I3236" s="470">
        <v>230</v>
      </c>
      <c r="J3236" s="470">
        <v>1873</v>
      </c>
      <c r="K3236" s="469">
        <v>1.05</v>
      </c>
    </row>
    <row r="3237" spans="2:11" x14ac:dyDescent="0.35">
      <c r="B3237" s="62">
        <v>6</v>
      </c>
      <c r="C3237" s="471">
        <v>3253</v>
      </c>
      <c r="D3237" s="471">
        <v>3227.5</v>
      </c>
      <c r="E3237" s="469">
        <v>14.51</v>
      </c>
      <c r="F3237" s="469">
        <v>9</v>
      </c>
      <c r="G3237" s="469">
        <v>9.4</v>
      </c>
      <c r="H3237" s="470">
        <v>181</v>
      </c>
      <c r="I3237" s="470">
        <v>230</v>
      </c>
      <c r="J3237" s="470">
        <v>1899</v>
      </c>
      <c r="K3237" s="469">
        <v>1.05</v>
      </c>
    </row>
    <row r="3238" spans="2:11" x14ac:dyDescent="0.35">
      <c r="B3238" s="62">
        <v>6</v>
      </c>
      <c r="C3238" s="471">
        <v>3254</v>
      </c>
      <c r="D3238" s="471">
        <v>3228.5</v>
      </c>
      <c r="E3238" s="469">
        <v>14.49</v>
      </c>
      <c r="F3238" s="469">
        <v>8.6999999999999993</v>
      </c>
      <c r="G3238" s="469">
        <v>9</v>
      </c>
      <c r="H3238" s="470">
        <v>182</v>
      </c>
      <c r="I3238" s="470">
        <v>232</v>
      </c>
      <c r="J3238" s="470">
        <v>1825</v>
      </c>
      <c r="K3238" s="469">
        <v>1.05</v>
      </c>
    </row>
    <row r="3239" spans="2:11" x14ac:dyDescent="0.35">
      <c r="B3239" s="62">
        <v>6</v>
      </c>
      <c r="C3239" s="471">
        <v>3255</v>
      </c>
      <c r="D3239" s="471">
        <v>3229.6</v>
      </c>
      <c r="E3239" s="469">
        <v>15.37</v>
      </c>
      <c r="F3239" s="469">
        <v>8.3000000000000007</v>
      </c>
      <c r="G3239" s="469">
        <v>8.8000000000000007</v>
      </c>
      <c r="H3239" s="470">
        <v>180</v>
      </c>
      <c r="I3239" s="470">
        <v>229</v>
      </c>
      <c r="J3239" s="470">
        <v>1904</v>
      </c>
      <c r="K3239" s="469">
        <v>1.05</v>
      </c>
    </row>
    <row r="3240" spans="2:11" x14ac:dyDescent="0.35">
      <c r="B3240" s="62">
        <v>6</v>
      </c>
      <c r="C3240" s="471">
        <v>3256</v>
      </c>
      <c r="D3240" s="471">
        <v>3230.6</v>
      </c>
      <c r="E3240" s="469">
        <v>13.35</v>
      </c>
      <c r="F3240" s="469">
        <v>8.5</v>
      </c>
      <c r="G3240" s="469">
        <v>9</v>
      </c>
      <c r="H3240" s="470">
        <v>181</v>
      </c>
      <c r="I3240" s="470">
        <v>230</v>
      </c>
      <c r="J3240" s="470">
        <v>1855</v>
      </c>
      <c r="K3240" s="469">
        <v>1.05</v>
      </c>
    </row>
    <row r="3241" spans="2:11" x14ac:dyDescent="0.35">
      <c r="B3241" s="62">
        <v>6</v>
      </c>
      <c r="C3241" s="471">
        <v>3257</v>
      </c>
      <c r="D3241" s="471">
        <v>3231.6</v>
      </c>
      <c r="E3241" s="469">
        <v>13.14</v>
      </c>
      <c r="F3241" s="469">
        <v>5.0999999999999996</v>
      </c>
      <c r="G3241" s="469">
        <v>8.3000000000000007</v>
      </c>
      <c r="H3241" s="470">
        <v>181</v>
      </c>
      <c r="I3241" s="470">
        <v>231</v>
      </c>
      <c r="J3241" s="470">
        <v>1511</v>
      </c>
      <c r="K3241" s="469">
        <v>1.05</v>
      </c>
    </row>
    <row r="3242" spans="2:11" x14ac:dyDescent="0.35">
      <c r="B3242" s="62">
        <v>6</v>
      </c>
      <c r="C3242" s="471">
        <v>3258</v>
      </c>
      <c r="D3242" s="471">
        <v>3232.5</v>
      </c>
      <c r="E3242" s="469">
        <v>15.16</v>
      </c>
      <c r="F3242" s="469">
        <v>4.2</v>
      </c>
      <c r="G3242" s="469">
        <v>8.6</v>
      </c>
      <c r="H3242" s="470">
        <v>179</v>
      </c>
      <c r="I3242" s="470">
        <v>228</v>
      </c>
      <c r="J3242" s="470">
        <v>1384</v>
      </c>
      <c r="K3242" s="469">
        <v>1.05</v>
      </c>
    </row>
    <row r="3243" spans="2:11" x14ac:dyDescent="0.35">
      <c r="B3243" s="62">
        <v>6</v>
      </c>
      <c r="C3243" s="471">
        <v>3259</v>
      </c>
      <c r="D3243" s="471">
        <v>3233.5</v>
      </c>
      <c r="E3243" s="469">
        <v>15.08</v>
      </c>
      <c r="F3243" s="469">
        <v>5.9</v>
      </c>
      <c r="G3243" s="469">
        <v>9.3000000000000007</v>
      </c>
      <c r="H3243" s="470">
        <v>175</v>
      </c>
      <c r="I3243" s="470">
        <v>221</v>
      </c>
      <c r="J3243" s="470">
        <v>1620</v>
      </c>
      <c r="K3243" s="469">
        <v>1.05</v>
      </c>
    </row>
    <row r="3244" spans="2:11" x14ac:dyDescent="0.35">
      <c r="B3244" s="62">
        <v>6</v>
      </c>
      <c r="C3244" s="471">
        <v>3260</v>
      </c>
      <c r="D3244" s="471">
        <v>3234.5</v>
      </c>
      <c r="E3244" s="469">
        <v>10.17</v>
      </c>
      <c r="F3244" s="469">
        <v>6</v>
      </c>
      <c r="G3244" s="469">
        <v>8.3000000000000007</v>
      </c>
      <c r="H3244" s="470">
        <v>181</v>
      </c>
      <c r="I3244" s="470">
        <v>231</v>
      </c>
      <c r="J3244" s="470">
        <v>1641</v>
      </c>
      <c r="K3244" s="469">
        <v>1.05</v>
      </c>
    </row>
    <row r="3245" spans="2:11" x14ac:dyDescent="0.35">
      <c r="B3245" s="62">
        <v>6</v>
      </c>
      <c r="C3245" s="471">
        <v>3261</v>
      </c>
      <c r="D3245" s="471">
        <v>3235.5</v>
      </c>
      <c r="E3245" s="469">
        <v>17.71</v>
      </c>
      <c r="F3245" s="469">
        <v>7.3</v>
      </c>
      <c r="G3245" s="469">
        <v>9</v>
      </c>
      <c r="H3245" s="470">
        <v>180</v>
      </c>
      <c r="I3245" s="470">
        <v>232</v>
      </c>
      <c r="J3245" s="470">
        <v>1754</v>
      </c>
      <c r="K3245" s="469">
        <v>1.05</v>
      </c>
    </row>
    <row r="3246" spans="2:11" x14ac:dyDescent="0.35">
      <c r="B3246" s="62">
        <v>6</v>
      </c>
      <c r="C3246" s="471">
        <v>3262</v>
      </c>
      <c r="D3246" s="471">
        <v>3236.4</v>
      </c>
      <c r="E3246" s="469">
        <v>16.68</v>
      </c>
      <c r="F3246" s="469">
        <v>7.9</v>
      </c>
      <c r="G3246" s="469">
        <v>9.1</v>
      </c>
      <c r="H3246" s="470">
        <v>181</v>
      </c>
      <c r="I3246" s="470">
        <v>232</v>
      </c>
      <c r="J3246" s="470">
        <v>1839</v>
      </c>
      <c r="K3246" s="469">
        <v>1.05</v>
      </c>
    </row>
    <row r="3247" spans="2:11" x14ac:dyDescent="0.35">
      <c r="B3247" s="62">
        <v>6</v>
      </c>
      <c r="C3247" s="471">
        <v>3263</v>
      </c>
      <c r="D3247" s="471">
        <v>3237.5</v>
      </c>
      <c r="E3247" s="469">
        <v>13.58</v>
      </c>
      <c r="F3247" s="469">
        <v>6.7</v>
      </c>
      <c r="G3247" s="469">
        <v>9</v>
      </c>
      <c r="H3247" s="470">
        <v>183</v>
      </c>
      <c r="I3247" s="470">
        <v>236</v>
      </c>
      <c r="J3247" s="470">
        <v>1781</v>
      </c>
      <c r="K3247" s="469">
        <v>1.05</v>
      </c>
    </row>
    <row r="3248" spans="2:11" x14ac:dyDescent="0.35">
      <c r="B3248" s="62">
        <v>6</v>
      </c>
      <c r="C3248" s="471">
        <v>3264</v>
      </c>
      <c r="D3248" s="471">
        <v>3238.4</v>
      </c>
      <c r="E3248" s="469">
        <v>13.84</v>
      </c>
      <c r="F3248" s="469">
        <v>6.6</v>
      </c>
      <c r="G3248" s="469">
        <v>9.4</v>
      </c>
      <c r="H3248" s="470">
        <v>181</v>
      </c>
      <c r="I3248" s="470">
        <v>235</v>
      </c>
      <c r="J3248" s="470">
        <v>1781</v>
      </c>
      <c r="K3248" s="469">
        <v>1.05</v>
      </c>
    </row>
    <row r="3249" spans="2:11" x14ac:dyDescent="0.35">
      <c r="B3249" s="62">
        <v>6</v>
      </c>
      <c r="C3249" s="471">
        <v>3265</v>
      </c>
      <c r="D3249" s="471">
        <v>3239.4</v>
      </c>
      <c r="E3249" s="469">
        <v>12.82</v>
      </c>
      <c r="F3249" s="469">
        <v>7</v>
      </c>
      <c r="G3249" s="469">
        <v>8.9</v>
      </c>
      <c r="H3249" s="470">
        <v>183</v>
      </c>
      <c r="I3249" s="470">
        <v>237</v>
      </c>
      <c r="J3249" s="470">
        <v>1705</v>
      </c>
      <c r="K3249" s="469">
        <v>1.05</v>
      </c>
    </row>
    <row r="3250" spans="2:11" x14ac:dyDescent="0.35">
      <c r="B3250" s="62">
        <v>6</v>
      </c>
      <c r="C3250" s="471">
        <v>3266</v>
      </c>
      <c r="D3250" s="471">
        <v>3240.4</v>
      </c>
      <c r="E3250" s="469">
        <v>12.9</v>
      </c>
      <c r="F3250" s="469">
        <v>6.5</v>
      </c>
      <c r="G3250" s="469">
        <v>9.1</v>
      </c>
      <c r="H3250" s="470">
        <v>184</v>
      </c>
      <c r="I3250" s="470">
        <v>236</v>
      </c>
      <c r="J3250" s="470">
        <v>1693</v>
      </c>
      <c r="K3250" s="469">
        <v>1.05</v>
      </c>
    </row>
    <row r="3251" spans="2:11" x14ac:dyDescent="0.35">
      <c r="B3251" s="62">
        <v>6</v>
      </c>
      <c r="C3251" s="471">
        <v>3267</v>
      </c>
      <c r="D3251" s="471">
        <v>3241.4</v>
      </c>
      <c r="E3251" s="469">
        <v>11.6</v>
      </c>
      <c r="F3251" s="469">
        <v>5.5</v>
      </c>
      <c r="G3251" s="469">
        <v>8.8000000000000007</v>
      </c>
      <c r="H3251" s="470">
        <v>185</v>
      </c>
      <c r="I3251" s="470">
        <v>238</v>
      </c>
      <c r="J3251" s="470">
        <v>1601</v>
      </c>
      <c r="K3251" s="469">
        <v>1.05</v>
      </c>
    </row>
    <row r="3252" spans="2:11" x14ac:dyDescent="0.35">
      <c r="B3252" s="62">
        <v>6</v>
      </c>
      <c r="C3252" s="471">
        <v>3268</v>
      </c>
      <c r="D3252" s="471">
        <v>3242.3</v>
      </c>
      <c r="E3252" s="469">
        <v>18.39</v>
      </c>
      <c r="F3252" s="469">
        <v>5.4</v>
      </c>
      <c r="G3252" s="469">
        <v>8.9</v>
      </c>
      <c r="H3252" s="470">
        <v>200</v>
      </c>
      <c r="I3252" s="470">
        <v>235</v>
      </c>
      <c r="J3252" s="470">
        <v>1682</v>
      </c>
      <c r="K3252" s="469">
        <v>1.05</v>
      </c>
    </row>
    <row r="3253" spans="2:11" x14ac:dyDescent="0.35">
      <c r="B3253" s="62">
        <v>6</v>
      </c>
      <c r="C3253" s="471">
        <v>3269</v>
      </c>
      <c r="D3253" s="471">
        <v>3243.3</v>
      </c>
      <c r="E3253" s="469">
        <v>15.85</v>
      </c>
      <c r="F3253" s="469">
        <v>8.4</v>
      </c>
      <c r="G3253" s="469">
        <v>9.1</v>
      </c>
      <c r="H3253" s="470">
        <v>202</v>
      </c>
      <c r="I3253" s="470">
        <v>236</v>
      </c>
      <c r="J3253" s="470">
        <v>1769</v>
      </c>
      <c r="K3253" s="469">
        <v>1.05</v>
      </c>
    </row>
    <row r="3254" spans="2:11" x14ac:dyDescent="0.35">
      <c r="B3254" s="62">
        <v>6</v>
      </c>
      <c r="C3254" s="471">
        <v>3270</v>
      </c>
      <c r="D3254" s="471">
        <v>3244.3</v>
      </c>
      <c r="E3254" s="469">
        <v>17.059999999999999</v>
      </c>
      <c r="F3254" s="469">
        <v>8.1999999999999993</v>
      </c>
      <c r="G3254" s="469">
        <v>9.4</v>
      </c>
      <c r="H3254" s="470">
        <v>199</v>
      </c>
      <c r="I3254" s="470">
        <v>233</v>
      </c>
      <c r="J3254" s="470">
        <v>1829</v>
      </c>
      <c r="K3254" s="469">
        <v>1.05</v>
      </c>
    </row>
    <row r="3255" spans="2:11" x14ac:dyDescent="0.35">
      <c r="B3255" s="62">
        <v>6</v>
      </c>
      <c r="C3255" s="471">
        <v>3271</v>
      </c>
      <c r="D3255" s="471">
        <v>3245.3</v>
      </c>
      <c r="E3255" s="469">
        <v>14.01</v>
      </c>
      <c r="F3255" s="469">
        <v>5.5</v>
      </c>
      <c r="G3255" s="469">
        <v>8.6</v>
      </c>
      <c r="H3255" s="470">
        <v>200</v>
      </c>
      <c r="I3255" s="470">
        <v>233</v>
      </c>
      <c r="J3255" s="470">
        <v>1764</v>
      </c>
      <c r="K3255" s="469">
        <v>1.05</v>
      </c>
    </row>
    <row r="3256" spans="2:11" x14ac:dyDescent="0.35">
      <c r="B3256" s="62">
        <v>6</v>
      </c>
      <c r="C3256" s="471">
        <v>3272</v>
      </c>
      <c r="D3256" s="471">
        <v>3246.3</v>
      </c>
      <c r="E3256" s="469">
        <v>17.54</v>
      </c>
      <c r="F3256" s="469">
        <v>6.8</v>
      </c>
      <c r="G3256" s="469">
        <v>9</v>
      </c>
      <c r="H3256" s="470">
        <v>198</v>
      </c>
      <c r="I3256" s="470">
        <v>232</v>
      </c>
      <c r="J3256" s="470">
        <v>1832</v>
      </c>
      <c r="K3256" s="469">
        <v>1.05</v>
      </c>
    </row>
    <row r="3257" spans="2:11" x14ac:dyDescent="0.35">
      <c r="B3257" s="62">
        <v>6</v>
      </c>
      <c r="C3257" s="471">
        <v>3273</v>
      </c>
      <c r="D3257" s="471">
        <v>3247.3</v>
      </c>
      <c r="E3257" s="469">
        <v>19.600000000000001</v>
      </c>
      <c r="F3257" s="469">
        <v>5.8</v>
      </c>
      <c r="G3257" s="469">
        <v>9.4</v>
      </c>
      <c r="H3257" s="470">
        <v>199</v>
      </c>
      <c r="I3257" s="470">
        <v>231</v>
      </c>
      <c r="J3257" s="470">
        <v>1819</v>
      </c>
      <c r="K3257" s="469">
        <v>1.05</v>
      </c>
    </row>
    <row r="3258" spans="2:11" x14ac:dyDescent="0.35">
      <c r="B3258" s="62">
        <v>6</v>
      </c>
      <c r="C3258" s="471">
        <v>3274</v>
      </c>
      <c r="D3258" s="471">
        <v>3248.3</v>
      </c>
      <c r="E3258" s="469">
        <v>21.71</v>
      </c>
      <c r="F3258" s="469">
        <v>6.4</v>
      </c>
      <c r="G3258" s="469">
        <v>8.6</v>
      </c>
      <c r="H3258" s="470">
        <v>198</v>
      </c>
      <c r="I3258" s="470">
        <v>231</v>
      </c>
      <c r="J3258" s="470">
        <v>1823</v>
      </c>
      <c r="K3258" s="469">
        <v>1.05</v>
      </c>
    </row>
    <row r="3259" spans="2:11" x14ac:dyDescent="0.35">
      <c r="B3259" s="62">
        <v>6</v>
      </c>
      <c r="C3259" s="471">
        <v>3275</v>
      </c>
      <c r="D3259" s="471">
        <v>3249.3</v>
      </c>
      <c r="E3259" s="469">
        <v>20.22</v>
      </c>
      <c r="F3259" s="469">
        <v>8</v>
      </c>
      <c r="G3259" s="469">
        <v>9.5</v>
      </c>
      <c r="H3259" s="470">
        <v>195</v>
      </c>
      <c r="I3259" s="470">
        <v>231</v>
      </c>
      <c r="J3259" s="470">
        <v>1885</v>
      </c>
      <c r="K3259" s="469">
        <v>1.05</v>
      </c>
    </row>
    <row r="3260" spans="2:11" x14ac:dyDescent="0.35">
      <c r="B3260" s="62">
        <v>6</v>
      </c>
      <c r="C3260" s="471">
        <v>3276</v>
      </c>
      <c r="D3260" s="471">
        <v>3250.3</v>
      </c>
      <c r="E3260" s="469">
        <v>19.87</v>
      </c>
      <c r="F3260" s="469">
        <v>6.9</v>
      </c>
      <c r="G3260" s="469">
        <v>9.1999999999999993</v>
      </c>
      <c r="H3260" s="470">
        <v>195</v>
      </c>
      <c r="I3260" s="470">
        <v>229</v>
      </c>
      <c r="J3260" s="470">
        <v>1896</v>
      </c>
      <c r="K3260" s="469">
        <v>1.05</v>
      </c>
    </row>
    <row r="3261" spans="2:11" x14ac:dyDescent="0.35">
      <c r="B3261" s="62">
        <v>6</v>
      </c>
      <c r="C3261" s="471">
        <v>3277</v>
      </c>
      <c r="D3261" s="471">
        <v>3251.2</v>
      </c>
      <c r="E3261" s="469">
        <v>17.89</v>
      </c>
      <c r="F3261" s="469">
        <v>7.2</v>
      </c>
      <c r="G3261" s="469">
        <v>9</v>
      </c>
      <c r="H3261" s="470">
        <v>197</v>
      </c>
      <c r="I3261" s="470">
        <v>229</v>
      </c>
      <c r="J3261" s="470">
        <v>1859</v>
      </c>
      <c r="K3261" s="469">
        <v>1.05</v>
      </c>
    </row>
    <row r="3262" spans="2:11" x14ac:dyDescent="0.35">
      <c r="B3262" s="62">
        <v>6</v>
      </c>
      <c r="C3262" s="471">
        <v>3278</v>
      </c>
      <c r="D3262" s="471">
        <v>3252.2</v>
      </c>
      <c r="E3262" s="469">
        <v>17.059999999999999</v>
      </c>
      <c r="F3262" s="469">
        <v>8.3000000000000007</v>
      </c>
      <c r="G3262" s="469">
        <v>9.6999999999999993</v>
      </c>
      <c r="H3262" s="470">
        <v>197</v>
      </c>
      <c r="I3262" s="470">
        <v>229</v>
      </c>
      <c r="J3262" s="470">
        <v>1924</v>
      </c>
      <c r="K3262" s="469">
        <v>1.05</v>
      </c>
    </row>
    <row r="3263" spans="2:11" x14ac:dyDescent="0.35">
      <c r="B3263" s="62">
        <v>6</v>
      </c>
      <c r="C3263" s="471">
        <v>3279</v>
      </c>
      <c r="D3263" s="471">
        <v>3253.2</v>
      </c>
      <c r="E3263" s="469">
        <v>19.52</v>
      </c>
      <c r="F3263" s="469">
        <v>8.6</v>
      </c>
      <c r="G3263" s="469">
        <v>9.6</v>
      </c>
      <c r="H3263" s="470">
        <v>192</v>
      </c>
      <c r="I3263" s="470">
        <v>229</v>
      </c>
      <c r="J3263" s="470">
        <v>1931</v>
      </c>
      <c r="K3263" s="469">
        <v>1.05</v>
      </c>
    </row>
    <row r="3264" spans="2:11" x14ac:dyDescent="0.35">
      <c r="B3264" s="62">
        <v>6</v>
      </c>
      <c r="C3264" s="471">
        <v>3280</v>
      </c>
      <c r="D3264" s="471">
        <v>3254.2</v>
      </c>
      <c r="E3264" s="469">
        <v>19.260000000000002</v>
      </c>
      <c r="F3264" s="469">
        <v>8.6</v>
      </c>
      <c r="G3264" s="469">
        <v>9.8000000000000007</v>
      </c>
      <c r="H3264" s="470">
        <v>195</v>
      </c>
      <c r="I3264" s="470">
        <v>229</v>
      </c>
      <c r="J3264" s="470">
        <v>1948</v>
      </c>
      <c r="K3264" s="469">
        <v>1.05</v>
      </c>
    </row>
    <row r="3265" spans="2:11" x14ac:dyDescent="0.35">
      <c r="B3265" s="62">
        <v>6</v>
      </c>
      <c r="C3265" s="471">
        <v>3281</v>
      </c>
      <c r="D3265" s="471">
        <v>3255.2</v>
      </c>
      <c r="E3265" s="469">
        <v>15.06</v>
      </c>
      <c r="F3265" s="469">
        <v>7.5</v>
      </c>
      <c r="G3265" s="469">
        <v>9.6999999999999993</v>
      </c>
      <c r="H3265" s="470">
        <v>195</v>
      </c>
      <c r="I3265" s="470">
        <v>230</v>
      </c>
      <c r="J3265" s="470">
        <v>1921</v>
      </c>
      <c r="K3265" s="469">
        <v>1.05</v>
      </c>
    </row>
    <row r="3266" spans="2:11" x14ac:dyDescent="0.35">
      <c r="B3266" s="62">
        <v>6</v>
      </c>
      <c r="C3266" s="471">
        <v>3282</v>
      </c>
      <c r="D3266" s="471">
        <v>3256.2</v>
      </c>
      <c r="E3266" s="469">
        <v>16.28</v>
      </c>
      <c r="F3266" s="469">
        <v>6.6</v>
      </c>
      <c r="G3266" s="469">
        <v>8.8000000000000007</v>
      </c>
      <c r="H3266" s="470">
        <v>198</v>
      </c>
      <c r="I3266" s="470">
        <v>230</v>
      </c>
      <c r="J3266" s="470">
        <v>1807</v>
      </c>
      <c r="K3266" s="469">
        <v>1.05</v>
      </c>
    </row>
    <row r="3267" spans="2:11" x14ac:dyDescent="0.35">
      <c r="B3267" s="62">
        <v>6</v>
      </c>
      <c r="C3267" s="471">
        <v>3283</v>
      </c>
      <c r="D3267" s="471">
        <v>3257.2</v>
      </c>
      <c r="E3267" s="469">
        <v>18.27</v>
      </c>
      <c r="F3267" s="469">
        <v>8.6999999999999993</v>
      </c>
      <c r="G3267" s="469">
        <v>8.8000000000000007</v>
      </c>
      <c r="H3267" s="470">
        <v>199</v>
      </c>
      <c r="I3267" s="470">
        <v>229</v>
      </c>
      <c r="J3267" s="470">
        <v>1846</v>
      </c>
      <c r="K3267" s="469">
        <v>1.05</v>
      </c>
    </row>
    <row r="3268" spans="2:11" x14ac:dyDescent="0.35">
      <c r="B3268" s="62">
        <v>6</v>
      </c>
      <c r="C3268" s="471">
        <v>3284</v>
      </c>
      <c r="D3268" s="471">
        <v>3258.2</v>
      </c>
      <c r="E3268" s="469">
        <v>21.48</v>
      </c>
      <c r="F3268" s="469">
        <v>7.5</v>
      </c>
      <c r="G3268" s="469">
        <v>9.1999999999999993</v>
      </c>
      <c r="H3268" s="470">
        <v>197</v>
      </c>
      <c r="I3268" s="470">
        <v>229</v>
      </c>
      <c r="J3268" s="470">
        <v>1965</v>
      </c>
      <c r="K3268" s="469">
        <v>1.05</v>
      </c>
    </row>
    <row r="3269" spans="2:11" x14ac:dyDescent="0.35">
      <c r="B3269" s="62">
        <v>6</v>
      </c>
      <c r="C3269" s="471">
        <v>3285</v>
      </c>
      <c r="D3269" s="471">
        <v>3259.1</v>
      </c>
      <c r="E3269" s="469">
        <v>18.829999999999998</v>
      </c>
      <c r="F3269" s="469">
        <v>6.5</v>
      </c>
      <c r="G3269" s="469">
        <v>9.6</v>
      </c>
      <c r="H3269" s="470">
        <v>196</v>
      </c>
      <c r="I3269" s="470">
        <v>229</v>
      </c>
      <c r="J3269" s="470">
        <v>1966</v>
      </c>
      <c r="K3269" s="469">
        <v>1.05</v>
      </c>
    </row>
    <row r="3270" spans="2:11" x14ac:dyDescent="0.35">
      <c r="B3270" s="62">
        <v>6</v>
      </c>
      <c r="C3270" s="471">
        <v>3286</v>
      </c>
      <c r="D3270" s="471">
        <v>3260.1</v>
      </c>
      <c r="E3270" s="469">
        <v>7.55</v>
      </c>
      <c r="F3270" s="469">
        <v>7.1</v>
      </c>
      <c r="G3270" s="469">
        <v>9</v>
      </c>
      <c r="H3270" s="470">
        <v>198</v>
      </c>
      <c r="I3270" s="470">
        <v>230</v>
      </c>
      <c r="J3270" s="470">
        <v>1786</v>
      </c>
      <c r="K3270" s="469">
        <v>1.05</v>
      </c>
    </row>
    <row r="3271" spans="2:11" x14ac:dyDescent="0.35">
      <c r="B3271" s="62">
        <v>6</v>
      </c>
      <c r="C3271" s="471">
        <v>3287</v>
      </c>
      <c r="D3271" s="471">
        <v>3261.1</v>
      </c>
      <c r="E3271" s="469">
        <v>26.44</v>
      </c>
      <c r="F3271" s="469">
        <v>3.9</v>
      </c>
      <c r="G3271" s="469">
        <v>9</v>
      </c>
      <c r="H3271" s="470">
        <v>200</v>
      </c>
      <c r="I3271" s="470">
        <v>236</v>
      </c>
      <c r="J3271" s="470">
        <v>1516</v>
      </c>
      <c r="K3271" s="469">
        <v>1.05</v>
      </c>
    </row>
    <row r="3272" spans="2:11" x14ac:dyDescent="0.35">
      <c r="B3272" s="62">
        <v>6</v>
      </c>
      <c r="C3272" s="471">
        <v>3288</v>
      </c>
      <c r="D3272" s="471">
        <v>3262.1</v>
      </c>
      <c r="E3272" s="469">
        <v>21.8</v>
      </c>
      <c r="F3272" s="469">
        <v>7.9</v>
      </c>
      <c r="G3272" s="469">
        <v>9.6</v>
      </c>
      <c r="H3272" s="470">
        <v>196</v>
      </c>
      <c r="I3272" s="470">
        <v>229</v>
      </c>
      <c r="J3272" s="470">
        <v>1846</v>
      </c>
      <c r="K3272" s="469">
        <v>1.05</v>
      </c>
    </row>
    <row r="3273" spans="2:11" x14ac:dyDescent="0.35">
      <c r="B3273" s="62">
        <v>6</v>
      </c>
      <c r="C3273" s="471">
        <v>3289</v>
      </c>
      <c r="D3273" s="471">
        <v>3263.1</v>
      </c>
      <c r="E3273" s="469">
        <v>16.420000000000002</v>
      </c>
      <c r="F3273" s="469">
        <v>8.5</v>
      </c>
      <c r="G3273" s="469">
        <v>9.6999999999999993</v>
      </c>
      <c r="H3273" s="470">
        <v>194</v>
      </c>
      <c r="I3273" s="470">
        <v>229</v>
      </c>
      <c r="J3273" s="470">
        <v>1871</v>
      </c>
      <c r="K3273" s="469">
        <v>1.05</v>
      </c>
    </row>
    <row r="3274" spans="2:11" x14ac:dyDescent="0.35">
      <c r="B3274" s="62">
        <v>6</v>
      </c>
      <c r="C3274" s="471">
        <v>3290</v>
      </c>
      <c r="D3274" s="471">
        <v>3264.1</v>
      </c>
      <c r="E3274" s="469">
        <v>15.4</v>
      </c>
      <c r="F3274" s="469">
        <v>7.7</v>
      </c>
      <c r="G3274" s="469">
        <v>9.1999999999999993</v>
      </c>
      <c r="H3274" s="470">
        <v>199</v>
      </c>
      <c r="I3274" s="470">
        <v>229</v>
      </c>
      <c r="J3274" s="470">
        <v>1775</v>
      </c>
      <c r="K3274" s="469">
        <v>1.05</v>
      </c>
    </row>
    <row r="3275" spans="2:11" x14ac:dyDescent="0.35">
      <c r="B3275" s="62">
        <v>6</v>
      </c>
      <c r="C3275" s="471">
        <v>3291</v>
      </c>
      <c r="D3275" s="471">
        <v>3265.03</v>
      </c>
      <c r="E3275" s="469">
        <v>13.3</v>
      </c>
      <c r="F3275" s="469">
        <v>7.8</v>
      </c>
      <c r="G3275" s="469">
        <v>9.1999999999999993</v>
      </c>
      <c r="H3275" s="470">
        <v>204</v>
      </c>
      <c r="I3275" s="470">
        <v>235</v>
      </c>
      <c r="J3275" s="470">
        <v>1731</v>
      </c>
      <c r="K3275" s="469">
        <v>1.05</v>
      </c>
    </row>
    <row r="3276" spans="2:11" x14ac:dyDescent="0.35">
      <c r="B3276" s="62">
        <v>6</v>
      </c>
      <c r="C3276" s="471">
        <v>3292</v>
      </c>
      <c r="D3276" s="471">
        <v>3266.02</v>
      </c>
      <c r="E3276" s="469">
        <v>15.46</v>
      </c>
      <c r="F3276" s="469">
        <v>7.8</v>
      </c>
      <c r="G3276" s="469">
        <v>9.1</v>
      </c>
      <c r="H3276" s="470">
        <v>201</v>
      </c>
      <c r="I3276" s="470">
        <v>233</v>
      </c>
      <c r="J3276" s="470">
        <v>1785</v>
      </c>
      <c r="K3276" s="469">
        <v>1.05</v>
      </c>
    </row>
    <row r="3277" spans="2:11" x14ac:dyDescent="0.35">
      <c r="B3277" s="62">
        <v>6</v>
      </c>
      <c r="C3277" s="471">
        <v>3293</v>
      </c>
      <c r="D3277" s="471">
        <v>3267.03</v>
      </c>
      <c r="E3277" s="469">
        <v>13.67</v>
      </c>
      <c r="F3277" s="469">
        <v>7.6</v>
      </c>
      <c r="G3277" s="469">
        <v>8.9</v>
      </c>
      <c r="H3277" s="470">
        <v>204</v>
      </c>
      <c r="I3277" s="470">
        <v>237</v>
      </c>
      <c r="J3277" s="470">
        <v>1722</v>
      </c>
      <c r="K3277" s="469">
        <v>1.05</v>
      </c>
    </row>
    <row r="3278" spans="2:11" x14ac:dyDescent="0.35">
      <c r="B3278" s="62">
        <v>6</v>
      </c>
      <c r="C3278" s="471">
        <v>3294</v>
      </c>
      <c r="D3278" s="471">
        <v>3268.05</v>
      </c>
      <c r="E3278" s="469">
        <v>14.25</v>
      </c>
      <c r="F3278" s="469">
        <v>8.3000000000000007</v>
      </c>
      <c r="G3278" s="469">
        <v>9.6999999999999993</v>
      </c>
      <c r="H3278" s="470">
        <v>204</v>
      </c>
      <c r="I3278" s="470">
        <v>237</v>
      </c>
      <c r="J3278" s="470">
        <v>1765</v>
      </c>
      <c r="K3278" s="469">
        <v>1.05</v>
      </c>
    </row>
    <row r="3279" spans="2:11" x14ac:dyDescent="0.35">
      <c r="B3279" s="62">
        <v>6</v>
      </c>
      <c r="C3279" s="471">
        <v>3295</v>
      </c>
      <c r="D3279" s="471">
        <v>3268.99</v>
      </c>
      <c r="E3279" s="469">
        <v>14.25</v>
      </c>
      <c r="F3279" s="469">
        <v>7.9</v>
      </c>
      <c r="G3279" s="469">
        <v>8.6999999999999993</v>
      </c>
      <c r="H3279" s="470">
        <v>206</v>
      </c>
      <c r="I3279" s="470">
        <v>237</v>
      </c>
      <c r="J3279" s="470">
        <v>1725</v>
      </c>
      <c r="K3279" s="469">
        <v>1.05</v>
      </c>
    </row>
    <row r="3280" spans="2:11" x14ac:dyDescent="0.35">
      <c r="B3280" s="62">
        <v>6</v>
      </c>
      <c r="C3280" s="471">
        <v>3296</v>
      </c>
      <c r="D3280" s="471">
        <v>3270.01</v>
      </c>
      <c r="E3280" s="469">
        <v>15.78</v>
      </c>
      <c r="F3280" s="469">
        <v>7.7</v>
      </c>
      <c r="G3280" s="469">
        <v>8.4</v>
      </c>
      <c r="H3280" s="470">
        <v>203</v>
      </c>
      <c r="I3280" s="470">
        <v>235</v>
      </c>
      <c r="J3280" s="470">
        <v>1696</v>
      </c>
      <c r="K3280" s="469">
        <v>1.05</v>
      </c>
    </row>
    <row r="3281" spans="2:11" x14ac:dyDescent="0.35">
      <c r="B3281" s="62">
        <v>6</v>
      </c>
      <c r="C3281" s="471">
        <v>3297</v>
      </c>
      <c r="D3281" s="471">
        <v>3270.97</v>
      </c>
      <c r="E3281" s="469">
        <v>15.49</v>
      </c>
      <c r="F3281" s="469">
        <v>8.1</v>
      </c>
      <c r="G3281" s="469">
        <v>9.4</v>
      </c>
      <c r="H3281" s="470">
        <v>203</v>
      </c>
      <c r="I3281" s="470">
        <v>236</v>
      </c>
      <c r="J3281" s="470">
        <v>1761</v>
      </c>
      <c r="K3281" s="469">
        <v>1.05</v>
      </c>
    </row>
    <row r="3282" spans="2:11" x14ac:dyDescent="0.35">
      <c r="B3282" s="62">
        <v>6</v>
      </c>
      <c r="C3282" s="471">
        <v>3298</v>
      </c>
      <c r="D3282" s="471">
        <v>3271.94</v>
      </c>
      <c r="E3282" s="469">
        <v>16.87</v>
      </c>
      <c r="F3282" s="469">
        <v>7.3</v>
      </c>
      <c r="G3282" s="469">
        <v>9</v>
      </c>
      <c r="H3282" s="470">
        <v>205</v>
      </c>
      <c r="I3282" s="470">
        <v>236</v>
      </c>
      <c r="J3282" s="470">
        <v>1796</v>
      </c>
      <c r="K3282" s="469">
        <v>1.05</v>
      </c>
    </row>
    <row r="3283" spans="2:11" x14ac:dyDescent="0.35">
      <c r="B3283" s="62">
        <v>6</v>
      </c>
      <c r="C3283" s="471">
        <v>3299</v>
      </c>
      <c r="D3283" s="471">
        <v>3272.95</v>
      </c>
      <c r="E3283" s="469">
        <v>12.65</v>
      </c>
      <c r="F3283" s="469">
        <v>8.3000000000000007</v>
      </c>
      <c r="G3283" s="469">
        <v>8.8000000000000007</v>
      </c>
      <c r="H3283" s="470">
        <v>205</v>
      </c>
      <c r="I3283" s="470">
        <v>235</v>
      </c>
      <c r="J3283" s="470">
        <v>1709</v>
      </c>
      <c r="K3283" s="469">
        <v>1.05</v>
      </c>
    </row>
    <row r="3284" spans="2:11" x14ac:dyDescent="0.35">
      <c r="B3284" s="62">
        <v>6</v>
      </c>
      <c r="C3284" s="471">
        <v>3300</v>
      </c>
      <c r="D3284" s="471">
        <v>3273.95</v>
      </c>
      <c r="E3284" s="469">
        <v>11.72</v>
      </c>
      <c r="F3284" s="469">
        <v>7.8</v>
      </c>
      <c r="G3284" s="469">
        <v>8.5</v>
      </c>
      <c r="H3284" s="470">
        <v>206</v>
      </c>
      <c r="I3284" s="470">
        <v>237</v>
      </c>
      <c r="J3284" s="470">
        <v>1666</v>
      </c>
      <c r="K3284" s="469">
        <v>1.05</v>
      </c>
    </row>
    <row r="3285" spans="2:11" x14ac:dyDescent="0.35">
      <c r="B3285" s="62">
        <v>6</v>
      </c>
      <c r="C3285" s="471">
        <v>3301</v>
      </c>
      <c r="D3285" s="471">
        <v>3274.9</v>
      </c>
      <c r="E3285" s="469">
        <v>11.5</v>
      </c>
      <c r="F3285" s="469">
        <v>7.9</v>
      </c>
      <c r="G3285" s="469">
        <v>8.8000000000000007</v>
      </c>
      <c r="H3285" s="470">
        <v>204</v>
      </c>
      <c r="I3285" s="470">
        <v>235</v>
      </c>
      <c r="J3285" s="470">
        <v>1702</v>
      </c>
      <c r="K3285" s="469">
        <v>1.05</v>
      </c>
    </row>
    <row r="3286" spans="2:11" x14ac:dyDescent="0.35">
      <c r="B3286" s="62">
        <v>6</v>
      </c>
      <c r="C3286" s="471">
        <v>3302</v>
      </c>
      <c r="D3286" s="471">
        <v>3275.9</v>
      </c>
      <c r="E3286" s="469">
        <v>12.2</v>
      </c>
      <c r="F3286" s="469">
        <v>7.4</v>
      </c>
      <c r="G3286" s="469">
        <v>9.1</v>
      </c>
      <c r="H3286" s="470">
        <v>202</v>
      </c>
      <c r="I3286" s="470">
        <v>233</v>
      </c>
      <c r="J3286" s="470">
        <v>1761</v>
      </c>
      <c r="K3286" s="469">
        <v>1.05</v>
      </c>
    </row>
    <row r="3287" spans="2:11" x14ac:dyDescent="0.35">
      <c r="B3287" s="62">
        <v>6</v>
      </c>
      <c r="C3287" s="471">
        <v>3303</v>
      </c>
      <c r="D3287" s="471">
        <v>3276.89</v>
      </c>
      <c r="E3287" s="469">
        <v>12.01</v>
      </c>
      <c r="F3287" s="469">
        <v>7.4</v>
      </c>
      <c r="G3287" s="469">
        <v>9.6</v>
      </c>
      <c r="H3287" s="470">
        <v>199</v>
      </c>
      <c r="I3287" s="470">
        <v>229</v>
      </c>
      <c r="J3287" s="470">
        <v>1787</v>
      </c>
      <c r="K3287" s="469">
        <v>1.05</v>
      </c>
    </row>
    <row r="3288" spans="2:11" x14ac:dyDescent="0.35">
      <c r="B3288" s="62">
        <v>6</v>
      </c>
      <c r="C3288" s="471">
        <v>3304</v>
      </c>
      <c r="D3288" s="471">
        <v>3277.86</v>
      </c>
      <c r="E3288" s="469">
        <v>14.26</v>
      </c>
      <c r="F3288" s="469">
        <v>7.6</v>
      </c>
      <c r="G3288" s="469">
        <v>9.1</v>
      </c>
      <c r="H3288" s="470">
        <v>201</v>
      </c>
      <c r="I3288" s="470">
        <v>229</v>
      </c>
      <c r="J3288" s="470">
        <v>1804</v>
      </c>
      <c r="K3288" s="469">
        <v>1.05</v>
      </c>
    </row>
    <row r="3289" spans="2:11" x14ac:dyDescent="0.35">
      <c r="B3289" s="62">
        <v>6</v>
      </c>
      <c r="C3289" s="471">
        <v>3305</v>
      </c>
      <c r="D3289" s="471">
        <v>3278.84</v>
      </c>
      <c r="E3289" s="469">
        <v>12.52</v>
      </c>
      <c r="F3289" s="469">
        <v>7</v>
      </c>
      <c r="G3289" s="469">
        <v>9.3000000000000007</v>
      </c>
      <c r="H3289" s="470">
        <v>202</v>
      </c>
      <c r="I3289" s="470">
        <v>230</v>
      </c>
      <c r="J3289" s="470">
        <v>1795</v>
      </c>
      <c r="K3289" s="469">
        <v>1.05</v>
      </c>
    </row>
    <row r="3290" spans="2:11" x14ac:dyDescent="0.35">
      <c r="B3290" s="62">
        <v>6</v>
      </c>
      <c r="C3290" s="471">
        <v>3306</v>
      </c>
      <c r="D3290" s="471">
        <v>3279.88</v>
      </c>
      <c r="E3290" s="469">
        <v>12.64</v>
      </c>
      <c r="F3290" s="469">
        <v>6.8</v>
      </c>
      <c r="G3290" s="469">
        <v>8.6999999999999993</v>
      </c>
      <c r="H3290" s="470">
        <v>202</v>
      </c>
      <c r="I3290" s="470">
        <v>231</v>
      </c>
      <c r="J3290" s="470">
        <v>1723</v>
      </c>
      <c r="K3290" s="469">
        <v>1.05</v>
      </c>
    </row>
    <row r="3291" spans="2:11" x14ac:dyDescent="0.35">
      <c r="B3291" s="62">
        <v>6</v>
      </c>
      <c r="C3291" s="471">
        <v>3307</v>
      </c>
      <c r="D3291" s="471">
        <v>3280.86</v>
      </c>
      <c r="E3291" s="469">
        <v>10.4</v>
      </c>
      <c r="F3291" s="469">
        <v>6.6</v>
      </c>
      <c r="G3291" s="469">
        <v>8.8000000000000007</v>
      </c>
      <c r="H3291" s="470">
        <v>198</v>
      </c>
      <c r="I3291" s="470">
        <v>229</v>
      </c>
      <c r="J3291" s="470">
        <v>1755</v>
      </c>
      <c r="K3291" s="469">
        <v>1.05</v>
      </c>
    </row>
    <row r="3292" spans="2:11" x14ac:dyDescent="0.35">
      <c r="B3292" s="62">
        <v>6</v>
      </c>
      <c r="C3292" s="471">
        <v>3308</v>
      </c>
      <c r="D3292" s="471">
        <v>3281.84</v>
      </c>
      <c r="E3292" s="469">
        <v>9.73</v>
      </c>
      <c r="F3292" s="469">
        <v>6.6</v>
      </c>
      <c r="G3292" s="469">
        <v>8.9</v>
      </c>
      <c r="H3292" s="470">
        <v>200</v>
      </c>
      <c r="I3292" s="470">
        <v>230</v>
      </c>
      <c r="J3292" s="470">
        <v>1720</v>
      </c>
      <c r="K3292" s="469">
        <v>1.05</v>
      </c>
    </row>
    <row r="3293" spans="2:11" x14ac:dyDescent="0.35">
      <c r="B3293" s="62">
        <v>6</v>
      </c>
      <c r="C3293" s="471">
        <v>3309</v>
      </c>
      <c r="D3293" s="471">
        <v>3282.82</v>
      </c>
      <c r="E3293" s="469">
        <v>10.199999999999999</v>
      </c>
      <c r="F3293" s="469">
        <v>7.2</v>
      </c>
      <c r="G3293" s="469">
        <v>8.5</v>
      </c>
      <c r="H3293" s="470">
        <v>196</v>
      </c>
      <c r="I3293" s="470">
        <v>229</v>
      </c>
      <c r="J3293" s="470">
        <v>1764</v>
      </c>
      <c r="K3293" s="469">
        <v>1.05</v>
      </c>
    </row>
    <row r="3294" spans="2:11" x14ac:dyDescent="0.35">
      <c r="B3294" s="62">
        <v>6</v>
      </c>
      <c r="C3294" s="471">
        <v>3310</v>
      </c>
      <c r="D3294" s="471">
        <v>3283.81</v>
      </c>
      <c r="E3294" s="469">
        <v>11.1</v>
      </c>
      <c r="F3294" s="469">
        <v>7.7</v>
      </c>
      <c r="G3294" s="469">
        <v>8.3000000000000007</v>
      </c>
      <c r="H3294" s="470">
        <v>202</v>
      </c>
      <c r="I3294" s="470">
        <v>229</v>
      </c>
      <c r="J3294" s="470">
        <v>1751</v>
      </c>
      <c r="K3294" s="469">
        <v>1.05</v>
      </c>
    </row>
    <row r="3295" spans="2:11" x14ac:dyDescent="0.35">
      <c r="B3295" s="62">
        <v>6</v>
      </c>
      <c r="C3295" s="471">
        <v>3311</v>
      </c>
      <c r="D3295" s="471">
        <v>3284.77</v>
      </c>
      <c r="E3295" s="469">
        <v>10.69</v>
      </c>
      <c r="F3295" s="469">
        <v>7.4</v>
      </c>
      <c r="G3295" s="469">
        <v>8.6</v>
      </c>
      <c r="H3295" s="470">
        <v>202</v>
      </c>
      <c r="I3295" s="470">
        <v>229</v>
      </c>
      <c r="J3295" s="470">
        <v>1686</v>
      </c>
      <c r="K3295" s="469">
        <v>1.05</v>
      </c>
    </row>
    <row r="3296" spans="2:11" x14ac:dyDescent="0.35">
      <c r="B3296" s="62">
        <v>6</v>
      </c>
      <c r="C3296" s="471">
        <v>3312</v>
      </c>
      <c r="D3296" s="471">
        <v>3285.76</v>
      </c>
      <c r="E3296" s="469">
        <v>11.1</v>
      </c>
      <c r="F3296" s="469">
        <v>7.9</v>
      </c>
      <c r="G3296" s="469">
        <v>8.4</v>
      </c>
      <c r="H3296" s="470">
        <v>201</v>
      </c>
      <c r="I3296" s="470">
        <v>228</v>
      </c>
      <c r="J3296" s="470">
        <v>1664</v>
      </c>
      <c r="K3296" s="469">
        <v>1.05</v>
      </c>
    </row>
    <row r="3297" spans="2:11" x14ac:dyDescent="0.35">
      <c r="B3297" s="62">
        <v>6</v>
      </c>
      <c r="C3297" s="471">
        <v>3313</v>
      </c>
      <c r="D3297" s="471">
        <v>3286.77</v>
      </c>
      <c r="E3297" s="469">
        <v>12.74</v>
      </c>
      <c r="F3297" s="469">
        <v>8.3000000000000007</v>
      </c>
      <c r="G3297" s="469">
        <v>8.6999999999999993</v>
      </c>
      <c r="H3297" s="470">
        <v>197</v>
      </c>
      <c r="I3297" s="470">
        <v>228</v>
      </c>
      <c r="J3297" s="470">
        <v>1775</v>
      </c>
      <c r="K3297" s="469">
        <v>1.05</v>
      </c>
    </row>
    <row r="3298" spans="2:11" x14ac:dyDescent="0.35">
      <c r="B3298" s="62">
        <v>6</v>
      </c>
      <c r="C3298" s="471">
        <v>3314</v>
      </c>
      <c r="D3298" s="471">
        <v>3287.74</v>
      </c>
      <c r="E3298" s="469">
        <v>12.24</v>
      </c>
      <c r="F3298" s="469">
        <v>8.1999999999999993</v>
      </c>
      <c r="G3298" s="469">
        <v>9.6</v>
      </c>
      <c r="H3298" s="470">
        <v>197</v>
      </c>
      <c r="I3298" s="470">
        <v>229</v>
      </c>
      <c r="J3298" s="470">
        <v>1810</v>
      </c>
      <c r="K3298" s="469">
        <v>1.05</v>
      </c>
    </row>
    <row r="3299" spans="2:11" x14ac:dyDescent="0.35">
      <c r="B3299" s="62">
        <v>6</v>
      </c>
      <c r="C3299" s="471">
        <v>3315</v>
      </c>
      <c r="D3299" s="471">
        <v>3288.77</v>
      </c>
      <c r="E3299" s="469">
        <v>17.75</v>
      </c>
      <c r="F3299" s="469">
        <v>7.1</v>
      </c>
      <c r="G3299" s="469">
        <v>8.8000000000000007</v>
      </c>
      <c r="H3299" s="470">
        <v>198</v>
      </c>
      <c r="I3299" s="470">
        <v>228</v>
      </c>
      <c r="J3299" s="470">
        <v>1744</v>
      </c>
      <c r="K3299" s="469">
        <v>1.05</v>
      </c>
    </row>
    <row r="3300" spans="2:11" x14ac:dyDescent="0.35">
      <c r="B3300" s="62">
        <v>6</v>
      </c>
      <c r="C3300" s="471">
        <v>3316</v>
      </c>
      <c r="D3300" s="471">
        <v>3289.76</v>
      </c>
      <c r="E3300" s="469">
        <v>12.76</v>
      </c>
      <c r="F3300" s="469">
        <v>6.2</v>
      </c>
      <c r="G3300" s="469">
        <v>7.8</v>
      </c>
      <c r="H3300" s="470">
        <v>198</v>
      </c>
      <c r="I3300" s="470">
        <v>229</v>
      </c>
      <c r="J3300" s="470">
        <v>1711</v>
      </c>
      <c r="K3300" s="469">
        <v>1.05</v>
      </c>
    </row>
    <row r="3301" spans="2:11" x14ac:dyDescent="0.35">
      <c r="B3301" s="62">
        <v>6</v>
      </c>
      <c r="C3301" s="471">
        <v>3317</v>
      </c>
      <c r="D3301" s="471">
        <v>3290.7</v>
      </c>
      <c r="E3301" s="469">
        <v>15.13</v>
      </c>
      <c r="F3301" s="469">
        <v>7.9</v>
      </c>
      <c r="G3301" s="469">
        <v>9.3000000000000007</v>
      </c>
      <c r="H3301" s="470">
        <v>200</v>
      </c>
      <c r="I3301" s="470">
        <v>228</v>
      </c>
      <c r="J3301" s="470">
        <v>1726</v>
      </c>
      <c r="K3301" s="469">
        <v>1.05</v>
      </c>
    </row>
    <row r="3302" spans="2:11" x14ac:dyDescent="0.35">
      <c r="B3302" s="62">
        <v>6</v>
      </c>
      <c r="C3302" s="471">
        <v>3318</v>
      </c>
      <c r="D3302" s="471">
        <v>3291.71</v>
      </c>
      <c r="E3302" s="469">
        <v>10.51</v>
      </c>
      <c r="F3302" s="469">
        <v>8</v>
      </c>
      <c r="G3302" s="469">
        <v>9.4</v>
      </c>
      <c r="H3302" s="470">
        <v>200</v>
      </c>
      <c r="I3302" s="470">
        <v>229</v>
      </c>
      <c r="J3302" s="470">
        <v>1665</v>
      </c>
      <c r="K3302" s="469">
        <v>1.05</v>
      </c>
    </row>
    <row r="3303" spans="2:11" x14ac:dyDescent="0.35">
      <c r="B3303" s="62">
        <v>6</v>
      </c>
      <c r="C3303" s="471">
        <v>3319</v>
      </c>
      <c r="D3303" s="471">
        <v>3292.65</v>
      </c>
      <c r="E3303" s="469">
        <v>13.36</v>
      </c>
      <c r="F3303" s="469">
        <v>8.1</v>
      </c>
      <c r="G3303" s="469">
        <v>9.8000000000000007</v>
      </c>
      <c r="H3303" s="470">
        <v>189</v>
      </c>
      <c r="I3303" s="470">
        <v>229</v>
      </c>
      <c r="J3303" s="470">
        <v>1737</v>
      </c>
      <c r="K3303" s="469">
        <v>1.05</v>
      </c>
    </row>
    <row r="3304" spans="2:11" x14ac:dyDescent="0.35">
      <c r="B3304" s="62">
        <v>6</v>
      </c>
      <c r="C3304" s="471">
        <v>3320</v>
      </c>
      <c r="D3304" s="471">
        <v>3293.64</v>
      </c>
      <c r="E3304" s="469">
        <v>10.32</v>
      </c>
      <c r="F3304" s="469">
        <v>7.3</v>
      </c>
      <c r="G3304" s="469">
        <v>9</v>
      </c>
      <c r="H3304" s="470">
        <v>201</v>
      </c>
      <c r="I3304" s="470">
        <v>230</v>
      </c>
      <c r="J3304" s="470">
        <v>1651</v>
      </c>
      <c r="K3304" s="469">
        <v>1.05</v>
      </c>
    </row>
    <row r="3305" spans="2:11" x14ac:dyDescent="0.35">
      <c r="B3305" s="62">
        <v>6</v>
      </c>
      <c r="C3305" s="471">
        <v>3321</v>
      </c>
      <c r="D3305" s="471">
        <v>3294.64</v>
      </c>
      <c r="E3305" s="469">
        <v>11.43</v>
      </c>
      <c r="F3305" s="469">
        <v>6.6</v>
      </c>
      <c r="G3305" s="469">
        <v>9.6999999999999993</v>
      </c>
      <c r="H3305" s="470">
        <v>196</v>
      </c>
      <c r="I3305" s="470">
        <v>232</v>
      </c>
      <c r="J3305" s="470">
        <v>1646</v>
      </c>
      <c r="K3305" s="469">
        <v>1.05</v>
      </c>
    </row>
    <row r="3306" spans="2:11" x14ac:dyDescent="0.35">
      <c r="B3306" s="62">
        <v>6</v>
      </c>
      <c r="C3306" s="471">
        <v>3322</v>
      </c>
      <c r="D3306" s="471">
        <v>3295.65</v>
      </c>
      <c r="E3306" s="469">
        <v>8.76</v>
      </c>
      <c r="F3306" s="469">
        <v>5.6</v>
      </c>
      <c r="G3306" s="469">
        <v>8.6</v>
      </c>
      <c r="H3306" s="470">
        <v>207</v>
      </c>
      <c r="I3306" s="470">
        <v>234</v>
      </c>
      <c r="J3306" s="470">
        <v>1521</v>
      </c>
      <c r="K3306" s="469">
        <v>1.05</v>
      </c>
    </row>
    <row r="3307" spans="2:11" x14ac:dyDescent="0.35">
      <c r="B3307" s="62">
        <v>6</v>
      </c>
      <c r="C3307" s="471">
        <v>3323</v>
      </c>
      <c r="D3307" s="471">
        <v>3296.62</v>
      </c>
      <c r="E3307" s="469">
        <v>10.95</v>
      </c>
      <c r="F3307" s="469">
        <v>5.3</v>
      </c>
      <c r="G3307" s="469">
        <v>8.6999999999999993</v>
      </c>
      <c r="H3307" s="470">
        <v>213</v>
      </c>
      <c r="I3307" s="470">
        <v>229</v>
      </c>
      <c r="J3307" s="470">
        <v>1474</v>
      </c>
      <c r="K3307" s="469">
        <v>1.05</v>
      </c>
    </row>
    <row r="3308" spans="2:11" x14ac:dyDescent="0.35">
      <c r="B3308" s="62">
        <v>6</v>
      </c>
      <c r="C3308" s="471">
        <v>3324</v>
      </c>
      <c r="D3308" s="471">
        <v>3297.58</v>
      </c>
      <c r="E3308" s="469">
        <v>12.33</v>
      </c>
      <c r="F3308" s="469">
        <v>6.9</v>
      </c>
      <c r="G3308" s="469">
        <v>8.5</v>
      </c>
      <c r="H3308" s="470">
        <v>214</v>
      </c>
      <c r="I3308" s="470">
        <v>233</v>
      </c>
      <c r="J3308" s="470">
        <v>1573</v>
      </c>
      <c r="K3308" s="469">
        <v>1.05</v>
      </c>
    </row>
    <row r="3309" spans="2:11" x14ac:dyDescent="0.35">
      <c r="B3309" s="62">
        <v>6</v>
      </c>
      <c r="C3309" s="471">
        <v>3325</v>
      </c>
      <c r="D3309" s="471">
        <v>3298.57</v>
      </c>
      <c r="E3309" s="469">
        <v>13.4</v>
      </c>
      <c r="F3309" s="469">
        <v>7.4</v>
      </c>
      <c r="G3309" s="469">
        <v>8.8000000000000007</v>
      </c>
      <c r="H3309" s="470">
        <v>215</v>
      </c>
      <c r="I3309" s="470">
        <v>236</v>
      </c>
      <c r="J3309" s="470">
        <v>1662</v>
      </c>
      <c r="K3309" s="469">
        <v>1.05</v>
      </c>
    </row>
    <row r="3310" spans="2:11" x14ac:dyDescent="0.35">
      <c r="B3310" s="62">
        <v>6</v>
      </c>
      <c r="C3310" s="471">
        <v>3326</v>
      </c>
      <c r="D3310" s="471">
        <v>3299.56</v>
      </c>
      <c r="E3310" s="469">
        <v>10.47</v>
      </c>
      <c r="F3310" s="469">
        <v>7.6</v>
      </c>
      <c r="G3310" s="469">
        <v>8.8000000000000007</v>
      </c>
      <c r="H3310" s="470">
        <v>214</v>
      </c>
      <c r="I3310" s="470">
        <v>235</v>
      </c>
      <c r="J3310" s="470">
        <v>1630</v>
      </c>
      <c r="K3310" s="469">
        <v>1.05</v>
      </c>
    </row>
    <row r="3311" spans="2:11" x14ac:dyDescent="0.35">
      <c r="B3311" s="62">
        <v>6</v>
      </c>
      <c r="C3311" s="471">
        <v>3327</v>
      </c>
      <c r="D3311" s="471">
        <v>3300.56</v>
      </c>
      <c r="E3311" s="469">
        <v>12.53</v>
      </c>
      <c r="F3311" s="469">
        <v>7.3</v>
      </c>
      <c r="G3311" s="469">
        <v>8.9</v>
      </c>
      <c r="H3311" s="470">
        <v>212</v>
      </c>
      <c r="I3311" s="470">
        <v>236</v>
      </c>
      <c r="J3311" s="470">
        <v>1646</v>
      </c>
      <c r="K3311" s="469">
        <v>1.05</v>
      </c>
    </row>
    <row r="3312" spans="2:11" x14ac:dyDescent="0.35">
      <c r="B3312" s="62">
        <v>6</v>
      </c>
      <c r="C3312" s="471">
        <v>3328</v>
      </c>
      <c r="D3312" s="471">
        <v>3301.59</v>
      </c>
      <c r="E3312" s="469">
        <v>18.239999999999998</v>
      </c>
      <c r="F3312" s="469">
        <v>7.7</v>
      </c>
      <c r="G3312" s="469">
        <v>9.1</v>
      </c>
      <c r="H3312" s="470">
        <v>214</v>
      </c>
      <c r="I3312" s="470">
        <v>236</v>
      </c>
      <c r="J3312" s="470">
        <v>1656</v>
      </c>
      <c r="K3312" s="469">
        <v>1.05</v>
      </c>
    </row>
    <row r="3313" spans="2:11" x14ac:dyDescent="0.35">
      <c r="B3313" s="62">
        <v>6</v>
      </c>
      <c r="C3313" s="471">
        <v>3329</v>
      </c>
      <c r="D3313" s="471">
        <v>3302.55</v>
      </c>
      <c r="E3313" s="469">
        <v>14.3</v>
      </c>
      <c r="F3313" s="469">
        <v>7.7</v>
      </c>
      <c r="G3313" s="469">
        <v>9</v>
      </c>
      <c r="H3313" s="470">
        <v>215</v>
      </c>
      <c r="I3313" s="470">
        <v>236</v>
      </c>
      <c r="J3313" s="470">
        <v>1648</v>
      </c>
      <c r="K3313" s="469">
        <v>1.05</v>
      </c>
    </row>
    <row r="3314" spans="2:11" x14ac:dyDescent="0.35">
      <c r="B3314" s="62">
        <v>6</v>
      </c>
      <c r="C3314" s="471">
        <v>3330</v>
      </c>
      <c r="D3314" s="471">
        <v>3303.51</v>
      </c>
      <c r="E3314" s="469">
        <v>16.12</v>
      </c>
      <c r="F3314" s="469">
        <v>7.4</v>
      </c>
      <c r="G3314" s="469">
        <v>8.6999999999999993</v>
      </c>
      <c r="H3314" s="470">
        <v>215</v>
      </c>
      <c r="I3314" s="470">
        <v>236</v>
      </c>
      <c r="J3314" s="470">
        <v>1664</v>
      </c>
      <c r="K3314" s="469">
        <v>1.05</v>
      </c>
    </row>
    <row r="3315" spans="2:11" x14ac:dyDescent="0.35">
      <c r="B3315" s="62">
        <v>6</v>
      </c>
      <c r="C3315" s="471">
        <v>3331</v>
      </c>
      <c r="D3315" s="471">
        <v>3304.49</v>
      </c>
      <c r="E3315" s="469">
        <v>17.079999999999998</v>
      </c>
      <c r="F3315" s="469">
        <v>7.6</v>
      </c>
      <c r="G3315" s="469">
        <v>9.1999999999999993</v>
      </c>
      <c r="H3315" s="470">
        <v>213</v>
      </c>
      <c r="I3315" s="470">
        <v>236</v>
      </c>
      <c r="J3315" s="470">
        <v>1687</v>
      </c>
      <c r="K3315" s="469">
        <v>1.05</v>
      </c>
    </row>
    <row r="3316" spans="2:11" x14ac:dyDescent="0.35">
      <c r="B3316" s="62">
        <v>6</v>
      </c>
      <c r="C3316" s="471">
        <v>3332</v>
      </c>
      <c r="D3316" s="471">
        <v>3305.48</v>
      </c>
      <c r="E3316" s="469">
        <v>17.43</v>
      </c>
      <c r="F3316" s="469">
        <v>7.3</v>
      </c>
      <c r="G3316" s="469">
        <v>9.3000000000000007</v>
      </c>
      <c r="H3316" s="470">
        <v>212</v>
      </c>
      <c r="I3316" s="470">
        <v>237</v>
      </c>
      <c r="J3316" s="470">
        <v>1666</v>
      </c>
      <c r="K3316" s="469">
        <v>1.05</v>
      </c>
    </row>
    <row r="3317" spans="2:11" x14ac:dyDescent="0.35">
      <c r="B3317" s="62">
        <v>6</v>
      </c>
      <c r="C3317" s="471">
        <v>3333</v>
      </c>
      <c r="D3317" s="471">
        <v>3306.51</v>
      </c>
      <c r="E3317" s="469">
        <v>16.54</v>
      </c>
      <c r="F3317" s="469">
        <v>7.5</v>
      </c>
      <c r="G3317" s="469">
        <v>9.1</v>
      </c>
      <c r="H3317" s="470">
        <v>213</v>
      </c>
      <c r="I3317" s="470">
        <v>236</v>
      </c>
      <c r="J3317" s="470">
        <v>1687</v>
      </c>
      <c r="K3317" s="469">
        <v>1.05</v>
      </c>
    </row>
    <row r="3318" spans="2:11" x14ac:dyDescent="0.35">
      <c r="B3318" s="62">
        <v>6</v>
      </c>
      <c r="C3318" s="471">
        <v>3334</v>
      </c>
      <c r="D3318" s="471">
        <v>3307.5</v>
      </c>
      <c r="E3318" s="469">
        <v>14.07</v>
      </c>
      <c r="F3318" s="469">
        <v>7.7</v>
      </c>
      <c r="G3318" s="469">
        <v>8.9</v>
      </c>
      <c r="H3318" s="470">
        <v>214</v>
      </c>
      <c r="I3318" s="470">
        <v>237</v>
      </c>
      <c r="J3318" s="470">
        <v>1646</v>
      </c>
      <c r="K3318" s="469">
        <v>1.05</v>
      </c>
    </row>
    <row r="3319" spans="2:11" x14ac:dyDescent="0.35">
      <c r="B3319" s="62">
        <v>6</v>
      </c>
      <c r="C3319" s="471">
        <v>3335</v>
      </c>
      <c r="D3319" s="471">
        <v>3308.43</v>
      </c>
      <c r="E3319" s="469">
        <v>14.92</v>
      </c>
      <c r="F3319" s="469">
        <v>7.3</v>
      </c>
      <c r="G3319" s="469">
        <v>9</v>
      </c>
      <c r="H3319" s="470">
        <v>214</v>
      </c>
      <c r="I3319" s="470">
        <v>236</v>
      </c>
      <c r="J3319" s="470">
        <v>1697</v>
      </c>
      <c r="K3319" s="469">
        <v>1.05</v>
      </c>
    </row>
    <row r="3320" spans="2:11" x14ac:dyDescent="0.35">
      <c r="B3320" s="62">
        <v>6</v>
      </c>
      <c r="C3320" s="471">
        <v>3336</v>
      </c>
      <c r="D3320" s="471">
        <v>3309.46</v>
      </c>
      <c r="E3320" s="469">
        <v>20.92</v>
      </c>
      <c r="F3320" s="469">
        <v>7.5</v>
      </c>
      <c r="G3320" s="469">
        <v>9.6</v>
      </c>
      <c r="H3320" s="470">
        <v>211</v>
      </c>
      <c r="I3320" s="470">
        <v>233</v>
      </c>
      <c r="J3320" s="470">
        <v>1725</v>
      </c>
      <c r="K3320" s="469">
        <v>1.05</v>
      </c>
    </row>
    <row r="3321" spans="2:11" x14ac:dyDescent="0.35">
      <c r="B3321" s="62">
        <v>6</v>
      </c>
      <c r="C3321" s="471">
        <v>3337</v>
      </c>
      <c r="D3321" s="471">
        <v>3310.46</v>
      </c>
      <c r="E3321" s="469">
        <v>22.31</v>
      </c>
      <c r="F3321" s="469">
        <v>7.4</v>
      </c>
      <c r="G3321" s="469">
        <v>9.1</v>
      </c>
      <c r="H3321" s="470">
        <v>210</v>
      </c>
      <c r="I3321" s="470">
        <v>232</v>
      </c>
      <c r="J3321" s="470">
        <v>1756</v>
      </c>
      <c r="K3321" s="469">
        <v>1.05</v>
      </c>
    </row>
    <row r="3322" spans="2:11" x14ac:dyDescent="0.35">
      <c r="B3322" s="62">
        <v>6</v>
      </c>
      <c r="C3322" s="471">
        <v>3338</v>
      </c>
      <c r="D3322" s="471">
        <v>3311.4</v>
      </c>
      <c r="E3322" s="469">
        <v>16.38</v>
      </c>
      <c r="F3322" s="469">
        <v>7.6</v>
      </c>
      <c r="G3322" s="469">
        <v>9.8000000000000007</v>
      </c>
      <c r="H3322" s="470">
        <v>212</v>
      </c>
      <c r="I3322" s="470">
        <v>235</v>
      </c>
      <c r="J3322" s="470">
        <v>1723</v>
      </c>
      <c r="K3322" s="469">
        <v>1.05</v>
      </c>
    </row>
    <row r="3323" spans="2:11" x14ac:dyDescent="0.35">
      <c r="B3323" s="62">
        <v>6</v>
      </c>
      <c r="C3323" s="471">
        <v>3339</v>
      </c>
      <c r="D3323" s="471">
        <v>3312.4</v>
      </c>
      <c r="E3323" s="469">
        <v>20.7</v>
      </c>
      <c r="F3323" s="469">
        <v>7.5</v>
      </c>
      <c r="G3323" s="469">
        <v>9.8000000000000007</v>
      </c>
      <c r="H3323" s="470">
        <v>207</v>
      </c>
      <c r="I3323" s="470">
        <v>232</v>
      </c>
      <c r="J3323" s="470">
        <v>1753</v>
      </c>
      <c r="K3323" s="469">
        <v>1.05</v>
      </c>
    </row>
    <row r="3324" spans="2:11" x14ac:dyDescent="0.35">
      <c r="B3324" s="62">
        <v>6</v>
      </c>
      <c r="C3324" s="471">
        <v>3340</v>
      </c>
      <c r="D3324" s="471">
        <v>3313.42</v>
      </c>
      <c r="E3324" s="469">
        <v>16.510000000000002</v>
      </c>
      <c r="F3324" s="469">
        <v>7.6</v>
      </c>
      <c r="G3324" s="469">
        <v>9.3000000000000007</v>
      </c>
      <c r="H3324" s="470">
        <v>212</v>
      </c>
      <c r="I3324" s="470">
        <v>233</v>
      </c>
      <c r="J3324" s="470">
        <v>1719</v>
      </c>
      <c r="K3324" s="469">
        <v>1.05</v>
      </c>
    </row>
    <row r="3325" spans="2:11" x14ac:dyDescent="0.35">
      <c r="B3325" s="62">
        <v>6</v>
      </c>
      <c r="C3325" s="471">
        <v>3341</v>
      </c>
      <c r="D3325" s="471">
        <v>3314.36</v>
      </c>
      <c r="E3325" s="469">
        <v>13.11</v>
      </c>
      <c r="F3325" s="469">
        <v>7.6</v>
      </c>
      <c r="G3325" s="469">
        <v>8.4</v>
      </c>
      <c r="H3325" s="470">
        <v>215</v>
      </c>
      <c r="I3325" s="470">
        <v>236</v>
      </c>
      <c r="J3325" s="470">
        <v>1659</v>
      </c>
      <c r="K3325" s="469">
        <v>1.05</v>
      </c>
    </row>
    <row r="3326" spans="2:11" x14ac:dyDescent="0.35">
      <c r="B3326" s="62">
        <v>6</v>
      </c>
      <c r="C3326" s="471">
        <v>3342</v>
      </c>
      <c r="D3326" s="471">
        <v>3315.39</v>
      </c>
      <c r="E3326" s="469">
        <v>20.059999999999999</v>
      </c>
      <c r="F3326" s="469">
        <v>7.2</v>
      </c>
      <c r="G3326" s="469">
        <v>9.4</v>
      </c>
      <c r="H3326" s="470">
        <v>213</v>
      </c>
      <c r="I3326" s="470">
        <v>236</v>
      </c>
      <c r="J3326" s="470">
        <v>1730</v>
      </c>
      <c r="K3326" s="469">
        <v>1.05</v>
      </c>
    </row>
    <row r="3327" spans="2:11" x14ac:dyDescent="0.35">
      <c r="B3327" s="62">
        <v>6</v>
      </c>
      <c r="C3327" s="471">
        <v>3343</v>
      </c>
      <c r="D3327" s="471">
        <v>3316.38</v>
      </c>
      <c r="E3327" s="469">
        <v>14.62</v>
      </c>
      <c r="F3327" s="469">
        <v>7.3</v>
      </c>
      <c r="G3327" s="469">
        <v>9.4</v>
      </c>
      <c r="H3327" s="470">
        <v>212</v>
      </c>
      <c r="I3327" s="470">
        <v>236</v>
      </c>
      <c r="J3327" s="470">
        <v>1706</v>
      </c>
      <c r="K3327" s="469">
        <v>1.05</v>
      </c>
    </row>
    <row r="3328" spans="2:11" x14ac:dyDescent="0.35">
      <c r="B3328" s="62">
        <v>6</v>
      </c>
      <c r="C3328" s="471">
        <v>3344</v>
      </c>
      <c r="D3328" s="471">
        <v>3317.37</v>
      </c>
      <c r="E3328" s="469">
        <v>16.53</v>
      </c>
      <c r="F3328" s="469">
        <v>6.9</v>
      </c>
      <c r="G3328" s="469">
        <v>8.8000000000000007</v>
      </c>
      <c r="H3328" s="470">
        <v>213</v>
      </c>
      <c r="I3328" s="470">
        <v>235</v>
      </c>
      <c r="J3328" s="470">
        <v>1650</v>
      </c>
      <c r="K3328" s="469">
        <v>1.05</v>
      </c>
    </row>
    <row r="3329" spans="2:11" x14ac:dyDescent="0.35">
      <c r="B3329" s="62">
        <v>6</v>
      </c>
      <c r="C3329" s="471">
        <v>3345</v>
      </c>
      <c r="D3329" s="471">
        <v>3318.36</v>
      </c>
      <c r="E3329" s="469">
        <v>18.02</v>
      </c>
      <c r="F3329" s="469">
        <v>6.2</v>
      </c>
      <c r="G3329" s="469">
        <v>9.1</v>
      </c>
      <c r="H3329" s="470">
        <v>208</v>
      </c>
      <c r="I3329" s="470">
        <v>224</v>
      </c>
      <c r="J3329" s="470">
        <v>1557</v>
      </c>
      <c r="K3329" s="469">
        <v>1.05</v>
      </c>
    </row>
    <row r="3330" spans="2:11" x14ac:dyDescent="0.35">
      <c r="B3330" s="62">
        <v>6</v>
      </c>
      <c r="C3330" s="471">
        <v>3346</v>
      </c>
      <c r="D3330" s="471">
        <v>3319.34</v>
      </c>
      <c r="E3330" s="469">
        <v>17.05</v>
      </c>
      <c r="F3330" s="469">
        <v>7.2</v>
      </c>
      <c r="G3330" s="469">
        <v>9.6999999999999993</v>
      </c>
      <c r="H3330" s="470">
        <v>207</v>
      </c>
      <c r="I3330" s="470">
        <v>226</v>
      </c>
      <c r="J3330" s="470">
        <v>1678</v>
      </c>
      <c r="K3330" s="469">
        <v>1.05</v>
      </c>
    </row>
    <row r="3331" spans="2:11" x14ac:dyDescent="0.35">
      <c r="B3331" s="62">
        <v>6</v>
      </c>
      <c r="C3331" s="471">
        <v>3347</v>
      </c>
      <c r="D3331" s="471">
        <v>3320.3</v>
      </c>
      <c r="E3331" s="469">
        <v>10.96</v>
      </c>
      <c r="F3331" s="469">
        <v>8</v>
      </c>
      <c r="G3331" s="469">
        <v>8.6999999999999993</v>
      </c>
      <c r="H3331" s="470">
        <v>215</v>
      </c>
      <c r="I3331" s="470">
        <v>236</v>
      </c>
      <c r="J3331" s="470">
        <v>1648</v>
      </c>
      <c r="K3331" s="469">
        <v>1.05</v>
      </c>
    </row>
    <row r="3332" spans="2:11" x14ac:dyDescent="0.35">
      <c r="B3332" s="62">
        <v>6</v>
      </c>
      <c r="C3332" s="471">
        <v>3348</v>
      </c>
      <c r="D3332" s="471">
        <v>3321.29</v>
      </c>
      <c r="E3332" s="469">
        <v>14.41</v>
      </c>
      <c r="F3332" s="469">
        <v>7.8</v>
      </c>
      <c r="G3332" s="469">
        <v>8.4</v>
      </c>
      <c r="H3332" s="470">
        <v>214</v>
      </c>
      <c r="I3332" s="470">
        <v>234</v>
      </c>
      <c r="J3332" s="470">
        <v>1689</v>
      </c>
      <c r="K3332" s="469">
        <v>1.05</v>
      </c>
    </row>
    <row r="3333" spans="2:11" x14ac:dyDescent="0.35">
      <c r="B3333" s="62">
        <v>6</v>
      </c>
      <c r="C3333" s="471">
        <v>3349</v>
      </c>
      <c r="D3333" s="471">
        <v>3322.28</v>
      </c>
      <c r="E3333" s="469">
        <v>19.420000000000002</v>
      </c>
      <c r="F3333" s="469">
        <v>8.1</v>
      </c>
      <c r="G3333" s="469">
        <v>9.8000000000000007</v>
      </c>
      <c r="H3333" s="470">
        <v>208</v>
      </c>
      <c r="I3333" s="470">
        <v>230</v>
      </c>
      <c r="J3333" s="470">
        <v>1780</v>
      </c>
      <c r="K3333" s="469">
        <v>1.05</v>
      </c>
    </row>
    <row r="3334" spans="2:11" x14ac:dyDescent="0.35">
      <c r="B3334" s="62">
        <v>6</v>
      </c>
      <c r="C3334" s="471">
        <v>3350</v>
      </c>
      <c r="D3334" s="471">
        <v>3323.25</v>
      </c>
      <c r="E3334" s="469">
        <v>15.42</v>
      </c>
      <c r="F3334" s="469">
        <v>8</v>
      </c>
      <c r="G3334" s="469">
        <v>9</v>
      </c>
      <c r="H3334" s="470">
        <v>209</v>
      </c>
      <c r="I3334" s="470">
        <v>231</v>
      </c>
      <c r="J3334" s="470">
        <v>1781</v>
      </c>
      <c r="K3334" s="469">
        <v>1.05</v>
      </c>
    </row>
    <row r="3335" spans="2:11" x14ac:dyDescent="0.35">
      <c r="B3335" s="62">
        <v>6</v>
      </c>
      <c r="C3335" s="471">
        <v>3351</v>
      </c>
      <c r="D3335" s="471">
        <v>3324.22</v>
      </c>
      <c r="E3335" s="469">
        <v>17.05</v>
      </c>
      <c r="F3335" s="469">
        <v>8.1</v>
      </c>
      <c r="G3335" s="469">
        <v>9.1</v>
      </c>
      <c r="H3335" s="470">
        <v>210</v>
      </c>
      <c r="I3335" s="470">
        <v>229</v>
      </c>
      <c r="J3335" s="470">
        <v>1810</v>
      </c>
      <c r="K3335" s="469">
        <v>1.05</v>
      </c>
    </row>
    <row r="3336" spans="2:11" x14ac:dyDescent="0.35">
      <c r="B3336" s="62">
        <v>6</v>
      </c>
      <c r="C3336" s="471">
        <v>3352</v>
      </c>
      <c r="D3336" s="471">
        <v>3325.21</v>
      </c>
      <c r="E3336" s="469">
        <v>23.35</v>
      </c>
      <c r="F3336" s="469">
        <v>8</v>
      </c>
      <c r="G3336" s="469">
        <v>8.8000000000000007</v>
      </c>
      <c r="H3336" s="470">
        <v>210</v>
      </c>
      <c r="I3336" s="470">
        <v>229</v>
      </c>
      <c r="J3336" s="470">
        <v>1796</v>
      </c>
      <c r="K3336" s="469">
        <v>1.05</v>
      </c>
    </row>
    <row r="3337" spans="2:11" x14ac:dyDescent="0.35">
      <c r="B3337" s="62">
        <v>6</v>
      </c>
      <c r="C3337" s="471">
        <v>3353</v>
      </c>
      <c r="D3337" s="471">
        <v>3326.24</v>
      </c>
      <c r="E3337" s="469">
        <v>19.93</v>
      </c>
      <c r="F3337" s="469">
        <v>7.9</v>
      </c>
      <c r="G3337" s="469">
        <v>9.4</v>
      </c>
      <c r="H3337" s="470">
        <v>207</v>
      </c>
      <c r="I3337" s="470">
        <v>231</v>
      </c>
      <c r="J3337" s="470">
        <v>1779</v>
      </c>
      <c r="K3337" s="469">
        <v>1.05</v>
      </c>
    </row>
    <row r="3338" spans="2:11" x14ac:dyDescent="0.35">
      <c r="B3338" s="62">
        <v>6</v>
      </c>
      <c r="C3338" s="471">
        <v>3354</v>
      </c>
      <c r="D3338" s="471">
        <v>3327.2</v>
      </c>
      <c r="E3338" s="469">
        <v>13.64</v>
      </c>
      <c r="F3338" s="469">
        <v>8.3000000000000007</v>
      </c>
      <c r="G3338" s="469">
        <v>9.1999999999999993</v>
      </c>
      <c r="H3338" s="470">
        <v>213</v>
      </c>
      <c r="I3338" s="470">
        <v>235</v>
      </c>
      <c r="J3338" s="470">
        <v>1713</v>
      </c>
      <c r="K3338" s="469">
        <v>1.05</v>
      </c>
    </row>
    <row r="3339" spans="2:11" x14ac:dyDescent="0.35">
      <c r="B3339" s="62">
        <v>6</v>
      </c>
      <c r="C3339" s="471">
        <v>3355</v>
      </c>
      <c r="D3339" s="471">
        <v>3328.21</v>
      </c>
      <c r="E3339" s="469">
        <v>9.2100000000000009</v>
      </c>
      <c r="F3339" s="469">
        <v>8.4</v>
      </c>
      <c r="G3339" s="469">
        <v>8.1</v>
      </c>
      <c r="H3339" s="470">
        <v>216</v>
      </c>
      <c r="I3339" s="470">
        <v>236</v>
      </c>
      <c r="J3339" s="470">
        <v>1634</v>
      </c>
      <c r="K3339" s="469">
        <v>1.05</v>
      </c>
    </row>
    <row r="3340" spans="2:11" x14ac:dyDescent="0.35">
      <c r="B3340" s="62">
        <v>6</v>
      </c>
      <c r="C3340" s="471">
        <v>3356</v>
      </c>
      <c r="D3340" s="471">
        <v>3329.16</v>
      </c>
      <c r="E3340" s="469">
        <v>11.54</v>
      </c>
      <c r="F3340" s="469">
        <v>8.1999999999999993</v>
      </c>
      <c r="G3340" s="469">
        <v>8.9</v>
      </c>
      <c r="H3340" s="470">
        <v>214</v>
      </c>
      <c r="I3340" s="470">
        <v>236</v>
      </c>
      <c r="J3340" s="470">
        <v>1688</v>
      </c>
      <c r="K3340" s="469">
        <v>1.05</v>
      </c>
    </row>
    <row r="3341" spans="2:11" x14ac:dyDescent="0.35">
      <c r="B3341" s="62">
        <v>6</v>
      </c>
      <c r="C3341" s="471">
        <v>3357</v>
      </c>
      <c r="D3341" s="471">
        <v>3330.16</v>
      </c>
      <c r="E3341" s="469">
        <v>15.14</v>
      </c>
      <c r="F3341" s="469">
        <v>8.1999999999999993</v>
      </c>
      <c r="G3341" s="469">
        <v>8.6999999999999993</v>
      </c>
      <c r="H3341" s="470">
        <v>214</v>
      </c>
      <c r="I3341" s="470">
        <v>236</v>
      </c>
      <c r="J3341" s="470">
        <v>1709</v>
      </c>
      <c r="K3341" s="469">
        <v>1.05</v>
      </c>
    </row>
    <row r="3342" spans="2:11" x14ac:dyDescent="0.35">
      <c r="B3342" s="62">
        <v>6</v>
      </c>
      <c r="C3342" s="471">
        <v>3358</v>
      </c>
      <c r="D3342" s="471">
        <v>3331.14</v>
      </c>
      <c r="E3342" s="469">
        <v>14.36</v>
      </c>
      <c r="F3342" s="469">
        <v>7.4</v>
      </c>
      <c r="G3342" s="469">
        <v>9.1999999999999993</v>
      </c>
      <c r="H3342" s="470">
        <v>213</v>
      </c>
      <c r="I3342" s="470">
        <v>236</v>
      </c>
      <c r="J3342" s="470">
        <v>1685</v>
      </c>
      <c r="K3342" s="469">
        <v>1.05</v>
      </c>
    </row>
    <row r="3343" spans="2:11" x14ac:dyDescent="0.35">
      <c r="B3343" s="62">
        <v>6</v>
      </c>
      <c r="C3343" s="471">
        <v>3359</v>
      </c>
      <c r="D3343" s="471">
        <v>3332.12</v>
      </c>
      <c r="E3343" s="469">
        <v>10.41</v>
      </c>
      <c r="F3343" s="469">
        <v>7.9</v>
      </c>
      <c r="G3343" s="469">
        <v>8.6</v>
      </c>
      <c r="H3343" s="470">
        <v>216</v>
      </c>
      <c r="I3343" s="470">
        <v>237</v>
      </c>
      <c r="J3343" s="470">
        <v>1630</v>
      </c>
      <c r="K3343" s="469">
        <v>1.05</v>
      </c>
    </row>
    <row r="3344" spans="2:11" x14ac:dyDescent="0.35">
      <c r="B3344" s="62">
        <v>6</v>
      </c>
      <c r="C3344" s="471">
        <v>3360</v>
      </c>
      <c r="D3344" s="471">
        <v>3333.09</v>
      </c>
      <c r="E3344" s="469">
        <v>8.91</v>
      </c>
      <c r="F3344" s="469">
        <v>8</v>
      </c>
      <c r="G3344" s="469">
        <v>8.1999999999999993</v>
      </c>
      <c r="H3344" s="470">
        <v>215</v>
      </c>
      <c r="I3344" s="470">
        <v>235</v>
      </c>
      <c r="J3344" s="470">
        <v>1607</v>
      </c>
      <c r="K3344" s="469">
        <v>1.05</v>
      </c>
    </row>
    <row r="3345" spans="2:11" x14ac:dyDescent="0.35">
      <c r="B3345" s="62">
        <v>6</v>
      </c>
      <c r="C3345" s="471">
        <v>3361</v>
      </c>
      <c r="D3345" s="471">
        <v>3334.12</v>
      </c>
      <c r="E3345" s="469">
        <v>11.41</v>
      </c>
      <c r="F3345" s="469">
        <v>7.9</v>
      </c>
      <c r="G3345" s="469">
        <v>9</v>
      </c>
      <c r="H3345" s="470">
        <v>215</v>
      </c>
      <c r="I3345" s="470">
        <v>236</v>
      </c>
      <c r="J3345" s="470">
        <v>1594</v>
      </c>
      <c r="K3345" s="469">
        <v>1.05</v>
      </c>
    </row>
    <row r="3346" spans="2:11" x14ac:dyDescent="0.35">
      <c r="B3346" s="62">
        <v>6</v>
      </c>
      <c r="C3346" s="471">
        <v>3362</v>
      </c>
      <c r="D3346" s="471">
        <v>3335.12</v>
      </c>
      <c r="E3346" s="469">
        <v>10.73</v>
      </c>
      <c r="F3346" s="469">
        <v>8.3000000000000007</v>
      </c>
      <c r="G3346" s="469">
        <v>8.8000000000000007</v>
      </c>
      <c r="H3346" s="470">
        <v>215</v>
      </c>
      <c r="I3346" s="470">
        <v>237</v>
      </c>
      <c r="J3346" s="470">
        <v>1604</v>
      </c>
      <c r="K3346" s="469">
        <v>1.05</v>
      </c>
    </row>
    <row r="3347" spans="2:11" x14ac:dyDescent="0.35">
      <c r="B3347" s="62">
        <v>6</v>
      </c>
      <c r="C3347" s="471">
        <v>3363</v>
      </c>
      <c r="D3347" s="471">
        <v>3336.06</v>
      </c>
      <c r="E3347" s="469">
        <v>11.06</v>
      </c>
      <c r="F3347" s="469">
        <v>8</v>
      </c>
      <c r="G3347" s="469">
        <v>8.5</v>
      </c>
      <c r="H3347" s="470">
        <v>215</v>
      </c>
      <c r="I3347" s="470">
        <v>236</v>
      </c>
      <c r="J3347" s="470">
        <v>1602</v>
      </c>
      <c r="K3347" s="469">
        <v>1.05</v>
      </c>
    </row>
    <row r="3348" spans="2:11" x14ac:dyDescent="0.35">
      <c r="B3348" s="62">
        <v>6</v>
      </c>
      <c r="C3348" s="471">
        <v>3364</v>
      </c>
      <c r="D3348" s="471">
        <v>3337.06</v>
      </c>
      <c r="E3348" s="469">
        <v>10.44</v>
      </c>
      <c r="F3348" s="469">
        <v>8.1</v>
      </c>
      <c r="G3348" s="469">
        <v>9.1</v>
      </c>
      <c r="H3348" s="470">
        <v>215</v>
      </c>
      <c r="I3348" s="470">
        <v>236</v>
      </c>
      <c r="J3348" s="470">
        <v>1618</v>
      </c>
      <c r="K3348" s="469">
        <v>1.05</v>
      </c>
    </row>
    <row r="3349" spans="2:11" x14ac:dyDescent="0.35">
      <c r="B3349" s="62">
        <v>6</v>
      </c>
      <c r="C3349" s="471">
        <v>3365</v>
      </c>
      <c r="D3349" s="471">
        <v>3338.1</v>
      </c>
      <c r="E3349" s="469">
        <v>7.51</v>
      </c>
      <c r="F3349" s="469">
        <v>8.1999999999999993</v>
      </c>
      <c r="G3349" s="469">
        <v>8.1999999999999993</v>
      </c>
      <c r="H3349" s="470">
        <v>216</v>
      </c>
      <c r="I3349" s="470">
        <v>237</v>
      </c>
      <c r="J3349" s="470">
        <v>1552</v>
      </c>
      <c r="K3349" s="469">
        <v>1.05</v>
      </c>
    </row>
    <row r="3350" spans="2:11" x14ac:dyDescent="0.35">
      <c r="B3350" s="62">
        <v>6</v>
      </c>
      <c r="C3350" s="471">
        <v>3366</v>
      </c>
      <c r="D3350" s="471">
        <v>3339.04</v>
      </c>
      <c r="E3350" s="469">
        <v>9.35</v>
      </c>
      <c r="F3350" s="469">
        <v>8.1</v>
      </c>
      <c r="G3350" s="469">
        <v>9.1999999999999993</v>
      </c>
      <c r="H3350" s="470">
        <v>215</v>
      </c>
      <c r="I3350" s="470">
        <v>236</v>
      </c>
      <c r="J3350" s="470">
        <v>1592</v>
      </c>
      <c r="K3350" s="469">
        <v>1.05</v>
      </c>
    </row>
    <row r="3351" spans="2:11" x14ac:dyDescent="0.35">
      <c r="B3351" s="62">
        <v>6</v>
      </c>
      <c r="C3351" s="471">
        <v>3367</v>
      </c>
      <c r="D3351" s="471">
        <v>3340.06</v>
      </c>
      <c r="E3351" s="469">
        <v>9.1199999999999992</v>
      </c>
      <c r="F3351" s="469">
        <v>7.8</v>
      </c>
      <c r="G3351" s="469">
        <v>8.5</v>
      </c>
      <c r="H3351" s="470">
        <v>216</v>
      </c>
      <c r="I3351" s="470">
        <v>237</v>
      </c>
      <c r="J3351" s="470">
        <v>1606</v>
      </c>
      <c r="K3351" s="469">
        <v>1.05</v>
      </c>
    </row>
    <row r="3352" spans="2:11" x14ac:dyDescent="0.35">
      <c r="B3352" s="62">
        <v>6</v>
      </c>
      <c r="C3352" s="471">
        <v>3368</v>
      </c>
      <c r="D3352" s="471">
        <v>3341.05</v>
      </c>
      <c r="E3352" s="469">
        <v>8.6300000000000008</v>
      </c>
      <c r="F3352" s="469">
        <v>8</v>
      </c>
      <c r="G3352" s="469">
        <v>8.8000000000000007</v>
      </c>
      <c r="H3352" s="470">
        <v>215</v>
      </c>
      <c r="I3352" s="470">
        <v>236</v>
      </c>
      <c r="J3352" s="470">
        <v>1594</v>
      </c>
      <c r="K3352" s="469">
        <v>1.05</v>
      </c>
    </row>
    <row r="3353" spans="2:11" x14ac:dyDescent="0.35">
      <c r="B3353" s="62">
        <v>6</v>
      </c>
      <c r="C3353" s="471">
        <v>3369</v>
      </c>
      <c r="D3353" s="471">
        <v>3342.03</v>
      </c>
      <c r="E3353" s="469">
        <v>10.85</v>
      </c>
      <c r="F3353" s="469">
        <v>8</v>
      </c>
      <c r="G3353" s="469">
        <v>8.8000000000000007</v>
      </c>
      <c r="H3353" s="470">
        <v>216</v>
      </c>
      <c r="I3353" s="470">
        <v>237</v>
      </c>
      <c r="J3353" s="470">
        <v>1619</v>
      </c>
      <c r="K3353" s="469">
        <v>1.05</v>
      </c>
    </row>
    <row r="3354" spans="2:11" x14ac:dyDescent="0.35">
      <c r="B3354" s="62">
        <v>6</v>
      </c>
      <c r="C3354" s="471">
        <v>3370</v>
      </c>
      <c r="D3354" s="471">
        <v>3342.96</v>
      </c>
      <c r="E3354" s="469">
        <v>9.33</v>
      </c>
      <c r="F3354" s="469">
        <v>7.9</v>
      </c>
      <c r="G3354" s="469">
        <v>9</v>
      </c>
      <c r="H3354" s="470">
        <v>215</v>
      </c>
      <c r="I3354" s="470">
        <v>237</v>
      </c>
      <c r="J3354" s="470">
        <v>1595</v>
      </c>
      <c r="K3354" s="469">
        <v>1.05</v>
      </c>
    </row>
    <row r="3355" spans="2:11" x14ac:dyDescent="0.35">
      <c r="B3355" s="62">
        <v>6</v>
      </c>
      <c r="C3355" s="471">
        <v>3371</v>
      </c>
      <c r="D3355" s="471">
        <v>3343.95</v>
      </c>
      <c r="E3355" s="469">
        <v>8.25</v>
      </c>
      <c r="F3355" s="469">
        <v>8.1</v>
      </c>
      <c r="G3355" s="469">
        <v>9.3000000000000007</v>
      </c>
      <c r="H3355" s="470">
        <v>215</v>
      </c>
      <c r="I3355" s="470">
        <v>236</v>
      </c>
      <c r="J3355" s="470">
        <v>1608</v>
      </c>
      <c r="K3355" s="469">
        <v>1.05</v>
      </c>
    </row>
    <row r="3356" spans="2:11" x14ac:dyDescent="0.35">
      <c r="B3356" s="62">
        <v>6</v>
      </c>
      <c r="C3356" s="471">
        <v>3372</v>
      </c>
      <c r="D3356" s="471">
        <v>3344.93</v>
      </c>
      <c r="E3356" s="469">
        <v>7.87</v>
      </c>
      <c r="F3356" s="469">
        <v>8.1999999999999993</v>
      </c>
      <c r="G3356" s="469">
        <v>8.6999999999999993</v>
      </c>
      <c r="H3356" s="470">
        <v>216</v>
      </c>
      <c r="I3356" s="470">
        <v>236</v>
      </c>
      <c r="J3356" s="470">
        <v>1587</v>
      </c>
      <c r="K3356" s="469">
        <v>1.05</v>
      </c>
    </row>
    <row r="3357" spans="2:11" x14ac:dyDescent="0.35">
      <c r="B3357" s="62">
        <v>6</v>
      </c>
      <c r="C3357" s="471">
        <v>3373</v>
      </c>
      <c r="D3357" s="471">
        <v>3345.94</v>
      </c>
      <c r="E3357" s="469">
        <v>8.43</v>
      </c>
      <c r="F3357" s="469">
        <v>8.3000000000000007</v>
      </c>
      <c r="G3357" s="469">
        <v>8.9</v>
      </c>
      <c r="H3357" s="470">
        <v>216</v>
      </c>
      <c r="I3357" s="470">
        <v>237</v>
      </c>
      <c r="J3357" s="470">
        <v>1611</v>
      </c>
      <c r="K3357" s="469">
        <v>1.05</v>
      </c>
    </row>
    <row r="3358" spans="2:11" x14ac:dyDescent="0.35">
      <c r="B3358" s="62">
        <v>6</v>
      </c>
      <c r="C3358" s="471">
        <v>3374</v>
      </c>
      <c r="D3358" s="471">
        <v>3346.95</v>
      </c>
      <c r="E3358" s="469">
        <v>8.1999999999999993</v>
      </c>
      <c r="F3358" s="469">
        <v>6.4</v>
      </c>
      <c r="G3358" s="469">
        <v>8.5</v>
      </c>
      <c r="H3358" s="470">
        <v>218</v>
      </c>
      <c r="I3358" s="470">
        <v>241</v>
      </c>
      <c r="J3358" s="470">
        <v>1544</v>
      </c>
      <c r="K3358" s="469">
        <v>1.05</v>
      </c>
    </row>
    <row r="3359" spans="2:11" x14ac:dyDescent="0.35">
      <c r="B3359" s="62">
        <v>6</v>
      </c>
      <c r="C3359" s="471">
        <v>3375</v>
      </c>
      <c r="D3359" s="471">
        <v>3347.9</v>
      </c>
      <c r="E3359" s="469">
        <v>7.38</v>
      </c>
      <c r="F3359" s="469">
        <v>8.4</v>
      </c>
      <c r="G3359" s="469">
        <v>8.1999999999999993</v>
      </c>
      <c r="H3359" s="470">
        <v>217</v>
      </c>
      <c r="I3359" s="470">
        <v>238</v>
      </c>
      <c r="J3359" s="470">
        <v>1596</v>
      </c>
      <c r="K3359" s="469">
        <v>1.05</v>
      </c>
    </row>
    <row r="3360" spans="2:11" x14ac:dyDescent="0.35">
      <c r="B3360" s="62">
        <v>6</v>
      </c>
      <c r="C3360" s="471">
        <v>3376</v>
      </c>
      <c r="D3360" s="471">
        <v>3348.89</v>
      </c>
      <c r="E3360" s="469">
        <v>6.08</v>
      </c>
      <c r="F3360" s="469">
        <v>8.4</v>
      </c>
      <c r="G3360" s="469">
        <v>8.3000000000000007</v>
      </c>
      <c r="H3360" s="470">
        <v>219</v>
      </c>
      <c r="I3360" s="470">
        <v>242</v>
      </c>
      <c r="J3360" s="470">
        <v>1558</v>
      </c>
      <c r="K3360" s="469">
        <v>1.05</v>
      </c>
    </row>
    <row r="3361" spans="2:11" x14ac:dyDescent="0.35">
      <c r="B3361" s="62">
        <v>6</v>
      </c>
      <c r="C3361" s="471">
        <v>3377</v>
      </c>
      <c r="D3361" s="471">
        <v>3349.91</v>
      </c>
      <c r="E3361" s="469">
        <v>4.84</v>
      </c>
      <c r="F3361" s="469">
        <v>7.2</v>
      </c>
      <c r="G3361" s="469">
        <v>8.4</v>
      </c>
      <c r="H3361" s="470">
        <v>227</v>
      </c>
      <c r="I3361" s="470">
        <v>243</v>
      </c>
      <c r="J3361" s="470">
        <v>1519</v>
      </c>
      <c r="K3361" s="469">
        <v>1.05</v>
      </c>
    </row>
    <row r="3362" spans="2:11" x14ac:dyDescent="0.35">
      <c r="B3362" s="62">
        <v>6</v>
      </c>
      <c r="C3362" s="471">
        <v>3378</v>
      </c>
      <c r="D3362" s="471">
        <v>3350.9</v>
      </c>
      <c r="E3362" s="469">
        <v>7.47</v>
      </c>
      <c r="F3362" s="469">
        <v>7.8</v>
      </c>
      <c r="G3362" s="469">
        <v>8.5</v>
      </c>
      <c r="H3362" s="470">
        <v>232</v>
      </c>
      <c r="I3362" s="470">
        <v>241</v>
      </c>
      <c r="J3362" s="470">
        <v>1563</v>
      </c>
      <c r="K3362" s="469">
        <v>1.05</v>
      </c>
    </row>
    <row r="3363" spans="2:11" x14ac:dyDescent="0.35">
      <c r="B3363" s="62">
        <v>6</v>
      </c>
      <c r="C3363" s="471">
        <v>3379</v>
      </c>
      <c r="D3363" s="471">
        <v>3351.89</v>
      </c>
      <c r="E3363" s="469">
        <v>10.85</v>
      </c>
      <c r="F3363" s="469">
        <v>8.1</v>
      </c>
      <c r="G3363" s="469">
        <v>8.6</v>
      </c>
      <c r="H3363" s="470">
        <v>230</v>
      </c>
      <c r="I3363" s="470">
        <v>237</v>
      </c>
      <c r="J3363" s="470">
        <v>1621</v>
      </c>
      <c r="K3363" s="469">
        <v>1.05</v>
      </c>
    </row>
    <row r="3364" spans="2:11" x14ac:dyDescent="0.35">
      <c r="B3364" s="62">
        <v>6</v>
      </c>
      <c r="C3364" s="471">
        <v>3380</v>
      </c>
      <c r="D3364" s="471">
        <v>3352.85</v>
      </c>
      <c r="E3364" s="469">
        <v>13.45</v>
      </c>
      <c r="F3364" s="469">
        <v>8.5</v>
      </c>
      <c r="G3364" s="469">
        <v>8.6999999999999993</v>
      </c>
      <c r="H3364" s="470">
        <v>230</v>
      </c>
      <c r="I3364" s="470">
        <v>238</v>
      </c>
      <c r="J3364" s="470">
        <v>1639</v>
      </c>
      <c r="K3364" s="469">
        <v>1.05</v>
      </c>
    </row>
    <row r="3365" spans="2:11" x14ac:dyDescent="0.35">
      <c r="B3365" s="62">
        <v>6</v>
      </c>
      <c r="C3365" s="471">
        <v>3381</v>
      </c>
      <c r="D3365" s="471">
        <v>3353.8</v>
      </c>
      <c r="E3365" s="469">
        <v>10.53</v>
      </c>
      <c r="F3365" s="469">
        <v>8.1999999999999993</v>
      </c>
      <c r="G3365" s="469">
        <v>8.6999999999999993</v>
      </c>
      <c r="H3365" s="470">
        <v>229</v>
      </c>
      <c r="I3365" s="470">
        <v>236</v>
      </c>
      <c r="J3365" s="470">
        <v>1631</v>
      </c>
      <c r="K3365" s="469">
        <v>1.05</v>
      </c>
    </row>
    <row r="3366" spans="2:11" x14ac:dyDescent="0.35">
      <c r="B3366" s="62">
        <v>6</v>
      </c>
      <c r="C3366" s="471">
        <v>3382</v>
      </c>
      <c r="D3366" s="471">
        <v>3354.84</v>
      </c>
      <c r="E3366" s="469">
        <v>9.8000000000000007</v>
      </c>
      <c r="F3366" s="469">
        <v>8.4</v>
      </c>
      <c r="G3366" s="469">
        <v>8.6999999999999993</v>
      </c>
      <c r="H3366" s="470">
        <v>229</v>
      </c>
      <c r="I3366" s="470">
        <v>236</v>
      </c>
      <c r="J3366" s="470">
        <v>1634</v>
      </c>
      <c r="K3366" s="469">
        <v>1.05</v>
      </c>
    </row>
    <row r="3367" spans="2:11" x14ac:dyDescent="0.35">
      <c r="B3367" s="62">
        <v>6</v>
      </c>
      <c r="C3367" s="471">
        <v>3383</v>
      </c>
      <c r="D3367" s="471">
        <v>3355.81</v>
      </c>
      <c r="E3367" s="469">
        <v>8.77</v>
      </c>
      <c r="F3367" s="469">
        <v>8.5</v>
      </c>
      <c r="G3367" s="469">
        <v>8.5</v>
      </c>
      <c r="H3367" s="470">
        <v>230</v>
      </c>
      <c r="I3367" s="470">
        <v>237</v>
      </c>
      <c r="J3367" s="470">
        <v>1583</v>
      </c>
      <c r="K3367" s="469">
        <v>1.05</v>
      </c>
    </row>
    <row r="3368" spans="2:11" x14ac:dyDescent="0.35">
      <c r="B3368" s="62">
        <v>6</v>
      </c>
      <c r="C3368" s="471">
        <v>3384</v>
      </c>
      <c r="D3368" s="471">
        <v>3356.83</v>
      </c>
      <c r="E3368" s="469">
        <v>7.98</v>
      </c>
      <c r="F3368" s="469">
        <v>8.1999999999999993</v>
      </c>
      <c r="G3368" s="469">
        <v>8.5</v>
      </c>
      <c r="H3368" s="470">
        <v>230</v>
      </c>
      <c r="I3368" s="470">
        <v>237</v>
      </c>
      <c r="J3368" s="470">
        <v>1585</v>
      </c>
      <c r="K3368" s="469">
        <v>1.05</v>
      </c>
    </row>
    <row r="3369" spans="2:11" x14ac:dyDescent="0.35">
      <c r="B3369" s="62">
        <v>6</v>
      </c>
      <c r="C3369" s="471">
        <v>3385</v>
      </c>
      <c r="D3369" s="471">
        <v>3357.77</v>
      </c>
      <c r="E3369" s="469">
        <v>6.8</v>
      </c>
      <c r="F3369" s="469">
        <v>8</v>
      </c>
      <c r="G3369" s="469">
        <v>8.5</v>
      </c>
      <c r="H3369" s="470">
        <v>232</v>
      </c>
      <c r="I3369" s="470">
        <v>240</v>
      </c>
      <c r="J3369" s="470">
        <v>1557</v>
      </c>
      <c r="K3369" s="469">
        <v>1.05</v>
      </c>
    </row>
    <row r="3370" spans="2:11" x14ac:dyDescent="0.35">
      <c r="B3370" s="62">
        <v>6</v>
      </c>
      <c r="C3370" s="471">
        <v>3386</v>
      </c>
      <c r="D3370" s="471">
        <v>3358.76</v>
      </c>
      <c r="E3370" s="469">
        <v>6.82</v>
      </c>
      <c r="F3370" s="469">
        <v>8</v>
      </c>
      <c r="G3370" s="469">
        <v>8.6</v>
      </c>
      <c r="H3370" s="470">
        <v>232</v>
      </c>
      <c r="I3370" s="470">
        <v>241</v>
      </c>
      <c r="J3370" s="470">
        <v>1545</v>
      </c>
      <c r="K3370" s="469">
        <v>1.05</v>
      </c>
    </row>
    <row r="3371" spans="2:11" x14ac:dyDescent="0.35">
      <c r="B3371" s="62">
        <v>6</v>
      </c>
      <c r="C3371" s="471">
        <v>3387</v>
      </c>
      <c r="D3371" s="471">
        <v>3359.76</v>
      </c>
      <c r="E3371" s="469">
        <v>7.16</v>
      </c>
      <c r="F3371" s="469">
        <v>8</v>
      </c>
      <c r="G3371" s="469">
        <v>8.6</v>
      </c>
      <c r="H3371" s="470">
        <v>231</v>
      </c>
      <c r="I3371" s="470">
        <v>239</v>
      </c>
      <c r="J3371" s="470">
        <v>1568</v>
      </c>
      <c r="K3371" s="469">
        <v>1.05</v>
      </c>
    </row>
    <row r="3372" spans="2:11" x14ac:dyDescent="0.35">
      <c r="B3372" s="62">
        <v>6</v>
      </c>
      <c r="C3372" s="471">
        <v>3388</v>
      </c>
      <c r="D3372" s="471">
        <v>3360.74</v>
      </c>
      <c r="E3372" s="469">
        <v>7.53</v>
      </c>
      <c r="F3372" s="469">
        <v>8.1</v>
      </c>
      <c r="G3372" s="469">
        <v>8.6999999999999993</v>
      </c>
      <c r="H3372" s="470">
        <v>229</v>
      </c>
      <c r="I3372" s="470">
        <v>236</v>
      </c>
      <c r="J3372" s="470">
        <v>1593</v>
      </c>
      <c r="K3372" s="469">
        <v>1.05</v>
      </c>
    </row>
    <row r="3373" spans="2:11" x14ac:dyDescent="0.35">
      <c r="B3373" s="62">
        <v>6</v>
      </c>
      <c r="C3373" s="471">
        <v>3389</v>
      </c>
      <c r="D3373" s="471">
        <v>3361.7</v>
      </c>
      <c r="E3373" s="469">
        <v>7.12</v>
      </c>
      <c r="F3373" s="469">
        <v>8</v>
      </c>
      <c r="G3373" s="469">
        <v>8.6</v>
      </c>
      <c r="H3373" s="470">
        <v>230</v>
      </c>
      <c r="I3373" s="470">
        <v>238</v>
      </c>
      <c r="J3373" s="470">
        <v>1578</v>
      </c>
      <c r="K3373" s="469">
        <v>1.05</v>
      </c>
    </row>
    <row r="3374" spans="2:11" x14ac:dyDescent="0.35">
      <c r="B3374" s="62">
        <v>6</v>
      </c>
      <c r="C3374" s="471">
        <v>3390</v>
      </c>
      <c r="D3374" s="471">
        <v>3362.7</v>
      </c>
      <c r="E3374" s="469">
        <v>8.2100000000000009</v>
      </c>
      <c r="F3374" s="469">
        <v>7.7</v>
      </c>
      <c r="G3374" s="469">
        <v>8.4</v>
      </c>
      <c r="H3374" s="470">
        <v>230</v>
      </c>
      <c r="I3374" s="470">
        <v>238</v>
      </c>
      <c r="J3374" s="470">
        <v>1584</v>
      </c>
      <c r="K3374" s="469">
        <v>1.05</v>
      </c>
    </row>
    <row r="3375" spans="2:11" x14ac:dyDescent="0.35">
      <c r="B3375" s="62">
        <v>6</v>
      </c>
      <c r="C3375" s="471">
        <v>3391</v>
      </c>
      <c r="D3375" s="471">
        <v>3363.68</v>
      </c>
      <c r="E3375" s="469">
        <v>5.15</v>
      </c>
      <c r="F3375" s="469">
        <v>8</v>
      </c>
      <c r="G3375" s="469">
        <v>8.4</v>
      </c>
      <c r="H3375" s="470">
        <v>232</v>
      </c>
      <c r="I3375" s="470">
        <v>242</v>
      </c>
      <c r="J3375" s="470">
        <v>1563</v>
      </c>
      <c r="K3375" s="469">
        <v>1.05</v>
      </c>
    </row>
    <row r="3376" spans="2:11" x14ac:dyDescent="0.35">
      <c r="B3376" s="62">
        <v>6</v>
      </c>
      <c r="C3376" s="471">
        <v>3392</v>
      </c>
      <c r="D3376" s="471">
        <v>3364.67</v>
      </c>
      <c r="E3376" s="469">
        <v>7.47</v>
      </c>
      <c r="F3376" s="469">
        <v>7.9</v>
      </c>
      <c r="G3376" s="469">
        <v>8.6</v>
      </c>
      <c r="H3376" s="470">
        <v>232</v>
      </c>
      <c r="I3376" s="470">
        <v>242</v>
      </c>
      <c r="J3376" s="470">
        <v>1582</v>
      </c>
      <c r="K3376" s="469">
        <v>1.05</v>
      </c>
    </row>
    <row r="3377" spans="2:11" x14ac:dyDescent="0.35">
      <c r="B3377" s="62">
        <v>6</v>
      </c>
      <c r="C3377" s="471">
        <v>3393</v>
      </c>
      <c r="D3377" s="471">
        <v>3365.67</v>
      </c>
      <c r="E3377" s="469">
        <v>6.91</v>
      </c>
      <c r="F3377" s="469">
        <v>7.9</v>
      </c>
      <c r="G3377" s="469">
        <v>8.6</v>
      </c>
      <c r="H3377" s="470">
        <v>232</v>
      </c>
      <c r="I3377" s="470">
        <v>241</v>
      </c>
      <c r="J3377" s="470">
        <v>1585</v>
      </c>
      <c r="K3377" s="469">
        <v>1.05</v>
      </c>
    </row>
    <row r="3378" spans="2:11" x14ac:dyDescent="0.35">
      <c r="B3378" s="62">
        <v>6</v>
      </c>
      <c r="C3378" s="471">
        <v>3394</v>
      </c>
      <c r="D3378" s="471">
        <v>3366.68</v>
      </c>
      <c r="E3378" s="469">
        <v>6.07</v>
      </c>
      <c r="F3378" s="469">
        <v>8.1999999999999993</v>
      </c>
      <c r="G3378" s="469">
        <v>8.5</v>
      </c>
      <c r="H3378" s="470">
        <v>233</v>
      </c>
      <c r="I3378" s="470">
        <v>244</v>
      </c>
      <c r="J3378" s="470">
        <v>1550</v>
      </c>
      <c r="K3378" s="469">
        <v>1.05</v>
      </c>
    </row>
    <row r="3379" spans="2:11" x14ac:dyDescent="0.35">
      <c r="B3379" s="62">
        <v>6</v>
      </c>
      <c r="C3379" s="471">
        <v>3395</v>
      </c>
      <c r="D3379" s="471">
        <v>3367.65</v>
      </c>
      <c r="E3379" s="469">
        <v>6.48</v>
      </c>
      <c r="F3379" s="469">
        <v>8</v>
      </c>
      <c r="G3379" s="469">
        <v>8.6999999999999993</v>
      </c>
      <c r="H3379" s="470">
        <v>232</v>
      </c>
      <c r="I3379" s="470">
        <v>242</v>
      </c>
      <c r="J3379" s="470">
        <v>1555</v>
      </c>
      <c r="K3379" s="469">
        <v>1.05</v>
      </c>
    </row>
    <row r="3380" spans="2:11" x14ac:dyDescent="0.35">
      <c r="B3380" s="62">
        <v>6</v>
      </c>
      <c r="C3380" s="471">
        <v>3396</v>
      </c>
      <c r="D3380" s="471">
        <v>3368.62</v>
      </c>
      <c r="E3380" s="469">
        <v>8.81</v>
      </c>
      <c r="F3380" s="469">
        <v>7.9</v>
      </c>
      <c r="G3380" s="469">
        <v>8.8000000000000007</v>
      </c>
      <c r="H3380" s="470">
        <v>232</v>
      </c>
      <c r="I3380" s="470">
        <v>241</v>
      </c>
      <c r="J3380" s="470">
        <v>1602</v>
      </c>
      <c r="K3380" s="469">
        <v>1.05</v>
      </c>
    </row>
    <row r="3381" spans="2:11" x14ac:dyDescent="0.35">
      <c r="B3381" s="62">
        <v>6</v>
      </c>
      <c r="C3381" s="471">
        <v>3397</v>
      </c>
      <c r="D3381" s="471">
        <v>3369.65</v>
      </c>
      <c r="E3381" s="469">
        <v>7.67</v>
      </c>
      <c r="F3381" s="469">
        <v>8.1999999999999993</v>
      </c>
      <c r="G3381" s="469">
        <v>9.1</v>
      </c>
      <c r="H3381" s="470">
        <v>230</v>
      </c>
      <c r="I3381" s="470">
        <v>239</v>
      </c>
      <c r="J3381" s="470">
        <v>1617</v>
      </c>
      <c r="K3381" s="469">
        <v>1.05</v>
      </c>
    </row>
    <row r="3382" spans="2:11" x14ac:dyDescent="0.35">
      <c r="B3382" s="62">
        <v>6</v>
      </c>
      <c r="C3382" s="471">
        <v>3398</v>
      </c>
      <c r="D3382" s="471">
        <v>3370.59</v>
      </c>
      <c r="E3382" s="469">
        <v>6.9</v>
      </c>
      <c r="F3382" s="469">
        <v>8.4</v>
      </c>
      <c r="G3382" s="469">
        <v>8.8000000000000007</v>
      </c>
      <c r="H3382" s="470">
        <v>232</v>
      </c>
      <c r="I3382" s="470">
        <v>242</v>
      </c>
      <c r="J3382" s="470">
        <v>1584</v>
      </c>
      <c r="K3382" s="469">
        <v>1.05</v>
      </c>
    </row>
    <row r="3383" spans="2:11" x14ac:dyDescent="0.35">
      <c r="B3383" s="62">
        <v>6</v>
      </c>
      <c r="C3383" s="471">
        <v>3399</v>
      </c>
      <c r="D3383" s="471">
        <v>3371.57</v>
      </c>
      <c r="E3383" s="469">
        <v>9.65</v>
      </c>
      <c r="F3383" s="469">
        <v>8.5</v>
      </c>
      <c r="G3383" s="469">
        <v>9.1</v>
      </c>
      <c r="H3383" s="470">
        <v>229</v>
      </c>
      <c r="I3383" s="470">
        <v>237</v>
      </c>
      <c r="J3383" s="470">
        <v>1666</v>
      </c>
      <c r="K3383" s="469">
        <v>1.05</v>
      </c>
    </row>
    <row r="3384" spans="2:11" x14ac:dyDescent="0.35">
      <c r="B3384" s="62">
        <v>6</v>
      </c>
      <c r="C3384" s="471">
        <v>3400</v>
      </c>
      <c r="D3384" s="471">
        <v>3372.56</v>
      </c>
      <c r="E3384" s="469">
        <v>7.6</v>
      </c>
      <c r="F3384" s="469">
        <v>8.4</v>
      </c>
      <c r="G3384" s="469">
        <v>8.6999999999999993</v>
      </c>
      <c r="H3384" s="470">
        <v>231</v>
      </c>
      <c r="I3384" s="470">
        <v>239</v>
      </c>
      <c r="J3384" s="470">
        <v>1611</v>
      </c>
      <c r="K3384" s="469">
        <v>1.05</v>
      </c>
    </row>
    <row r="3385" spans="2:11" x14ac:dyDescent="0.35">
      <c r="B3385" s="62">
        <v>6</v>
      </c>
      <c r="C3385" s="471">
        <v>3401</v>
      </c>
      <c r="D3385" s="471">
        <v>3373.55</v>
      </c>
      <c r="E3385" s="469">
        <v>6.46</v>
      </c>
      <c r="F3385" s="469">
        <v>8.4</v>
      </c>
      <c r="G3385" s="469">
        <v>8.6999999999999993</v>
      </c>
      <c r="H3385" s="470">
        <v>233</v>
      </c>
      <c r="I3385" s="470">
        <v>243</v>
      </c>
      <c r="J3385" s="470">
        <v>1584</v>
      </c>
      <c r="K3385" s="469">
        <v>1.05</v>
      </c>
    </row>
    <row r="3386" spans="2:11" x14ac:dyDescent="0.35">
      <c r="B3386" s="62">
        <v>6</v>
      </c>
      <c r="C3386" s="471">
        <v>3402</v>
      </c>
      <c r="D3386" s="471">
        <v>3374.55</v>
      </c>
      <c r="E3386" s="469">
        <v>5.85</v>
      </c>
      <c r="F3386" s="469">
        <v>7.3</v>
      </c>
      <c r="G3386" s="469">
        <v>8.6999999999999993</v>
      </c>
      <c r="H3386" s="470">
        <v>231</v>
      </c>
      <c r="I3386" s="470">
        <v>242</v>
      </c>
      <c r="J3386" s="470">
        <v>1549</v>
      </c>
      <c r="K3386" s="469">
        <v>1.05</v>
      </c>
    </row>
    <row r="3387" spans="2:11" x14ac:dyDescent="0.35">
      <c r="B3387" s="62">
        <v>6</v>
      </c>
      <c r="C3387" s="471">
        <v>3403</v>
      </c>
      <c r="D3387" s="471">
        <v>3375.51</v>
      </c>
      <c r="E3387" s="469">
        <v>6.32</v>
      </c>
      <c r="F3387" s="469">
        <v>8.1</v>
      </c>
      <c r="G3387" s="469">
        <v>8.6999999999999993</v>
      </c>
      <c r="H3387" s="470">
        <v>229</v>
      </c>
      <c r="I3387" s="470">
        <v>241</v>
      </c>
      <c r="J3387" s="470">
        <v>1564</v>
      </c>
      <c r="K3387" s="469">
        <v>1.05</v>
      </c>
    </row>
    <row r="3388" spans="2:11" x14ac:dyDescent="0.35">
      <c r="B3388" s="62">
        <v>6</v>
      </c>
      <c r="C3388" s="471">
        <v>3404</v>
      </c>
      <c r="D3388" s="471">
        <v>3376.53</v>
      </c>
      <c r="E3388" s="469">
        <v>8.06</v>
      </c>
      <c r="F3388" s="469">
        <v>8.6</v>
      </c>
      <c r="G3388" s="469">
        <v>9.1</v>
      </c>
      <c r="H3388" s="470">
        <v>230</v>
      </c>
      <c r="I3388" s="470">
        <v>243</v>
      </c>
      <c r="J3388" s="470">
        <v>1612</v>
      </c>
      <c r="K3388" s="469">
        <v>1.05</v>
      </c>
    </row>
    <row r="3389" spans="2:11" x14ac:dyDescent="0.35">
      <c r="B3389" s="62">
        <v>6</v>
      </c>
      <c r="C3389" s="471">
        <v>3405</v>
      </c>
      <c r="D3389" s="471">
        <v>3377.53</v>
      </c>
      <c r="E3389" s="469">
        <v>6.25</v>
      </c>
      <c r="F3389" s="469">
        <v>8.6999999999999993</v>
      </c>
      <c r="G3389" s="469">
        <v>8.8000000000000007</v>
      </c>
      <c r="H3389" s="470">
        <v>231</v>
      </c>
      <c r="I3389" s="470">
        <v>244</v>
      </c>
      <c r="J3389" s="470">
        <v>1550</v>
      </c>
      <c r="K3389" s="469">
        <v>1.05</v>
      </c>
    </row>
    <row r="3390" spans="2:11" x14ac:dyDescent="0.35">
      <c r="B3390" s="62">
        <v>6</v>
      </c>
      <c r="C3390" s="471">
        <v>3406</v>
      </c>
      <c r="D3390" s="471">
        <v>3378.5</v>
      </c>
      <c r="E3390" s="469">
        <v>5.81</v>
      </c>
      <c r="F3390" s="469">
        <v>8.6</v>
      </c>
      <c r="G3390" s="469">
        <v>8.6</v>
      </c>
      <c r="H3390" s="470">
        <v>230</v>
      </c>
      <c r="I3390" s="470">
        <v>242</v>
      </c>
      <c r="J3390" s="470">
        <v>1571</v>
      </c>
      <c r="K3390" s="469">
        <v>1.05</v>
      </c>
    </row>
    <row r="3391" spans="2:11" x14ac:dyDescent="0.35">
      <c r="B3391" s="62">
        <v>6</v>
      </c>
      <c r="C3391" s="471">
        <v>3407</v>
      </c>
      <c r="D3391" s="471">
        <v>3379.5</v>
      </c>
      <c r="E3391" s="469">
        <v>4.9800000000000004</v>
      </c>
      <c r="F3391" s="469">
        <v>8.5</v>
      </c>
      <c r="G3391" s="469">
        <v>8.5</v>
      </c>
      <c r="H3391" s="470">
        <v>227</v>
      </c>
      <c r="I3391" s="470">
        <v>237</v>
      </c>
      <c r="J3391" s="470">
        <v>1610</v>
      </c>
      <c r="K3391" s="469">
        <v>1.05</v>
      </c>
    </row>
    <row r="3392" spans="2:11" x14ac:dyDescent="0.35">
      <c r="B3392" s="62">
        <v>6</v>
      </c>
      <c r="C3392" s="471">
        <v>3408</v>
      </c>
      <c r="D3392" s="471">
        <v>3380.4</v>
      </c>
      <c r="E3392" s="469">
        <v>4.96</v>
      </c>
      <c r="F3392" s="469">
        <v>8.3000000000000007</v>
      </c>
      <c r="G3392" s="469">
        <v>8.5</v>
      </c>
      <c r="H3392" s="470">
        <v>227</v>
      </c>
      <c r="I3392" s="470">
        <v>236</v>
      </c>
      <c r="J3392" s="470">
        <v>1636</v>
      </c>
      <c r="K3392" s="469">
        <v>1.05</v>
      </c>
    </row>
    <row r="3393" spans="2:11" x14ac:dyDescent="0.35">
      <c r="B3393" s="62">
        <v>6</v>
      </c>
      <c r="C3393" s="471">
        <v>3409</v>
      </c>
      <c r="D3393" s="471">
        <v>3381.5</v>
      </c>
      <c r="E3393" s="469">
        <v>4.26</v>
      </c>
      <c r="F3393" s="469">
        <v>8.8000000000000007</v>
      </c>
      <c r="G3393" s="469">
        <v>8.4</v>
      </c>
      <c r="H3393" s="470">
        <v>219</v>
      </c>
      <c r="I3393" s="470">
        <v>237</v>
      </c>
      <c r="J3393" s="470">
        <v>1629</v>
      </c>
      <c r="K3393" s="469">
        <v>1.05</v>
      </c>
    </row>
    <row r="3394" spans="2:11" x14ac:dyDescent="0.35">
      <c r="B3394" s="62">
        <v>6</v>
      </c>
      <c r="C3394" s="471">
        <v>3410</v>
      </c>
      <c r="D3394" s="471">
        <v>3382.5</v>
      </c>
      <c r="E3394" s="469">
        <v>3.85</v>
      </c>
      <c r="F3394" s="469">
        <v>9</v>
      </c>
      <c r="G3394" s="469">
        <v>7.8</v>
      </c>
      <c r="H3394" s="470">
        <v>169</v>
      </c>
      <c r="I3394" s="470">
        <v>237</v>
      </c>
      <c r="J3394" s="470">
        <v>1623</v>
      </c>
      <c r="K3394" s="469">
        <v>1.05</v>
      </c>
    </row>
    <row r="3395" spans="2:11" x14ac:dyDescent="0.35">
      <c r="B3395" s="62">
        <v>6</v>
      </c>
      <c r="C3395" s="471">
        <v>3411</v>
      </c>
      <c r="D3395" s="471">
        <v>3383.4</v>
      </c>
      <c r="E3395" s="469">
        <v>7.33</v>
      </c>
      <c r="F3395" s="469">
        <v>10.8</v>
      </c>
      <c r="G3395" s="469">
        <v>8</v>
      </c>
      <c r="H3395" s="470">
        <v>173</v>
      </c>
      <c r="I3395" s="470">
        <v>235</v>
      </c>
      <c r="J3395" s="470">
        <v>1689</v>
      </c>
      <c r="K3395" s="469">
        <v>1.05</v>
      </c>
    </row>
    <row r="3396" spans="2:11" x14ac:dyDescent="0.35">
      <c r="B3396" s="62">
        <v>6</v>
      </c>
      <c r="C3396" s="471">
        <v>3412</v>
      </c>
      <c r="D3396" s="471">
        <v>3384.4</v>
      </c>
      <c r="E3396" s="469">
        <v>9.35</v>
      </c>
      <c r="F3396" s="469">
        <v>12.2</v>
      </c>
      <c r="G3396" s="469">
        <v>8.5</v>
      </c>
      <c r="H3396" s="470">
        <v>197</v>
      </c>
      <c r="I3396" s="470">
        <v>232</v>
      </c>
      <c r="J3396" s="470">
        <v>1759</v>
      </c>
      <c r="K3396" s="469">
        <v>1.05</v>
      </c>
    </row>
    <row r="3397" spans="2:11" x14ac:dyDescent="0.35">
      <c r="B3397" s="62">
        <v>6</v>
      </c>
      <c r="C3397" s="471">
        <v>3413</v>
      </c>
      <c r="D3397" s="471">
        <v>3385.4</v>
      </c>
      <c r="E3397" s="469">
        <v>8.02</v>
      </c>
      <c r="F3397" s="469">
        <v>12.2</v>
      </c>
      <c r="G3397" s="469">
        <v>8.6</v>
      </c>
      <c r="H3397" s="470">
        <v>199</v>
      </c>
      <c r="I3397" s="470">
        <v>229</v>
      </c>
      <c r="J3397" s="470">
        <v>1794</v>
      </c>
      <c r="K3397" s="469">
        <v>1.05</v>
      </c>
    </row>
    <row r="3398" spans="2:11" x14ac:dyDescent="0.35">
      <c r="B3398" s="62">
        <v>6</v>
      </c>
      <c r="C3398" s="471">
        <v>3414</v>
      </c>
      <c r="D3398" s="471">
        <v>3386.4</v>
      </c>
      <c r="E3398" s="469">
        <v>8.91</v>
      </c>
      <c r="F3398" s="469">
        <v>12.2</v>
      </c>
      <c r="G3398" s="469">
        <v>9</v>
      </c>
      <c r="H3398" s="470">
        <v>199</v>
      </c>
      <c r="I3398" s="470">
        <v>229</v>
      </c>
      <c r="J3398" s="470">
        <v>1816</v>
      </c>
      <c r="K3398" s="469">
        <v>1.05</v>
      </c>
    </row>
    <row r="3399" spans="2:11" x14ac:dyDescent="0.35">
      <c r="B3399" s="62">
        <v>6</v>
      </c>
      <c r="C3399" s="471">
        <v>3415</v>
      </c>
      <c r="D3399" s="471">
        <v>3387.4</v>
      </c>
      <c r="E3399" s="469">
        <v>9.58</v>
      </c>
      <c r="F3399" s="469">
        <v>12</v>
      </c>
      <c r="G3399" s="469">
        <v>8.9</v>
      </c>
      <c r="H3399" s="470">
        <v>198</v>
      </c>
      <c r="I3399" s="470">
        <v>230</v>
      </c>
      <c r="J3399" s="470">
        <v>1778</v>
      </c>
      <c r="K3399" s="469">
        <v>1.05</v>
      </c>
    </row>
    <row r="3400" spans="2:11" x14ac:dyDescent="0.35">
      <c r="B3400" s="62">
        <v>6</v>
      </c>
      <c r="C3400" s="471">
        <v>3416</v>
      </c>
      <c r="D3400" s="471">
        <v>3388.3</v>
      </c>
      <c r="E3400" s="469">
        <v>8.75</v>
      </c>
      <c r="F3400" s="469">
        <v>12.3</v>
      </c>
      <c r="G3400" s="469">
        <v>8.6999999999999993</v>
      </c>
      <c r="H3400" s="470">
        <v>203</v>
      </c>
      <c r="I3400" s="470">
        <v>236</v>
      </c>
      <c r="J3400" s="470">
        <v>1768</v>
      </c>
      <c r="K3400" s="469">
        <v>1.05</v>
      </c>
    </row>
    <row r="3401" spans="2:11" x14ac:dyDescent="0.35">
      <c r="B3401" s="62">
        <v>6</v>
      </c>
      <c r="C3401" s="471">
        <v>3417</v>
      </c>
      <c r="D3401" s="471">
        <v>3389.3</v>
      </c>
      <c r="E3401" s="469">
        <v>9.4</v>
      </c>
      <c r="F3401" s="469">
        <v>12.2</v>
      </c>
      <c r="G3401" s="469">
        <v>8.6</v>
      </c>
      <c r="H3401" s="470">
        <v>202</v>
      </c>
      <c r="I3401" s="470">
        <v>235</v>
      </c>
      <c r="J3401" s="470">
        <v>1811</v>
      </c>
      <c r="K3401" s="469">
        <v>1.05</v>
      </c>
    </row>
    <row r="3402" spans="2:11" x14ac:dyDescent="0.35">
      <c r="B3402" s="62">
        <v>6</v>
      </c>
      <c r="C3402" s="471">
        <v>3418</v>
      </c>
      <c r="D3402" s="471">
        <v>3390.3</v>
      </c>
      <c r="E3402" s="469">
        <v>8.27</v>
      </c>
      <c r="F3402" s="469">
        <v>12</v>
      </c>
      <c r="G3402" s="469">
        <v>8.6999999999999993</v>
      </c>
      <c r="H3402" s="470">
        <v>202</v>
      </c>
      <c r="I3402" s="470">
        <v>235</v>
      </c>
      <c r="J3402" s="470">
        <v>1779</v>
      </c>
      <c r="K3402" s="469">
        <v>1.05</v>
      </c>
    </row>
    <row r="3403" spans="2:11" x14ac:dyDescent="0.35">
      <c r="B3403" s="62">
        <v>6</v>
      </c>
      <c r="C3403" s="471">
        <v>3419</v>
      </c>
      <c r="D3403" s="471">
        <v>3391.3</v>
      </c>
      <c r="E3403" s="469">
        <v>8.0500000000000007</v>
      </c>
      <c r="F3403" s="469">
        <v>12.1</v>
      </c>
      <c r="G3403" s="469">
        <v>8.9</v>
      </c>
      <c r="H3403" s="470">
        <v>202</v>
      </c>
      <c r="I3403" s="470">
        <v>235</v>
      </c>
      <c r="J3403" s="470">
        <v>1754</v>
      </c>
      <c r="K3403" s="469">
        <v>1.05</v>
      </c>
    </row>
    <row r="3404" spans="2:11" x14ac:dyDescent="0.35">
      <c r="B3404" s="62">
        <v>6</v>
      </c>
      <c r="C3404" s="471">
        <v>3420</v>
      </c>
      <c r="D3404" s="471">
        <v>3392.3</v>
      </c>
      <c r="E3404" s="469">
        <v>8.36</v>
      </c>
      <c r="F3404" s="469">
        <v>12</v>
      </c>
      <c r="G3404" s="469">
        <v>8.6999999999999993</v>
      </c>
      <c r="H3404" s="470">
        <v>203</v>
      </c>
      <c r="I3404" s="470">
        <v>235</v>
      </c>
      <c r="J3404" s="470">
        <v>1737</v>
      </c>
      <c r="K3404" s="469">
        <v>1.05</v>
      </c>
    </row>
    <row r="3405" spans="2:11" x14ac:dyDescent="0.35">
      <c r="B3405" s="62">
        <v>6</v>
      </c>
      <c r="C3405" s="471">
        <v>3421</v>
      </c>
      <c r="D3405" s="471">
        <v>3393.3</v>
      </c>
      <c r="E3405" s="469">
        <v>8.1300000000000008</v>
      </c>
      <c r="F3405" s="469">
        <v>12.2</v>
      </c>
      <c r="G3405" s="469">
        <v>8.5</v>
      </c>
      <c r="H3405" s="470">
        <v>202</v>
      </c>
      <c r="I3405" s="470">
        <v>235</v>
      </c>
      <c r="J3405" s="470">
        <v>1756</v>
      </c>
      <c r="K3405" s="469">
        <v>1.05</v>
      </c>
    </row>
    <row r="3406" spans="2:11" x14ac:dyDescent="0.35">
      <c r="B3406" s="62">
        <v>6</v>
      </c>
      <c r="C3406" s="471">
        <v>3422</v>
      </c>
      <c r="D3406" s="471">
        <v>3394.3</v>
      </c>
      <c r="E3406" s="469">
        <v>8.4499999999999993</v>
      </c>
      <c r="F3406" s="469">
        <v>11.6</v>
      </c>
      <c r="G3406" s="469">
        <v>8.8000000000000007</v>
      </c>
      <c r="H3406" s="470">
        <v>202</v>
      </c>
      <c r="I3406" s="470">
        <v>234</v>
      </c>
      <c r="J3406" s="470">
        <v>1765</v>
      </c>
      <c r="K3406" s="469">
        <v>1.05</v>
      </c>
    </row>
    <row r="3407" spans="2:11" x14ac:dyDescent="0.35">
      <c r="B3407" s="62">
        <v>6</v>
      </c>
      <c r="C3407" s="471">
        <v>3423</v>
      </c>
      <c r="D3407" s="471">
        <v>3395.2</v>
      </c>
      <c r="E3407" s="469">
        <v>7.7</v>
      </c>
      <c r="F3407" s="469">
        <v>12.2</v>
      </c>
      <c r="G3407" s="469">
        <v>8.9</v>
      </c>
      <c r="H3407" s="470">
        <v>191</v>
      </c>
      <c r="I3407" s="470">
        <v>215</v>
      </c>
      <c r="J3407" s="470">
        <v>1754</v>
      </c>
      <c r="K3407" s="469">
        <v>1.05</v>
      </c>
    </row>
    <row r="3408" spans="2:11" x14ac:dyDescent="0.35">
      <c r="B3408" s="62">
        <v>6</v>
      </c>
      <c r="C3408" s="471">
        <v>3424</v>
      </c>
      <c r="D3408" s="471">
        <v>3396.3</v>
      </c>
      <c r="E3408" s="469">
        <v>8.19</v>
      </c>
      <c r="F3408" s="469">
        <v>11.7</v>
      </c>
      <c r="G3408" s="469">
        <v>9</v>
      </c>
      <c r="H3408" s="470">
        <v>203</v>
      </c>
      <c r="I3408" s="470">
        <v>236</v>
      </c>
      <c r="J3408" s="470">
        <v>1798</v>
      </c>
      <c r="K3408" s="469">
        <v>1.05</v>
      </c>
    </row>
    <row r="3409" spans="2:11" x14ac:dyDescent="0.35">
      <c r="B3409" s="62">
        <v>6</v>
      </c>
      <c r="C3409" s="471">
        <v>3425</v>
      </c>
      <c r="D3409" s="471">
        <v>3397.3</v>
      </c>
      <c r="E3409" s="469">
        <v>8.2899999999999991</v>
      </c>
      <c r="F3409" s="469">
        <v>12</v>
      </c>
      <c r="G3409" s="469">
        <v>8.9</v>
      </c>
      <c r="H3409" s="470">
        <v>203</v>
      </c>
      <c r="I3409" s="470">
        <v>236</v>
      </c>
      <c r="J3409" s="470">
        <v>1786</v>
      </c>
      <c r="K3409" s="469">
        <v>1.05</v>
      </c>
    </row>
    <row r="3410" spans="2:11" x14ac:dyDescent="0.35">
      <c r="B3410" s="62">
        <v>6</v>
      </c>
      <c r="C3410" s="471">
        <v>3426</v>
      </c>
      <c r="D3410" s="471">
        <v>3398.2</v>
      </c>
      <c r="E3410" s="469">
        <v>8.15</v>
      </c>
      <c r="F3410" s="469">
        <v>12</v>
      </c>
      <c r="G3410" s="469">
        <v>8.6999999999999993</v>
      </c>
      <c r="H3410" s="470">
        <v>203</v>
      </c>
      <c r="I3410" s="470">
        <v>236</v>
      </c>
      <c r="J3410" s="470">
        <v>1792</v>
      </c>
      <c r="K3410" s="469">
        <v>1.05</v>
      </c>
    </row>
    <row r="3411" spans="2:11" x14ac:dyDescent="0.35">
      <c r="B3411" s="62">
        <v>6</v>
      </c>
      <c r="C3411" s="471">
        <v>3427</v>
      </c>
      <c r="D3411" s="471">
        <v>3399.2</v>
      </c>
      <c r="E3411" s="469">
        <v>7.65</v>
      </c>
      <c r="F3411" s="469">
        <v>12</v>
      </c>
      <c r="G3411" s="469">
        <v>8.9</v>
      </c>
      <c r="H3411" s="470">
        <v>203</v>
      </c>
      <c r="I3411" s="470">
        <v>237</v>
      </c>
      <c r="J3411" s="470">
        <v>1793</v>
      </c>
      <c r="K3411" s="469">
        <v>1.05</v>
      </c>
    </row>
    <row r="3412" spans="2:11" x14ac:dyDescent="0.35">
      <c r="B3412" s="62">
        <v>6</v>
      </c>
      <c r="C3412" s="471">
        <v>3428</v>
      </c>
      <c r="D3412" s="471">
        <v>3400.2</v>
      </c>
      <c r="E3412" s="469">
        <v>8.89</v>
      </c>
      <c r="F3412" s="469">
        <v>11.8</v>
      </c>
      <c r="G3412" s="469">
        <v>8.9</v>
      </c>
      <c r="H3412" s="470">
        <v>203</v>
      </c>
      <c r="I3412" s="470">
        <v>236</v>
      </c>
      <c r="J3412" s="470">
        <v>1807</v>
      </c>
      <c r="K3412" s="469">
        <v>1.05</v>
      </c>
    </row>
    <row r="3413" spans="2:11" x14ac:dyDescent="0.35">
      <c r="B3413" s="62">
        <v>6</v>
      </c>
      <c r="C3413" s="471">
        <v>3429</v>
      </c>
      <c r="D3413" s="471">
        <v>3401.2</v>
      </c>
      <c r="E3413" s="469">
        <v>9.92</v>
      </c>
      <c r="F3413" s="469">
        <v>11.7</v>
      </c>
      <c r="G3413" s="469">
        <v>8.9</v>
      </c>
      <c r="H3413" s="470">
        <v>203</v>
      </c>
      <c r="I3413" s="470">
        <v>236</v>
      </c>
      <c r="J3413" s="470">
        <v>1807</v>
      </c>
      <c r="K3413" s="469">
        <v>1.05</v>
      </c>
    </row>
    <row r="3414" spans="2:11" x14ac:dyDescent="0.35">
      <c r="B3414" s="62">
        <v>6</v>
      </c>
      <c r="C3414" s="471">
        <v>3430</v>
      </c>
      <c r="D3414" s="471">
        <v>3402.2</v>
      </c>
      <c r="E3414" s="469">
        <v>10.51</v>
      </c>
      <c r="F3414" s="469">
        <v>11.5</v>
      </c>
      <c r="G3414" s="469">
        <v>8.8000000000000007</v>
      </c>
      <c r="H3414" s="470">
        <v>202</v>
      </c>
      <c r="I3414" s="470">
        <v>234</v>
      </c>
      <c r="J3414" s="470">
        <v>1826</v>
      </c>
      <c r="K3414" s="469">
        <v>1.05</v>
      </c>
    </row>
    <row r="3415" spans="2:11" x14ac:dyDescent="0.35">
      <c r="B3415" s="62">
        <v>6</v>
      </c>
      <c r="C3415" s="471">
        <v>3431</v>
      </c>
      <c r="D3415" s="471">
        <v>3403.1</v>
      </c>
      <c r="E3415" s="469">
        <v>9.61</v>
      </c>
      <c r="F3415" s="469">
        <v>11.9</v>
      </c>
      <c r="G3415" s="469">
        <v>9</v>
      </c>
      <c r="H3415" s="470">
        <v>200</v>
      </c>
      <c r="I3415" s="470">
        <v>233</v>
      </c>
      <c r="J3415" s="470">
        <v>1826</v>
      </c>
      <c r="K3415" s="469">
        <v>1.05</v>
      </c>
    </row>
    <row r="3416" spans="2:11" x14ac:dyDescent="0.35">
      <c r="B3416" s="62">
        <v>6</v>
      </c>
      <c r="C3416" s="471">
        <v>3432</v>
      </c>
      <c r="D3416" s="471">
        <v>3404.2</v>
      </c>
      <c r="E3416" s="469">
        <v>20</v>
      </c>
      <c r="F3416" s="469">
        <v>5.5</v>
      </c>
      <c r="G3416" s="469">
        <v>8.4</v>
      </c>
      <c r="H3416" s="470">
        <v>197</v>
      </c>
      <c r="I3416" s="470">
        <v>220</v>
      </c>
      <c r="J3416" s="470">
        <v>1450</v>
      </c>
      <c r="K3416" s="469">
        <v>1.05</v>
      </c>
    </row>
    <row r="3417" spans="2:11" x14ac:dyDescent="0.35">
      <c r="B3417" s="62">
        <v>6</v>
      </c>
      <c r="C3417" s="471">
        <v>3433</v>
      </c>
      <c r="D3417" s="471">
        <v>3405.1</v>
      </c>
      <c r="E3417" s="469">
        <v>9.81</v>
      </c>
      <c r="F3417" s="469">
        <v>11.9</v>
      </c>
      <c r="G3417" s="469">
        <v>9</v>
      </c>
      <c r="H3417" s="470">
        <v>199</v>
      </c>
      <c r="I3417" s="470">
        <v>224</v>
      </c>
      <c r="J3417" s="470">
        <v>1798</v>
      </c>
      <c r="K3417" s="469">
        <v>1.05</v>
      </c>
    </row>
    <row r="3418" spans="2:11" x14ac:dyDescent="0.35">
      <c r="B3418" s="62">
        <v>6</v>
      </c>
      <c r="C3418" s="471">
        <v>3434</v>
      </c>
      <c r="D3418" s="471">
        <v>3406.1</v>
      </c>
      <c r="E3418" s="469">
        <v>10.27</v>
      </c>
      <c r="F3418" s="469">
        <v>12.2</v>
      </c>
      <c r="G3418" s="469">
        <v>9.1999999999999993</v>
      </c>
      <c r="H3418" s="470">
        <v>202</v>
      </c>
      <c r="I3418" s="470">
        <v>229</v>
      </c>
      <c r="J3418" s="470">
        <v>1928</v>
      </c>
      <c r="K3418" s="469">
        <v>1.05</v>
      </c>
    </row>
    <row r="3419" spans="2:11" x14ac:dyDescent="0.35">
      <c r="B3419" s="62">
        <v>6</v>
      </c>
      <c r="C3419" s="471">
        <v>3435</v>
      </c>
      <c r="D3419" s="471">
        <v>3407.1</v>
      </c>
      <c r="E3419" s="469">
        <v>12.14</v>
      </c>
      <c r="F3419" s="469">
        <v>12.3</v>
      </c>
      <c r="G3419" s="469">
        <v>9.5</v>
      </c>
      <c r="H3419" s="470">
        <v>193</v>
      </c>
      <c r="I3419" s="470">
        <v>230</v>
      </c>
      <c r="J3419" s="470">
        <v>1960</v>
      </c>
      <c r="K3419" s="469">
        <v>1.05</v>
      </c>
    </row>
    <row r="3420" spans="2:11" x14ac:dyDescent="0.35">
      <c r="B3420" s="62">
        <v>6</v>
      </c>
      <c r="C3420" s="471">
        <v>3436</v>
      </c>
      <c r="D3420" s="471">
        <v>3408.1</v>
      </c>
      <c r="E3420" s="469">
        <v>10.78</v>
      </c>
      <c r="F3420" s="469">
        <v>12.5</v>
      </c>
      <c r="G3420" s="469">
        <v>9.3000000000000007</v>
      </c>
      <c r="H3420" s="470">
        <v>201</v>
      </c>
      <c r="I3420" s="470">
        <v>229</v>
      </c>
      <c r="J3420" s="470">
        <v>1897</v>
      </c>
      <c r="K3420" s="469">
        <v>1.05</v>
      </c>
    </row>
    <row r="3421" spans="2:11" x14ac:dyDescent="0.35">
      <c r="B3421" s="62">
        <v>6</v>
      </c>
      <c r="C3421" s="471">
        <v>3437</v>
      </c>
      <c r="D3421" s="471">
        <v>3409.1</v>
      </c>
      <c r="E3421" s="469">
        <v>11</v>
      </c>
      <c r="F3421" s="469">
        <v>12.5</v>
      </c>
      <c r="G3421" s="469">
        <v>9.6</v>
      </c>
      <c r="H3421" s="470">
        <v>201</v>
      </c>
      <c r="I3421" s="470">
        <v>228</v>
      </c>
      <c r="J3421" s="470">
        <v>1901</v>
      </c>
      <c r="K3421" s="469">
        <v>1.05</v>
      </c>
    </row>
    <row r="3422" spans="2:11" x14ac:dyDescent="0.35">
      <c r="B3422" s="62">
        <v>6</v>
      </c>
      <c r="C3422" s="471">
        <v>3438</v>
      </c>
      <c r="D3422" s="471">
        <v>3410.1</v>
      </c>
      <c r="E3422" s="469">
        <v>9.39</v>
      </c>
      <c r="F3422" s="469">
        <v>12.2</v>
      </c>
      <c r="G3422" s="469">
        <v>9.5</v>
      </c>
      <c r="H3422" s="470">
        <v>202</v>
      </c>
      <c r="I3422" s="470">
        <v>229</v>
      </c>
      <c r="J3422" s="470">
        <v>1887</v>
      </c>
      <c r="K3422" s="469">
        <v>1.05</v>
      </c>
    </row>
    <row r="3423" spans="2:11" x14ac:dyDescent="0.35">
      <c r="B3423" s="62">
        <v>6</v>
      </c>
      <c r="C3423" s="471">
        <v>3439</v>
      </c>
      <c r="D3423" s="471">
        <v>3411.1</v>
      </c>
      <c r="E3423" s="469">
        <v>8.08</v>
      </c>
      <c r="F3423" s="469">
        <v>12.2</v>
      </c>
      <c r="G3423" s="469">
        <v>8.9</v>
      </c>
      <c r="H3423" s="470">
        <v>203</v>
      </c>
      <c r="I3423" s="470">
        <v>231</v>
      </c>
      <c r="J3423" s="470">
        <v>1862</v>
      </c>
      <c r="K3423" s="469">
        <v>1.05</v>
      </c>
    </row>
    <row r="3424" spans="2:11" x14ac:dyDescent="0.35">
      <c r="B3424" s="62">
        <v>6</v>
      </c>
      <c r="C3424" s="471">
        <v>3440</v>
      </c>
      <c r="D3424" s="471">
        <v>3412.1</v>
      </c>
      <c r="E3424" s="469">
        <v>9.25</v>
      </c>
      <c r="F3424" s="469">
        <v>12.4</v>
      </c>
      <c r="G3424" s="469">
        <v>9.1</v>
      </c>
      <c r="H3424" s="470">
        <v>203</v>
      </c>
      <c r="I3424" s="470">
        <v>231</v>
      </c>
      <c r="J3424" s="470">
        <v>1862</v>
      </c>
      <c r="K3424" s="469">
        <v>1.05</v>
      </c>
    </row>
    <row r="3425" spans="2:11" x14ac:dyDescent="0.35">
      <c r="B3425" s="62">
        <v>6</v>
      </c>
      <c r="C3425" s="471">
        <v>3441</v>
      </c>
      <c r="D3425" s="471">
        <v>3413</v>
      </c>
      <c r="E3425" s="469">
        <v>9.3000000000000007</v>
      </c>
      <c r="F3425" s="469">
        <v>12</v>
      </c>
      <c r="G3425" s="469">
        <v>9.4</v>
      </c>
      <c r="H3425" s="470">
        <v>197</v>
      </c>
      <c r="I3425" s="470">
        <v>230</v>
      </c>
      <c r="J3425" s="470">
        <v>1859</v>
      </c>
      <c r="K3425" s="469">
        <v>1.05</v>
      </c>
    </row>
    <row r="3426" spans="2:11" x14ac:dyDescent="0.35">
      <c r="B3426" s="62">
        <v>6</v>
      </c>
      <c r="C3426" s="471">
        <v>3442</v>
      </c>
      <c r="D3426" s="471">
        <v>3414</v>
      </c>
      <c r="E3426" s="469">
        <v>12.3</v>
      </c>
      <c r="F3426" s="469">
        <v>12</v>
      </c>
      <c r="G3426" s="469">
        <v>9.5</v>
      </c>
      <c r="H3426" s="470">
        <v>202</v>
      </c>
      <c r="I3426" s="470">
        <v>229</v>
      </c>
      <c r="J3426" s="470">
        <v>1922</v>
      </c>
      <c r="K3426" s="469">
        <v>1.05</v>
      </c>
    </row>
    <row r="3427" spans="2:11" x14ac:dyDescent="0.35">
      <c r="B3427" s="62">
        <v>6</v>
      </c>
      <c r="C3427" s="471">
        <v>3443</v>
      </c>
      <c r="D3427" s="471">
        <v>3415</v>
      </c>
      <c r="E3427" s="469">
        <v>9.58</v>
      </c>
      <c r="F3427" s="469">
        <v>12.2</v>
      </c>
      <c r="G3427" s="469">
        <v>9.3000000000000007</v>
      </c>
      <c r="H3427" s="470">
        <v>201</v>
      </c>
      <c r="I3427" s="470">
        <v>230</v>
      </c>
      <c r="J3427" s="470">
        <v>1910</v>
      </c>
      <c r="K3427" s="469">
        <v>1.05</v>
      </c>
    </row>
    <row r="3428" spans="2:11" x14ac:dyDescent="0.35">
      <c r="B3428" s="62">
        <v>6</v>
      </c>
      <c r="C3428" s="471">
        <v>3444</v>
      </c>
      <c r="D3428" s="471">
        <v>3416</v>
      </c>
      <c r="E3428" s="469">
        <v>10.17</v>
      </c>
      <c r="F3428" s="469">
        <v>12.3</v>
      </c>
      <c r="G3428" s="469">
        <v>9.3000000000000007</v>
      </c>
      <c r="H3428" s="470">
        <v>202</v>
      </c>
      <c r="I3428" s="470">
        <v>229</v>
      </c>
      <c r="J3428" s="470">
        <v>1864</v>
      </c>
      <c r="K3428" s="469">
        <v>1.05</v>
      </c>
    </row>
    <row r="3429" spans="2:11" x14ac:dyDescent="0.35">
      <c r="B3429" s="62">
        <v>6</v>
      </c>
      <c r="C3429" s="471">
        <v>3445</v>
      </c>
      <c r="D3429" s="471">
        <v>3417</v>
      </c>
      <c r="E3429" s="469">
        <v>11.09</v>
      </c>
      <c r="F3429" s="469">
        <v>12.3</v>
      </c>
      <c r="G3429" s="469">
        <v>9.6</v>
      </c>
      <c r="H3429" s="470">
        <v>201</v>
      </c>
      <c r="I3429" s="470">
        <v>229</v>
      </c>
      <c r="J3429" s="470">
        <v>1929</v>
      </c>
      <c r="K3429" s="469">
        <v>1.05</v>
      </c>
    </row>
    <row r="3430" spans="2:11" x14ac:dyDescent="0.35">
      <c r="B3430" s="62">
        <v>6</v>
      </c>
      <c r="C3430" s="471">
        <v>3446</v>
      </c>
      <c r="D3430" s="471">
        <v>3417.9</v>
      </c>
      <c r="E3430" s="469">
        <v>4.63</v>
      </c>
      <c r="F3430" s="469">
        <v>8.9</v>
      </c>
      <c r="G3430" s="469">
        <v>8.6</v>
      </c>
      <c r="H3430" s="470">
        <v>202</v>
      </c>
      <c r="I3430" s="470">
        <v>229</v>
      </c>
      <c r="J3430" s="470">
        <v>1706</v>
      </c>
      <c r="K3430" s="469">
        <v>1.05</v>
      </c>
    </row>
    <row r="3431" spans="2:11" x14ac:dyDescent="0.35">
      <c r="B3431" s="62">
        <v>6</v>
      </c>
      <c r="C3431" s="471">
        <v>3447</v>
      </c>
      <c r="D3431" s="471">
        <v>3419</v>
      </c>
      <c r="E3431" s="469">
        <v>4.4000000000000004</v>
      </c>
      <c r="F3431" s="469">
        <v>7.6</v>
      </c>
      <c r="G3431" s="469">
        <v>8.6</v>
      </c>
      <c r="H3431" s="470">
        <v>205</v>
      </c>
      <c r="I3431" s="470">
        <v>234</v>
      </c>
      <c r="J3431" s="470">
        <v>1728</v>
      </c>
      <c r="K3431" s="469">
        <v>1.05</v>
      </c>
    </row>
    <row r="3432" spans="2:11" x14ac:dyDescent="0.35">
      <c r="B3432" s="62">
        <v>6</v>
      </c>
      <c r="C3432" s="471">
        <v>3448</v>
      </c>
      <c r="D3432" s="471">
        <v>3419.9</v>
      </c>
      <c r="E3432" s="469">
        <v>2.27</v>
      </c>
      <c r="F3432" s="469">
        <v>7.8</v>
      </c>
      <c r="G3432" s="469">
        <v>8.3000000000000007</v>
      </c>
      <c r="H3432" s="470">
        <v>208</v>
      </c>
      <c r="I3432" s="470">
        <v>240</v>
      </c>
      <c r="J3432" s="470">
        <v>1570</v>
      </c>
      <c r="K3432" s="469">
        <v>1.05</v>
      </c>
    </row>
    <row r="3433" spans="2:11" x14ac:dyDescent="0.35">
      <c r="B3433" s="62">
        <v>6</v>
      </c>
      <c r="C3433" s="471">
        <v>3449</v>
      </c>
      <c r="D3433" s="471">
        <v>3420.9</v>
      </c>
      <c r="E3433" s="469">
        <v>7.32</v>
      </c>
      <c r="F3433" s="469">
        <v>10.5</v>
      </c>
      <c r="G3433" s="469">
        <v>8.6999999999999993</v>
      </c>
      <c r="H3433" s="470">
        <v>201</v>
      </c>
      <c r="I3433" s="470">
        <v>229</v>
      </c>
      <c r="J3433" s="470">
        <v>1620</v>
      </c>
      <c r="K3433" s="469">
        <v>1.05</v>
      </c>
    </row>
    <row r="3434" spans="2:11" x14ac:dyDescent="0.35">
      <c r="B3434" s="62">
        <v>6</v>
      </c>
      <c r="C3434" s="471">
        <v>3450</v>
      </c>
      <c r="D3434" s="471">
        <v>3421.9</v>
      </c>
      <c r="E3434" s="469">
        <v>7.95</v>
      </c>
      <c r="F3434" s="469">
        <v>12.3</v>
      </c>
      <c r="G3434" s="469">
        <v>8.8000000000000007</v>
      </c>
      <c r="H3434" s="470">
        <v>205</v>
      </c>
      <c r="I3434" s="470">
        <v>236</v>
      </c>
      <c r="J3434" s="470">
        <v>1768</v>
      </c>
      <c r="K3434" s="469">
        <v>1.05</v>
      </c>
    </row>
    <row r="3435" spans="2:11" x14ac:dyDescent="0.35">
      <c r="B3435" s="62">
        <v>6</v>
      </c>
      <c r="C3435" s="471">
        <v>3451</v>
      </c>
      <c r="D3435" s="471">
        <v>3422.9</v>
      </c>
      <c r="E3435" s="469">
        <v>8.41</v>
      </c>
      <c r="F3435" s="469">
        <v>12</v>
      </c>
      <c r="G3435" s="469">
        <v>8.6999999999999993</v>
      </c>
      <c r="H3435" s="470">
        <v>205</v>
      </c>
      <c r="I3435" s="470">
        <v>235</v>
      </c>
      <c r="J3435" s="470">
        <v>1802</v>
      </c>
      <c r="K3435" s="469">
        <v>1.05</v>
      </c>
    </row>
    <row r="3436" spans="2:11" x14ac:dyDescent="0.35">
      <c r="B3436" s="62">
        <v>6</v>
      </c>
      <c r="C3436" s="471">
        <v>3452</v>
      </c>
      <c r="D3436" s="471">
        <v>3423.8</v>
      </c>
      <c r="E3436" s="469">
        <v>6.06</v>
      </c>
      <c r="F3436" s="469">
        <v>12</v>
      </c>
      <c r="G3436" s="469">
        <v>9.3000000000000007</v>
      </c>
      <c r="H3436" s="470">
        <v>202</v>
      </c>
      <c r="I3436" s="470">
        <v>230</v>
      </c>
      <c r="J3436" s="470">
        <v>1863</v>
      </c>
      <c r="K3436" s="469">
        <v>1.05</v>
      </c>
    </row>
    <row r="3437" spans="2:11" x14ac:dyDescent="0.35">
      <c r="B3437" s="62">
        <v>6</v>
      </c>
      <c r="C3437" s="471">
        <v>3453</v>
      </c>
      <c r="D3437" s="471">
        <v>3424.9</v>
      </c>
      <c r="E3437" s="469">
        <v>7.08</v>
      </c>
      <c r="F3437" s="469">
        <v>11.9</v>
      </c>
      <c r="G3437" s="469">
        <v>8.6999999999999993</v>
      </c>
      <c r="H3437" s="470">
        <v>203</v>
      </c>
      <c r="I3437" s="470">
        <v>232</v>
      </c>
      <c r="J3437" s="470">
        <v>1809</v>
      </c>
      <c r="K3437" s="469">
        <v>1.05</v>
      </c>
    </row>
    <row r="3438" spans="2:11" x14ac:dyDescent="0.35">
      <c r="B3438" s="62">
        <v>6</v>
      </c>
      <c r="C3438" s="471">
        <v>3454</v>
      </c>
      <c r="D3438" s="471">
        <v>3425.9</v>
      </c>
      <c r="E3438" s="469">
        <v>6.2</v>
      </c>
      <c r="F3438" s="469">
        <v>12</v>
      </c>
      <c r="G3438" s="469">
        <v>8.8000000000000007</v>
      </c>
      <c r="H3438" s="470">
        <v>201</v>
      </c>
      <c r="I3438" s="470">
        <v>229</v>
      </c>
      <c r="J3438" s="470">
        <v>1911</v>
      </c>
      <c r="K3438" s="469">
        <v>1.05</v>
      </c>
    </row>
    <row r="3439" spans="2:11" x14ac:dyDescent="0.35">
      <c r="B3439" s="62">
        <v>6</v>
      </c>
      <c r="C3439" s="471">
        <v>3455</v>
      </c>
      <c r="D3439" s="471">
        <v>3426.8</v>
      </c>
      <c r="E3439" s="469">
        <v>6.77</v>
      </c>
      <c r="F3439" s="469">
        <v>12</v>
      </c>
      <c r="G3439" s="469">
        <v>9.1999999999999993</v>
      </c>
      <c r="H3439" s="470">
        <v>201</v>
      </c>
      <c r="I3439" s="470">
        <v>229</v>
      </c>
      <c r="J3439" s="470">
        <v>1855</v>
      </c>
      <c r="K3439" s="469">
        <v>1.05</v>
      </c>
    </row>
    <row r="3440" spans="2:11" x14ac:dyDescent="0.35">
      <c r="B3440" s="62">
        <v>6</v>
      </c>
      <c r="C3440" s="471">
        <v>3456</v>
      </c>
      <c r="D3440" s="471">
        <v>3427.8</v>
      </c>
      <c r="E3440" s="469">
        <v>6.06</v>
      </c>
      <c r="F3440" s="469">
        <v>12.2</v>
      </c>
      <c r="G3440" s="469">
        <v>9</v>
      </c>
      <c r="H3440" s="470">
        <v>201</v>
      </c>
      <c r="I3440" s="470">
        <v>228</v>
      </c>
      <c r="J3440" s="470">
        <v>1844</v>
      </c>
      <c r="K3440" s="469">
        <v>1.05</v>
      </c>
    </row>
    <row r="3441" spans="2:11" x14ac:dyDescent="0.35">
      <c r="B3441" s="62">
        <v>6</v>
      </c>
      <c r="C3441" s="471">
        <v>3457</v>
      </c>
      <c r="D3441" s="471">
        <v>3428.8</v>
      </c>
      <c r="E3441" s="469">
        <v>8.5399999999999991</v>
      </c>
      <c r="F3441" s="469">
        <v>12.4</v>
      </c>
      <c r="G3441" s="469">
        <v>8.6999999999999993</v>
      </c>
      <c r="H3441" s="470">
        <v>198</v>
      </c>
      <c r="I3441" s="470">
        <v>226</v>
      </c>
      <c r="J3441" s="470">
        <v>1887</v>
      </c>
      <c r="K3441" s="469">
        <v>1.05</v>
      </c>
    </row>
    <row r="3442" spans="2:11" x14ac:dyDescent="0.35">
      <c r="B3442" s="62">
        <v>6</v>
      </c>
      <c r="C3442" s="471">
        <v>3458</v>
      </c>
      <c r="D3442" s="471">
        <v>3429.8</v>
      </c>
      <c r="E3442" s="469">
        <v>6.17</v>
      </c>
      <c r="F3442" s="469">
        <v>12.2</v>
      </c>
      <c r="G3442" s="469">
        <v>8</v>
      </c>
      <c r="H3442" s="470">
        <v>202</v>
      </c>
      <c r="I3442" s="470">
        <v>229</v>
      </c>
      <c r="J3442" s="470">
        <v>1859</v>
      </c>
      <c r="K3442" s="469">
        <v>1.05</v>
      </c>
    </row>
    <row r="3443" spans="2:11" x14ac:dyDescent="0.35">
      <c r="B3443" s="62">
        <v>6</v>
      </c>
      <c r="C3443" s="471">
        <v>3459</v>
      </c>
      <c r="D3443" s="471">
        <v>3430.8</v>
      </c>
      <c r="E3443" s="469">
        <v>7.62</v>
      </c>
      <c r="F3443" s="469">
        <v>12</v>
      </c>
      <c r="G3443" s="469">
        <v>9.1</v>
      </c>
      <c r="H3443" s="470">
        <v>198</v>
      </c>
      <c r="I3443" s="470">
        <v>229</v>
      </c>
      <c r="J3443" s="470">
        <v>1987</v>
      </c>
      <c r="K3443" s="469">
        <v>1.05</v>
      </c>
    </row>
    <row r="3444" spans="2:11" x14ac:dyDescent="0.35">
      <c r="B3444" s="62">
        <v>6</v>
      </c>
      <c r="C3444" s="471">
        <v>3460</v>
      </c>
      <c r="D3444" s="471">
        <v>3431.7</v>
      </c>
      <c r="E3444" s="469">
        <v>7.44</v>
      </c>
      <c r="F3444" s="469">
        <v>11.8</v>
      </c>
      <c r="G3444" s="469">
        <v>9.3000000000000007</v>
      </c>
      <c r="H3444" s="470">
        <v>198</v>
      </c>
      <c r="I3444" s="470">
        <v>229</v>
      </c>
      <c r="J3444" s="470">
        <v>1895</v>
      </c>
      <c r="K3444" s="469">
        <v>1.05</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A264D-A266-442C-AA96-27DA2CDF0530}">
  <sheetPr codeName="Sheet7"/>
  <dimension ref="A1:P5"/>
  <sheetViews>
    <sheetView workbookViewId="0">
      <selection activeCell="N9" sqref="N9"/>
    </sheetView>
  </sheetViews>
  <sheetFormatPr defaultRowHeight="14.5" x14ac:dyDescent="0.35"/>
  <cols>
    <col min="1" max="1" width="8.90625" bestFit="1" customWidth="1"/>
    <col min="2" max="2" width="8" style="1" customWidth="1"/>
    <col min="3" max="3" width="10.26953125" customWidth="1"/>
    <col min="5" max="5" width="10.08984375" customWidth="1"/>
    <col min="6" max="6" width="12.08984375" customWidth="1"/>
    <col min="7" max="7" width="10.26953125" bestFit="1" customWidth="1"/>
    <col min="8" max="8" width="9.08984375" customWidth="1"/>
    <col min="9" max="9" width="8.08984375" customWidth="1"/>
    <col min="10" max="10" width="7.26953125" customWidth="1"/>
    <col min="13" max="13" width="9.26953125" customWidth="1"/>
    <col min="16" max="16" width="50.1796875" customWidth="1"/>
  </cols>
  <sheetData>
    <row r="1" spans="1:16" ht="23" x14ac:dyDescent="0.35">
      <c r="A1" s="1" t="s">
        <v>8</v>
      </c>
      <c r="B1" s="1" t="s">
        <v>1189</v>
      </c>
      <c r="C1" s="1" t="s">
        <v>9</v>
      </c>
      <c r="D1" s="1" t="s">
        <v>10</v>
      </c>
      <c r="E1" s="1" t="s">
        <v>486</v>
      </c>
      <c r="F1" s="1" t="s">
        <v>487</v>
      </c>
      <c r="G1" s="1" t="s">
        <v>1190</v>
      </c>
      <c r="H1" s="1" t="s">
        <v>1191</v>
      </c>
      <c r="I1" s="1" t="s">
        <v>1213</v>
      </c>
      <c r="J1" s="1" t="s">
        <v>1214</v>
      </c>
      <c r="K1" s="1" t="s">
        <v>1194</v>
      </c>
      <c r="L1" s="1" t="s">
        <v>516</v>
      </c>
      <c r="M1" s="1" t="s">
        <v>1215</v>
      </c>
      <c r="N1" s="1" t="s">
        <v>1216</v>
      </c>
      <c r="O1" s="1" t="s">
        <v>1217</v>
      </c>
      <c r="P1" s="1" t="s">
        <v>488</v>
      </c>
    </row>
    <row r="2" spans="1:16" x14ac:dyDescent="0.35">
      <c r="A2" s="10">
        <v>43951</v>
      </c>
      <c r="B2" s="478">
        <v>12.25</v>
      </c>
      <c r="C2" t="s">
        <v>56</v>
      </c>
      <c r="D2" t="s">
        <v>779</v>
      </c>
      <c r="E2" s="2">
        <v>0.14583333333333334</v>
      </c>
      <c r="F2" s="2">
        <v>0.35416666666666669</v>
      </c>
      <c r="G2">
        <v>5</v>
      </c>
      <c r="H2">
        <v>2350</v>
      </c>
      <c r="I2">
        <v>2119</v>
      </c>
      <c r="J2">
        <v>1451</v>
      </c>
      <c r="K2">
        <f>I2-J2</f>
        <v>668</v>
      </c>
      <c r="L2">
        <f>K2/6</f>
        <v>111.33333333333333</v>
      </c>
      <c r="M2">
        <v>1495</v>
      </c>
      <c r="N2" t="s">
        <v>1162</v>
      </c>
      <c r="O2" t="s">
        <v>1163</v>
      </c>
      <c r="P2" t="s">
        <v>1161</v>
      </c>
    </row>
    <row r="3" spans="1:16" x14ac:dyDescent="0.35">
      <c r="A3" s="10">
        <v>43955</v>
      </c>
      <c r="B3" s="478">
        <v>12.25</v>
      </c>
      <c r="C3" t="s">
        <v>56</v>
      </c>
      <c r="D3" t="s">
        <v>638</v>
      </c>
      <c r="E3" s="2">
        <v>0.1875</v>
      </c>
      <c r="F3" s="2">
        <v>0.54166666666666663</v>
      </c>
      <c r="G3">
        <v>8.5</v>
      </c>
      <c r="H3">
        <v>2891</v>
      </c>
      <c r="I3">
        <v>2512</v>
      </c>
      <c r="J3">
        <v>2400</v>
      </c>
      <c r="K3">
        <v>112</v>
      </c>
      <c r="L3">
        <f>K3/1.5</f>
        <v>74.666666666666671</v>
      </c>
      <c r="M3">
        <v>2512</v>
      </c>
      <c r="N3" t="s">
        <v>1165</v>
      </c>
      <c r="O3" t="s">
        <v>1163</v>
      </c>
      <c r="P3" t="s">
        <v>1164</v>
      </c>
    </row>
    <row r="4" spans="1:16" x14ac:dyDescent="0.35">
      <c r="A4" s="10">
        <v>43956</v>
      </c>
      <c r="B4" s="478">
        <v>12.25</v>
      </c>
      <c r="C4" t="s">
        <v>1167</v>
      </c>
      <c r="D4" t="s">
        <v>640</v>
      </c>
      <c r="E4" s="2">
        <v>8.3333333333333329E-2</v>
      </c>
      <c r="F4" s="2">
        <v>0.72916666666666663</v>
      </c>
      <c r="G4">
        <v>15.5</v>
      </c>
      <c r="H4">
        <v>2891</v>
      </c>
      <c r="I4">
        <v>1252</v>
      </c>
      <c r="J4">
        <v>2889</v>
      </c>
      <c r="K4">
        <f>ABS(I4-J4)</f>
        <v>1637</v>
      </c>
      <c r="L4">
        <f>K4/G4</f>
        <v>105.61290322580645</v>
      </c>
      <c r="M4" t="s">
        <v>1168</v>
      </c>
      <c r="O4" t="s">
        <v>1163</v>
      </c>
      <c r="P4" t="s">
        <v>1166</v>
      </c>
    </row>
    <row r="5" spans="1:16" x14ac:dyDescent="0.35">
      <c r="A5" s="10">
        <v>43956</v>
      </c>
      <c r="B5" s="478">
        <v>12.25</v>
      </c>
      <c r="C5" t="s">
        <v>1167</v>
      </c>
      <c r="D5" t="s">
        <v>637</v>
      </c>
      <c r="E5" s="2">
        <v>0.8125</v>
      </c>
      <c r="F5" s="2">
        <v>0</v>
      </c>
      <c r="G5">
        <v>4.5</v>
      </c>
      <c r="H5">
        <v>2891</v>
      </c>
      <c r="I5">
        <v>2635</v>
      </c>
      <c r="J5">
        <v>2434</v>
      </c>
      <c r="K5">
        <f>ABS(I5-J5)</f>
        <v>201</v>
      </c>
      <c r="L5">
        <f>K5/G5</f>
        <v>44.666666666666664</v>
      </c>
      <c r="M5" t="s">
        <v>1170</v>
      </c>
      <c r="O5" t="s">
        <v>1163</v>
      </c>
      <c r="P5" t="s">
        <v>1169</v>
      </c>
    </row>
  </sheetData>
  <phoneticPr fontId="35"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BC37A-E77B-49B0-8F84-094235895B06}">
  <sheetPr codeName="Sheet13"/>
  <dimension ref="A1:Q3"/>
  <sheetViews>
    <sheetView workbookViewId="0">
      <selection activeCell="Q1" sqref="Q1"/>
    </sheetView>
  </sheetViews>
  <sheetFormatPr defaultRowHeight="14.5" x14ac:dyDescent="0.35"/>
  <cols>
    <col min="1" max="1" width="10.1796875" customWidth="1"/>
    <col min="2" max="2" width="8.7265625" style="61"/>
    <col min="7" max="7" width="8.7265625" style="61"/>
    <col min="12" max="12" width="8.7265625" style="61"/>
    <col min="15" max="15" width="10.26953125" customWidth="1"/>
    <col min="16" max="16" width="9.7265625" customWidth="1"/>
    <col min="17" max="17" width="56.6328125" customWidth="1"/>
  </cols>
  <sheetData>
    <row r="1" spans="1:17" ht="34.5" x14ac:dyDescent="0.35">
      <c r="A1" s="1" t="s">
        <v>8</v>
      </c>
      <c r="B1" s="1" t="s">
        <v>1189</v>
      </c>
      <c r="C1" s="1" t="s">
        <v>9</v>
      </c>
      <c r="D1" s="1" t="s">
        <v>10</v>
      </c>
      <c r="E1" s="1" t="s">
        <v>486</v>
      </c>
      <c r="F1" s="1" t="s">
        <v>487</v>
      </c>
      <c r="G1" s="1" t="s">
        <v>1190</v>
      </c>
      <c r="H1" s="1" t="s">
        <v>1191</v>
      </c>
      <c r="I1" s="1" t="s">
        <v>1218</v>
      </c>
      <c r="J1" s="1" t="s">
        <v>1219</v>
      </c>
      <c r="K1" s="1" t="s">
        <v>1220</v>
      </c>
      <c r="L1" s="1" t="s">
        <v>1221</v>
      </c>
      <c r="M1" s="1" t="s">
        <v>1222</v>
      </c>
      <c r="N1" s="1" t="s">
        <v>1223</v>
      </c>
      <c r="O1" s="1" t="s">
        <v>517</v>
      </c>
      <c r="P1" s="1" t="s">
        <v>518</v>
      </c>
      <c r="Q1" s="1" t="s">
        <v>488</v>
      </c>
    </row>
    <row r="3" spans="1:17" x14ac:dyDescent="0.35">
      <c r="A3" s="6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B47-D7C8-4D62-A290-09977D7563E8}">
  <sheetPr codeName="Sheet32"/>
  <dimension ref="A1:V54"/>
  <sheetViews>
    <sheetView topLeftCell="Q1" workbookViewId="0">
      <selection activeCell="J11" sqref="J11"/>
    </sheetView>
  </sheetViews>
  <sheetFormatPr defaultRowHeight="12.5" x14ac:dyDescent="0.25"/>
  <cols>
    <col min="1" max="1" width="8.90625" style="484" bestFit="1" customWidth="1"/>
    <col min="2" max="2" width="8.7265625" style="63"/>
    <col min="3" max="3" width="8.7265625" style="13"/>
    <col min="4" max="4" width="15.81640625" style="13" customWidth="1"/>
    <col min="5" max="11" width="8.81640625" style="13" customWidth="1"/>
    <col min="12" max="17" width="11.453125" style="13" customWidth="1"/>
    <col min="18" max="18" width="16.7265625" style="13" customWidth="1"/>
    <col min="19" max="21" width="15.54296875" style="13" customWidth="1"/>
    <col min="22" max="22" width="83.6328125" style="13" customWidth="1"/>
    <col min="23" max="42" width="8.7265625" style="13"/>
    <col min="43" max="43" width="9.54296875" style="13" customWidth="1"/>
    <col min="44" max="54" width="8.7265625" style="13"/>
    <col min="55" max="55" width="7.26953125" style="13" customWidth="1"/>
    <col min="56" max="56" width="8.7265625" style="13"/>
    <col min="57" max="57" width="8.36328125" style="13" customWidth="1"/>
    <col min="58" max="58" width="7.36328125" style="13" customWidth="1"/>
    <col min="59" max="67" width="8.7265625" style="13"/>
    <col min="68" max="68" width="7.6328125" style="13" customWidth="1"/>
    <col min="69" max="75" width="8.7265625" style="13"/>
    <col min="76" max="76" width="8.36328125" style="13" customWidth="1"/>
    <col min="77" max="77" width="8.26953125" style="13" customWidth="1"/>
    <col min="78" max="16384" width="8.7265625" style="13"/>
  </cols>
  <sheetData>
    <row r="1" spans="1:22" s="6" customFormat="1" ht="38" customHeight="1" x14ac:dyDescent="0.35">
      <c r="A1" s="482" t="s">
        <v>8</v>
      </c>
      <c r="B1" s="6" t="s">
        <v>1189</v>
      </c>
      <c r="C1" s="6" t="s">
        <v>126</v>
      </c>
      <c r="D1" s="6" t="s">
        <v>1302</v>
      </c>
      <c r="E1" s="6" t="s">
        <v>519</v>
      </c>
      <c r="F1" s="6" t="s">
        <v>520</v>
      </c>
      <c r="G1" s="6" t="s">
        <v>521</v>
      </c>
      <c r="H1" s="6" t="s">
        <v>522</v>
      </c>
      <c r="I1" s="6" t="s">
        <v>524</v>
      </c>
      <c r="J1" s="6" t="s">
        <v>525</v>
      </c>
      <c r="K1" s="6" t="s">
        <v>523</v>
      </c>
      <c r="L1" s="6" t="s">
        <v>526</v>
      </c>
      <c r="M1" s="6" t="s">
        <v>415</v>
      </c>
      <c r="N1" s="6" t="s">
        <v>252</v>
      </c>
      <c r="O1" s="6" t="s">
        <v>502</v>
      </c>
      <c r="P1" s="6" t="s">
        <v>527</v>
      </c>
      <c r="Q1" s="6" t="s">
        <v>528</v>
      </c>
      <c r="R1" s="6" t="s">
        <v>416</v>
      </c>
      <c r="S1" s="6" t="s">
        <v>1224</v>
      </c>
      <c r="T1" s="6" t="s">
        <v>1310</v>
      </c>
      <c r="U1" s="6" t="s">
        <v>1311</v>
      </c>
      <c r="V1" s="6" t="s">
        <v>1225</v>
      </c>
    </row>
    <row r="2" spans="1:22" ht="12.75" customHeight="1" x14ac:dyDescent="0.25">
      <c r="A2" s="483">
        <v>43937</v>
      </c>
      <c r="B2" s="405">
        <v>26</v>
      </c>
      <c r="C2" s="11">
        <v>1</v>
      </c>
      <c r="D2" s="444" t="s">
        <v>624</v>
      </c>
      <c r="F2" s="444"/>
      <c r="G2" s="444"/>
      <c r="H2" s="444"/>
      <c r="I2" s="444"/>
      <c r="J2" s="444"/>
      <c r="K2" s="444"/>
      <c r="L2" s="444"/>
      <c r="M2" s="444"/>
      <c r="N2" s="444"/>
      <c r="O2" s="444"/>
      <c r="P2" s="444"/>
      <c r="Q2" s="444"/>
      <c r="R2" s="444"/>
      <c r="S2" s="13">
        <v>0</v>
      </c>
      <c r="T2" s="13">
        <v>0</v>
      </c>
      <c r="U2" s="13">
        <v>0</v>
      </c>
      <c r="V2" s="444" t="s">
        <v>624</v>
      </c>
    </row>
    <row r="3" spans="1:22" ht="12.75" customHeight="1" x14ac:dyDescent="0.25">
      <c r="A3" s="483">
        <v>43938</v>
      </c>
      <c r="B3" s="405">
        <v>26</v>
      </c>
      <c r="C3" s="11">
        <v>2</v>
      </c>
      <c r="D3" s="444" t="s">
        <v>624</v>
      </c>
      <c r="F3" s="444"/>
      <c r="G3" s="444"/>
      <c r="H3" s="444"/>
      <c r="I3" s="444"/>
      <c r="J3" s="444"/>
      <c r="K3" s="444"/>
      <c r="L3" s="444"/>
      <c r="M3" s="444"/>
      <c r="N3" s="444"/>
      <c r="O3" s="444"/>
      <c r="P3" s="444"/>
      <c r="Q3" s="444"/>
      <c r="R3" s="444"/>
      <c r="S3" s="13">
        <v>0</v>
      </c>
      <c r="T3" s="13">
        <v>0</v>
      </c>
      <c r="U3" s="13">
        <v>0</v>
      </c>
      <c r="V3" s="444" t="s">
        <v>624</v>
      </c>
    </row>
    <row r="4" spans="1:22" ht="12.75" customHeight="1" x14ac:dyDescent="0.25">
      <c r="A4" s="483">
        <v>43939</v>
      </c>
      <c r="B4" s="405">
        <v>26</v>
      </c>
      <c r="C4" s="11">
        <v>3</v>
      </c>
      <c r="D4" s="444" t="s">
        <v>624</v>
      </c>
      <c r="F4" s="444"/>
      <c r="G4" s="444"/>
      <c r="H4" s="444"/>
      <c r="I4" s="444"/>
      <c r="J4" s="444"/>
      <c r="K4" s="444"/>
      <c r="L4" s="444"/>
      <c r="M4" s="444"/>
      <c r="N4" s="444"/>
      <c r="O4" s="444"/>
      <c r="P4" s="444"/>
      <c r="Q4" s="444"/>
      <c r="R4" s="444"/>
      <c r="S4" s="13">
        <v>0</v>
      </c>
      <c r="T4" s="13">
        <v>0</v>
      </c>
      <c r="U4" s="13">
        <v>0</v>
      </c>
      <c r="V4" s="444" t="s">
        <v>624</v>
      </c>
    </row>
    <row r="5" spans="1:22" ht="12.75" customHeight="1" x14ac:dyDescent="0.25">
      <c r="A5" s="483">
        <v>43940</v>
      </c>
      <c r="B5" s="405">
        <v>26</v>
      </c>
      <c r="C5" s="11">
        <v>4</v>
      </c>
      <c r="D5" s="444" t="s">
        <v>624</v>
      </c>
      <c r="F5" s="444"/>
      <c r="G5" s="444"/>
      <c r="H5" s="444"/>
      <c r="I5" s="444"/>
      <c r="J5" s="444"/>
      <c r="K5" s="444"/>
      <c r="L5" s="444"/>
      <c r="M5" s="444"/>
      <c r="N5" s="444"/>
      <c r="O5" s="444"/>
      <c r="P5" s="444"/>
      <c r="Q5" s="444"/>
      <c r="R5" s="444"/>
      <c r="S5" s="13">
        <v>0</v>
      </c>
      <c r="T5" s="13">
        <v>0</v>
      </c>
      <c r="U5" s="13">
        <v>0</v>
      </c>
      <c r="V5" s="444" t="s">
        <v>624</v>
      </c>
    </row>
    <row r="6" spans="1:22" ht="12.75" customHeight="1" x14ac:dyDescent="0.25">
      <c r="A6" s="483">
        <v>43941</v>
      </c>
      <c r="B6" s="405">
        <v>17.5</v>
      </c>
      <c r="C6" s="11">
        <v>5</v>
      </c>
      <c r="D6" s="444" t="s">
        <v>624</v>
      </c>
      <c r="F6" s="444"/>
      <c r="G6" s="444"/>
      <c r="H6" s="444"/>
      <c r="I6" s="444"/>
      <c r="J6" s="444"/>
      <c r="K6" s="444"/>
      <c r="L6" s="444"/>
      <c r="M6" s="444"/>
      <c r="N6" s="444"/>
      <c r="O6" s="444"/>
      <c r="P6" s="444"/>
      <c r="Q6" s="444"/>
      <c r="R6" s="444"/>
      <c r="S6" s="13">
        <v>0</v>
      </c>
      <c r="T6" s="13">
        <v>0</v>
      </c>
      <c r="U6" s="13">
        <v>0</v>
      </c>
      <c r="V6" s="444" t="s">
        <v>624</v>
      </c>
    </row>
    <row r="7" spans="1:22" ht="12.75" customHeight="1" x14ac:dyDescent="0.25">
      <c r="A7" s="483">
        <v>43942</v>
      </c>
      <c r="B7" s="405">
        <v>17.5</v>
      </c>
      <c r="C7" s="11">
        <v>6</v>
      </c>
      <c r="D7" s="444" t="s">
        <v>624</v>
      </c>
      <c r="F7" s="444"/>
      <c r="G7" s="444"/>
      <c r="H7" s="444"/>
      <c r="I7" s="444"/>
      <c r="J7" s="444"/>
      <c r="K7" s="444"/>
      <c r="L7" s="444"/>
      <c r="M7" s="444"/>
      <c r="N7" s="444"/>
      <c r="O7" s="444"/>
      <c r="P7" s="444"/>
      <c r="Q7" s="444"/>
      <c r="R7" s="444"/>
      <c r="S7" s="13">
        <v>0</v>
      </c>
      <c r="T7" s="13">
        <v>0</v>
      </c>
      <c r="U7" s="13">
        <v>0</v>
      </c>
      <c r="V7" s="444" t="s">
        <v>624</v>
      </c>
    </row>
    <row r="8" spans="1:22" ht="12.75" customHeight="1" x14ac:dyDescent="0.25">
      <c r="A8" s="483">
        <v>43943</v>
      </c>
      <c r="B8" s="405">
        <v>17.5</v>
      </c>
      <c r="C8" s="11">
        <v>7</v>
      </c>
      <c r="D8" s="444" t="s">
        <v>1071</v>
      </c>
      <c r="E8" s="13">
        <v>2</v>
      </c>
      <c r="F8" s="444"/>
      <c r="G8" s="444"/>
      <c r="H8" s="444"/>
      <c r="I8" s="444"/>
      <c r="J8" s="444"/>
      <c r="K8" s="444"/>
      <c r="L8" s="444"/>
      <c r="M8" s="444"/>
      <c r="N8" s="444"/>
      <c r="O8" s="444"/>
      <c r="Q8" s="444"/>
      <c r="R8" s="444"/>
      <c r="S8" s="13">
        <v>2</v>
      </c>
      <c r="T8" s="13">
        <v>2</v>
      </c>
      <c r="U8" s="13">
        <v>0</v>
      </c>
      <c r="V8" s="444" t="s">
        <v>624</v>
      </c>
    </row>
    <row r="9" spans="1:22" ht="12.75" customHeight="1" x14ac:dyDescent="0.25">
      <c r="A9" s="483">
        <v>43944</v>
      </c>
      <c r="B9" s="405">
        <v>17.5</v>
      </c>
      <c r="C9" s="11">
        <v>8</v>
      </c>
      <c r="D9" s="444" t="s">
        <v>624</v>
      </c>
      <c r="E9" s="444"/>
      <c r="F9" s="444"/>
      <c r="G9" s="444"/>
      <c r="H9" s="444"/>
      <c r="I9" s="444"/>
      <c r="J9" s="444"/>
      <c r="K9" s="444"/>
      <c r="L9" s="444"/>
      <c r="M9" s="444"/>
      <c r="N9" s="444"/>
      <c r="O9" s="444"/>
      <c r="Q9" s="444"/>
      <c r="R9" s="444"/>
      <c r="S9" s="13">
        <v>2</v>
      </c>
      <c r="T9" s="13">
        <v>2</v>
      </c>
      <c r="U9" s="13">
        <v>0</v>
      </c>
      <c r="V9" s="444" t="s">
        <v>624</v>
      </c>
    </row>
    <row r="10" spans="1:22" x14ac:dyDescent="0.25">
      <c r="A10" s="483">
        <v>43945</v>
      </c>
      <c r="B10" s="405">
        <v>17.5</v>
      </c>
      <c r="C10" s="11">
        <v>9</v>
      </c>
      <c r="D10" s="444" t="s">
        <v>624</v>
      </c>
      <c r="S10" s="13">
        <v>2</v>
      </c>
      <c r="T10" s="13">
        <v>2</v>
      </c>
      <c r="U10" s="13">
        <v>0</v>
      </c>
      <c r="V10" s="444" t="s">
        <v>624</v>
      </c>
    </row>
    <row r="11" spans="1:22" x14ac:dyDescent="0.25">
      <c r="A11" s="483">
        <v>43946</v>
      </c>
      <c r="B11" s="405">
        <v>17.5</v>
      </c>
      <c r="C11" s="11">
        <v>10</v>
      </c>
      <c r="D11" s="444" t="s">
        <v>624</v>
      </c>
      <c r="S11" s="13">
        <v>2</v>
      </c>
      <c r="T11" s="13">
        <v>2</v>
      </c>
      <c r="U11" s="13">
        <v>0</v>
      </c>
      <c r="V11" s="444" t="s">
        <v>624</v>
      </c>
    </row>
    <row r="12" spans="1:22" x14ac:dyDescent="0.25">
      <c r="A12" s="483">
        <v>43947</v>
      </c>
      <c r="B12" s="405">
        <v>12.25</v>
      </c>
      <c r="C12" s="11">
        <v>11</v>
      </c>
      <c r="D12" s="444" t="s">
        <v>624</v>
      </c>
      <c r="S12" s="13">
        <v>2</v>
      </c>
      <c r="T12" s="13">
        <v>2</v>
      </c>
      <c r="U12" s="13">
        <v>0</v>
      </c>
      <c r="V12" s="444" t="s">
        <v>624</v>
      </c>
    </row>
    <row r="13" spans="1:22" x14ac:dyDescent="0.25">
      <c r="A13" s="483">
        <v>43948</v>
      </c>
      <c r="B13" s="405">
        <v>12.25</v>
      </c>
      <c r="C13" s="11">
        <v>12</v>
      </c>
      <c r="D13" s="444" t="s">
        <v>624</v>
      </c>
      <c r="S13" s="13">
        <v>2</v>
      </c>
      <c r="T13" s="13">
        <v>2</v>
      </c>
      <c r="U13" s="13">
        <v>0</v>
      </c>
      <c r="V13" s="444" t="s">
        <v>689</v>
      </c>
    </row>
    <row r="14" spans="1:22" x14ac:dyDescent="0.25">
      <c r="A14" s="483">
        <v>43949</v>
      </c>
      <c r="B14" s="405">
        <v>12.25</v>
      </c>
      <c r="C14" s="11">
        <v>13</v>
      </c>
      <c r="D14" s="444" t="s">
        <v>1071</v>
      </c>
      <c r="E14" s="13">
        <v>2.5</v>
      </c>
      <c r="S14" s="13">
        <v>4.5</v>
      </c>
      <c r="T14" s="13">
        <v>4.5</v>
      </c>
      <c r="U14" s="13">
        <v>0</v>
      </c>
      <c r="V14" s="444" t="s">
        <v>1301</v>
      </c>
    </row>
    <row r="15" spans="1:22" x14ac:dyDescent="0.25">
      <c r="A15" s="483">
        <v>43950</v>
      </c>
      <c r="B15" s="405">
        <v>12.25</v>
      </c>
      <c r="C15" s="11">
        <v>14</v>
      </c>
      <c r="D15" s="444" t="s">
        <v>1071</v>
      </c>
      <c r="E15" s="13">
        <v>0.5</v>
      </c>
      <c r="S15" s="13">
        <v>5</v>
      </c>
      <c r="T15" s="13">
        <v>5</v>
      </c>
      <c r="U15" s="13">
        <v>0</v>
      </c>
      <c r="V15" s="444" t="s">
        <v>752</v>
      </c>
    </row>
    <row r="16" spans="1:22" x14ac:dyDescent="0.25">
      <c r="A16" s="483">
        <v>43951</v>
      </c>
      <c r="B16" s="405">
        <v>12.25</v>
      </c>
      <c r="C16" s="11">
        <v>15</v>
      </c>
      <c r="D16" s="444" t="s">
        <v>624</v>
      </c>
      <c r="S16" s="13">
        <v>5</v>
      </c>
      <c r="T16" s="13">
        <v>5</v>
      </c>
      <c r="U16" s="13">
        <v>0</v>
      </c>
      <c r="V16" s="444" t="s">
        <v>624</v>
      </c>
    </row>
    <row r="17" spans="1:22" x14ac:dyDescent="0.25">
      <c r="A17" s="483">
        <v>43952</v>
      </c>
      <c r="B17" s="405">
        <v>12.25</v>
      </c>
      <c r="C17" s="11">
        <v>16</v>
      </c>
      <c r="D17" s="444" t="s">
        <v>1071</v>
      </c>
      <c r="E17" s="13">
        <v>0.5</v>
      </c>
      <c r="S17" s="13">
        <v>5.5</v>
      </c>
      <c r="T17" s="13">
        <v>5.5</v>
      </c>
      <c r="U17" s="13">
        <v>0</v>
      </c>
      <c r="V17" s="444" t="s">
        <v>1188</v>
      </c>
    </row>
    <row r="18" spans="1:22" x14ac:dyDescent="0.25">
      <c r="A18" s="483">
        <v>43953</v>
      </c>
      <c r="B18" s="405">
        <v>12.25</v>
      </c>
      <c r="C18" s="11">
        <v>17</v>
      </c>
      <c r="D18" s="444" t="s">
        <v>624</v>
      </c>
      <c r="S18" s="13">
        <v>5.5</v>
      </c>
      <c r="T18" s="13">
        <v>5.5</v>
      </c>
      <c r="U18" s="13">
        <v>0</v>
      </c>
      <c r="V18" s="444" t="s">
        <v>624</v>
      </c>
    </row>
    <row r="19" spans="1:22" x14ac:dyDescent="0.25">
      <c r="A19" s="483">
        <v>43954</v>
      </c>
      <c r="B19" s="405">
        <v>12.25</v>
      </c>
      <c r="C19" s="11">
        <v>18</v>
      </c>
      <c r="D19" s="444" t="s">
        <v>624</v>
      </c>
      <c r="S19" s="13">
        <v>5.5</v>
      </c>
      <c r="T19" s="13">
        <v>5.5</v>
      </c>
      <c r="U19" s="13">
        <v>0</v>
      </c>
      <c r="V19" s="444" t="s">
        <v>624</v>
      </c>
    </row>
    <row r="20" spans="1:22" x14ac:dyDescent="0.25">
      <c r="A20" s="483">
        <v>43955</v>
      </c>
      <c r="B20" s="405">
        <v>12.25</v>
      </c>
      <c r="C20" s="11">
        <v>19</v>
      </c>
      <c r="D20" s="444" t="s">
        <v>624</v>
      </c>
      <c r="S20" s="13">
        <v>5.5</v>
      </c>
      <c r="T20" s="13">
        <v>5.5</v>
      </c>
      <c r="U20" s="13">
        <v>0</v>
      </c>
      <c r="V20" s="444" t="s">
        <v>624</v>
      </c>
    </row>
    <row r="21" spans="1:22" x14ac:dyDescent="0.25">
      <c r="A21" s="483">
        <v>43956</v>
      </c>
      <c r="B21" s="405">
        <v>12.25</v>
      </c>
      <c r="C21" s="11">
        <v>20</v>
      </c>
      <c r="D21" s="444" t="s">
        <v>624</v>
      </c>
      <c r="S21" s="13">
        <v>5.5</v>
      </c>
      <c r="T21" s="13">
        <v>5.5</v>
      </c>
      <c r="U21" s="13">
        <v>0</v>
      </c>
      <c r="V21" s="444" t="s">
        <v>624</v>
      </c>
    </row>
    <row r="22" spans="1:22" x14ac:dyDescent="0.25">
      <c r="A22" s="483">
        <v>43957</v>
      </c>
      <c r="B22" s="405">
        <v>12.25</v>
      </c>
      <c r="C22" s="11">
        <v>21</v>
      </c>
      <c r="D22" s="444" t="s">
        <v>624</v>
      </c>
      <c r="S22" s="13">
        <v>5.5</v>
      </c>
      <c r="T22" s="13">
        <v>5.5</v>
      </c>
      <c r="U22" s="13">
        <v>0</v>
      </c>
      <c r="V22" s="444" t="s">
        <v>624</v>
      </c>
    </row>
    <row r="23" spans="1:22" x14ac:dyDescent="0.25">
      <c r="A23" s="483">
        <v>43958</v>
      </c>
      <c r="B23" s="405">
        <v>12.25</v>
      </c>
      <c r="C23" s="11">
        <v>22</v>
      </c>
      <c r="D23" s="444" t="s">
        <v>624</v>
      </c>
      <c r="S23" s="13">
        <v>5.5</v>
      </c>
      <c r="T23" s="13">
        <v>5.5</v>
      </c>
      <c r="U23" s="13">
        <v>0</v>
      </c>
      <c r="V23" s="444" t="s">
        <v>624</v>
      </c>
    </row>
    <row r="24" spans="1:22" x14ac:dyDescent="0.25">
      <c r="A24" s="483">
        <v>43959</v>
      </c>
      <c r="B24" s="405">
        <v>12.25</v>
      </c>
      <c r="C24" s="11">
        <v>23</v>
      </c>
      <c r="D24" s="444" t="s">
        <v>624</v>
      </c>
      <c r="S24" s="13">
        <v>5.5</v>
      </c>
      <c r="T24" s="13">
        <v>5.5</v>
      </c>
      <c r="U24" s="13">
        <v>0</v>
      </c>
      <c r="V24" s="444" t="s">
        <v>624</v>
      </c>
    </row>
    <row r="25" spans="1:22" x14ac:dyDescent="0.25">
      <c r="A25" s="483">
        <v>43960</v>
      </c>
      <c r="B25" s="405">
        <v>12.25</v>
      </c>
      <c r="C25" s="11">
        <v>24</v>
      </c>
      <c r="D25" s="444" t="s">
        <v>624</v>
      </c>
      <c r="S25" s="13">
        <v>5.5</v>
      </c>
      <c r="T25" s="13">
        <v>5.5</v>
      </c>
      <c r="U25" s="13">
        <v>0</v>
      </c>
      <c r="V25" s="444" t="s">
        <v>624</v>
      </c>
    </row>
    <row r="26" spans="1:22" x14ac:dyDescent="0.25">
      <c r="A26" s="483">
        <v>43961</v>
      </c>
      <c r="B26" s="405">
        <v>8.5</v>
      </c>
      <c r="C26" s="11">
        <v>25</v>
      </c>
      <c r="D26" s="444" t="s">
        <v>624</v>
      </c>
      <c r="S26" s="13">
        <v>5.5</v>
      </c>
      <c r="T26" s="13">
        <v>5.5</v>
      </c>
      <c r="U26" s="13">
        <v>0</v>
      </c>
      <c r="V26" s="444" t="s">
        <v>624</v>
      </c>
    </row>
    <row r="27" spans="1:22" x14ac:dyDescent="0.25">
      <c r="A27" s="483">
        <v>43962</v>
      </c>
      <c r="B27" s="405">
        <v>8.5</v>
      </c>
      <c r="C27" s="11">
        <v>26</v>
      </c>
      <c r="D27" s="444" t="s">
        <v>1071</v>
      </c>
      <c r="E27" s="13">
        <v>1</v>
      </c>
      <c r="S27" s="13">
        <v>6.5</v>
      </c>
      <c r="T27" s="13">
        <v>6.5</v>
      </c>
      <c r="U27" s="13">
        <v>0</v>
      </c>
      <c r="V27" s="444" t="s">
        <v>830</v>
      </c>
    </row>
    <row r="28" spans="1:22" x14ac:dyDescent="0.25">
      <c r="A28" s="483">
        <v>43963</v>
      </c>
      <c r="B28" s="405">
        <v>8.5</v>
      </c>
      <c r="C28" s="11">
        <v>27</v>
      </c>
      <c r="D28" s="444" t="s">
        <v>624</v>
      </c>
      <c r="S28" s="13">
        <v>6.5</v>
      </c>
      <c r="T28" s="13">
        <v>6.5</v>
      </c>
      <c r="U28" s="13">
        <v>0</v>
      </c>
      <c r="V28" s="444" t="s">
        <v>624</v>
      </c>
    </row>
    <row r="29" spans="1:22" x14ac:dyDescent="0.25">
      <c r="A29" s="483">
        <v>43964</v>
      </c>
      <c r="B29" s="405">
        <v>8.5</v>
      </c>
      <c r="C29" s="11">
        <v>28</v>
      </c>
      <c r="D29" s="444" t="s">
        <v>624</v>
      </c>
      <c r="S29" s="13">
        <v>6.5</v>
      </c>
      <c r="T29" s="13">
        <v>6.5</v>
      </c>
      <c r="U29" s="13">
        <v>0</v>
      </c>
      <c r="V29" s="444" t="s">
        <v>624</v>
      </c>
    </row>
    <row r="30" spans="1:22" x14ac:dyDescent="0.25">
      <c r="A30" s="483">
        <v>43965</v>
      </c>
      <c r="B30" s="405">
        <v>8.5</v>
      </c>
      <c r="C30" s="11">
        <v>29</v>
      </c>
      <c r="D30" s="444" t="s">
        <v>1071</v>
      </c>
      <c r="E30" s="13">
        <v>0.75</v>
      </c>
      <c r="S30" s="13">
        <v>7.25</v>
      </c>
      <c r="T30" s="13">
        <v>7.25</v>
      </c>
      <c r="U30" s="13">
        <v>0</v>
      </c>
      <c r="V30" s="444" t="s">
        <v>1184</v>
      </c>
    </row>
    <row r="31" spans="1:22" x14ac:dyDescent="0.25">
      <c r="A31" s="483">
        <v>43966</v>
      </c>
      <c r="B31" s="405">
        <v>8.5</v>
      </c>
      <c r="C31" s="11">
        <v>30</v>
      </c>
      <c r="D31" s="444" t="s">
        <v>624</v>
      </c>
      <c r="S31" s="13">
        <v>7.25</v>
      </c>
      <c r="T31" s="13">
        <v>7.25</v>
      </c>
      <c r="U31" s="13">
        <v>0</v>
      </c>
      <c r="V31" s="444" t="s">
        <v>624</v>
      </c>
    </row>
    <row r="32" spans="1:22" x14ac:dyDescent="0.25">
      <c r="A32" s="483">
        <v>43967</v>
      </c>
      <c r="B32" s="405">
        <v>6</v>
      </c>
      <c r="C32" s="11">
        <v>31</v>
      </c>
      <c r="D32" s="444" t="s">
        <v>624</v>
      </c>
      <c r="S32" s="13">
        <v>7.25</v>
      </c>
      <c r="T32" s="13">
        <v>7.25</v>
      </c>
      <c r="U32" s="13">
        <v>0</v>
      </c>
      <c r="V32" s="444" t="s">
        <v>624</v>
      </c>
    </row>
    <row r="33" spans="1:22" x14ac:dyDescent="0.25">
      <c r="A33" s="483">
        <v>43968</v>
      </c>
      <c r="B33" s="405">
        <v>6</v>
      </c>
      <c r="C33" s="11">
        <v>32</v>
      </c>
      <c r="D33" s="444" t="s">
        <v>624</v>
      </c>
      <c r="S33" s="13">
        <v>7.25</v>
      </c>
      <c r="T33" s="13">
        <v>7.25</v>
      </c>
      <c r="U33" s="13">
        <v>0</v>
      </c>
      <c r="V33" s="444" t="s">
        <v>624</v>
      </c>
    </row>
    <row r="34" spans="1:22" x14ac:dyDescent="0.25">
      <c r="A34" s="483">
        <v>43969</v>
      </c>
      <c r="B34" s="405">
        <v>6</v>
      </c>
      <c r="C34" s="11">
        <v>33</v>
      </c>
      <c r="D34" s="444" t="s">
        <v>624</v>
      </c>
      <c r="S34" s="13">
        <v>7.25</v>
      </c>
      <c r="T34" s="13">
        <v>7.25</v>
      </c>
      <c r="U34" s="13">
        <v>0</v>
      </c>
      <c r="V34" s="444" t="s">
        <v>624</v>
      </c>
    </row>
    <row r="35" spans="1:22" x14ac:dyDescent="0.25">
      <c r="A35" s="483">
        <v>43970</v>
      </c>
      <c r="B35" s="405">
        <v>6</v>
      </c>
      <c r="C35" s="11">
        <v>34</v>
      </c>
      <c r="D35" s="444" t="s">
        <v>624</v>
      </c>
      <c r="S35" s="13">
        <v>7.25</v>
      </c>
      <c r="T35" s="13">
        <v>7.25</v>
      </c>
      <c r="U35" s="13">
        <v>0</v>
      </c>
      <c r="V35" s="444" t="s">
        <v>624</v>
      </c>
    </row>
    <row r="36" spans="1:22" x14ac:dyDescent="0.25">
      <c r="A36" s="483">
        <v>43971</v>
      </c>
      <c r="B36" s="405">
        <v>6</v>
      </c>
      <c r="C36" s="11">
        <v>35</v>
      </c>
      <c r="D36" s="444" t="s">
        <v>624</v>
      </c>
      <c r="S36" s="13">
        <v>7.25</v>
      </c>
      <c r="T36" s="13">
        <v>7.25</v>
      </c>
      <c r="U36" s="13">
        <v>0</v>
      </c>
      <c r="V36" s="444" t="s">
        <v>624</v>
      </c>
    </row>
    <row r="37" spans="1:22" x14ac:dyDescent="0.25">
      <c r="A37" s="483">
        <v>43972</v>
      </c>
      <c r="B37" s="405">
        <v>6</v>
      </c>
      <c r="C37" s="11">
        <v>36</v>
      </c>
      <c r="D37" s="444" t="s">
        <v>624</v>
      </c>
      <c r="S37" s="13">
        <v>7.25</v>
      </c>
      <c r="T37" s="13">
        <v>7.25</v>
      </c>
      <c r="U37" s="13">
        <v>0</v>
      </c>
      <c r="V37" s="444" t="s">
        <v>624</v>
      </c>
    </row>
    <row r="38" spans="1:22" x14ac:dyDescent="0.25">
      <c r="A38" s="483">
        <v>43973</v>
      </c>
      <c r="B38" s="405">
        <v>6</v>
      </c>
      <c r="C38" s="11">
        <v>37</v>
      </c>
      <c r="D38" s="444" t="s">
        <v>624</v>
      </c>
      <c r="S38" s="13">
        <v>7.25</v>
      </c>
      <c r="T38" s="13">
        <v>7.25</v>
      </c>
      <c r="U38" s="13">
        <v>0</v>
      </c>
      <c r="V38" s="444" t="s">
        <v>624</v>
      </c>
    </row>
    <row r="39" spans="1:22" x14ac:dyDescent="0.25">
      <c r="A39" s="483">
        <v>43974</v>
      </c>
      <c r="B39" s="405">
        <v>6</v>
      </c>
      <c r="C39" s="11">
        <v>38</v>
      </c>
      <c r="D39" s="444" t="s">
        <v>624</v>
      </c>
      <c r="S39" s="13">
        <v>7.25</v>
      </c>
      <c r="T39" s="13">
        <v>7.25</v>
      </c>
      <c r="U39" s="13">
        <v>0</v>
      </c>
      <c r="V39" s="444" t="s">
        <v>624</v>
      </c>
    </row>
    <row r="40" spans="1:22" x14ac:dyDescent="0.25">
      <c r="A40" s="483">
        <v>43975</v>
      </c>
      <c r="B40" s="405">
        <v>6</v>
      </c>
      <c r="C40" s="11">
        <v>39</v>
      </c>
      <c r="D40" s="444" t="s">
        <v>1309</v>
      </c>
      <c r="P40" s="13">
        <v>24</v>
      </c>
      <c r="S40" s="13">
        <v>31.25</v>
      </c>
      <c r="T40" s="13">
        <v>7.25</v>
      </c>
      <c r="U40" s="13">
        <v>24</v>
      </c>
      <c r="V40" s="444" t="s">
        <v>1186</v>
      </c>
    </row>
    <row r="41" spans="1:22" x14ac:dyDescent="0.25">
      <c r="A41" s="483">
        <v>43976</v>
      </c>
      <c r="B41" s="405">
        <v>6</v>
      </c>
      <c r="C41" s="11">
        <v>40</v>
      </c>
      <c r="D41" s="444" t="s">
        <v>1309</v>
      </c>
      <c r="P41" s="13">
        <v>19</v>
      </c>
      <c r="S41" s="13">
        <v>50.25</v>
      </c>
      <c r="T41" s="13">
        <v>7.25</v>
      </c>
      <c r="U41" s="13">
        <v>43</v>
      </c>
      <c r="V41" s="444" t="s">
        <v>1187</v>
      </c>
    </row>
    <row r="42" spans="1:22" x14ac:dyDescent="0.25">
      <c r="A42" s="483">
        <v>43977</v>
      </c>
      <c r="B42" s="405">
        <v>6</v>
      </c>
      <c r="C42" s="11">
        <v>41</v>
      </c>
      <c r="D42" s="444" t="s">
        <v>624</v>
      </c>
      <c r="S42" s="13">
        <v>50.25</v>
      </c>
      <c r="T42" s="13">
        <v>7.25</v>
      </c>
      <c r="U42" s="13">
        <v>43</v>
      </c>
      <c r="V42" s="444" t="s">
        <v>624</v>
      </c>
    </row>
    <row r="43" spans="1:22" x14ac:dyDescent="0.25">
      <c r="A43" s="483">
        <v>43978</v>
      </c>
      <c r="B43" s="405">
        <v>6</v>
      </c>
      <c r="C43" s="11">
        <v>42</v>
      </c>
      <c r="D43" s="444" t="s">
        <v>624</v>
      </c>
      <c r="S43" s="13">
        <v>50.25</v>
      </c>
      <c r="T43" s="13">
        <v>7.25</v>
      </c>
      <c r="U43" s="13">
        <v>43</v>
      </c>
      <c r="V43" s="444" t="s">
        <v>624</v>
      </c>
    </row>
    <row r="44" spans="1:22" x14ac:dyDescent="0.25">
      <c r="A44" s="483">
        <v>43979</v>
      </c>
      <c r="B44" s="405">
        <v>6</v>
      </c>
      <c r="C44" s="11">
        <v>43</v>
      </c>
      <c r="D44" s="444" t="s">
        <v>624</v>
      </c>
      <c r="S44" s="13">
        <v>50.25</v>
      </c>
      <c r="T44" s="13">
        <v>7.25</v>
      </c>
      <c r="U44" s="13">
        <v>43</v>
      </c>
      <c r="V44" s="444" t="s">
        <v>624</v>
      </c>
    </row>
    <row r="45" spans="1:22" x14ac:dyDescent="0.25">
      <c r="A45" s="483">
        <v>43980</v>
      </c>
      <c r="B45" s="405">
        <v>6</v>
      </c>
      <c r="C45" s="11">
        <v>44</v>
      </c>
      <c r="D45" s="444" t="s">
        <v>624</v>
      </c>
      <c r="S45" s="13">
        <v>50.25</v>
      </c>
      <c r="T45" s="13">
        <v>7.25</v>
      </c>
      <c r="U45" s="13">
        <v>43</v>
      </c>
      <c r="V45" s="444" t="s">
        <v>624</v>
      </c>
    </row>
    <row r="46" spans="1:22" x14ac:dyDescent="0.25">
      <c r="A46" s="483">
        <v>43981</v>
      </c>
      <c r="B46" s="405">
        <v>6</v>
      </c>
      <c r="C46" s="11">
        <v>45</v>
      </c>
      <c r="D46" s="444" t="s">
        <v>624</v>
      </c>
      <c r="S46" s="13">
        <v>50.25</v>
      </c>
      <c r="T46" s="13">
        <v>7.25</v>
      </c>
      <c r="U46" s="13">
        <v>43</v>
      </c>
      <c r="V46" s="444" t="s">
        <v>624</v>
      </c>
    </row>
    <row r="47" spans="1:22" x14ac:dyDescent="0.25">
      <c r="A47" s="483">
        <v>43982</v>
      </c>
      <c r="B47" s="405">
        <v>6</v>
      </c>
      <c r="C47" s="11">
        <v>46</v>
      </c>
      <c r="D47" s="444" t="s">
        <v>624</v>
      </c>
      <c r="S47" s="13">
        <v>50.25</v>
      </c>
      <c r="T47" s="13">
        <v>7.25</v>
      </c>
      <c r="U47" s="13">
        <v>43</v>
      </c>
      <c r="V47" s="444" t="s">
        <v>624</v>
      </c>
    </row>
    <row r="48" spans="1:22" x14ac:dyDescent="0.25">
      <c r="A48" s="483">
        <v>43983</v>
      </c>
      <c r="B48" s="405">
        <v>6</v>
      </c>
      <c r="C48" s="11">
        <v>47</v>
      </c>
      <c r="D48" s="444" t="s">
        <v>624</v>
      </c>
      <c r="S48" s="13">
        <v>50.25</v>
      </c>
      <c r="T48" s="13">
        <v>7.25</v>
      </c>
      <c r="U48" s="13">
        <v>43</v>
      </c>
      <c r="V48" s="444" t="s">
        <v>624</v>
      </c>
    </row>
    <row r="49" spans="1:22" x14ac:dyDescent="0.25">
      <c r="A49" s="483">
        <v>43984</v>
      </c>
      <c r="B49" s="405">
        <v>6</v>
      </c>
      <c r="C49" s="11">
        <v>48</v>
      </c>
      <c r="D49" s="444" t="s">
        <v>624</v>
      </c>
      <c r="S49" s="13">
        <v>50.25</v>
      </c>
      <c r="T49" s="13">
        <v>7.25</v>
      </c>
      <c r="U49" s="13">
        <v>43</v>
      </c>
      <c r="V49" s="444" t="s">
        <v>624</v>
      </c>
    </row>
    <row r="50" spans="1:22" x14ac:dyDescent="0.25">
      <c r="A50" s="483">
        <v>43985</v>
      </c>
      <c r="B50" s="405">
        <v>6</v>
      </c>
      <c r="C50" s="11">
        <v>49</v>
      </c>
      <c r="D50" s="444" t="s">
        <v>624</v>
      </c>
      <c r="S50" s="13">
        <v>50.25</v>
      </c>
      <c r="T50" s="13">
        <v>7.25</v>
      </c>
      <c r="U50" s="13">
        <v>43</v>
      </c>
      <c r="V50" s="444" t="s">
        <v>624</v>
      </c>
    </row>
    <row r="51" spans="1:22" x14ac:dyDescent="0.25">
      <c r="A51" s="483">
        <v>43986</v>
      </c>
      <c r="B51" s="405">
        <v>6</v>
      </c>
      <c r="C51" s="11">
        <v>50</v>
      </c>
      <c r="D51" s="444" t="s">
        <v>624</v>
      </c>
      <c r="S51" s="13">
        <v>50.25</v>
      </c>
      <c r="T51" s="13">
        <v>7.25</v>
      </c>
      <c r="U51" s="13">
        <v>43</v>
      </c>
      <c r="V51" s="444" t="s">
        <v>624</v>
      </c>
    </row>
    <row r="52" spans="1:22" x14ac:dyDescent="0.25">
      <c r="A52" s="483">
        <v>43987</v>
      </c>
      <c r="B52" s="405">
        <v>6</v>
      </c>
      <c r="C52" s="11">
        <v>51</v>
      </c>
      <c r="D52" s="444" t="s">
        <v>624</v>
      </c>
      <c r="S52" s="13">
        <v>50.25</v>
      </c>
      <c r="T52" s="13">
        <v>7.25</v>
      </c>
      <c r="U52" s="13">
        <v>43</v>
      </c>
      <c r="V52" s="444" t="s">
        <v>624</v>
      </c>
    </row>
    <row r="53" spans="1:22" x14ac:dyDescent="0.25">
      <c r="A53" s="483">
        <v>43988</v>
      </c>
      <c r="B53" s="405">
        <v>6</v>
      </c>
      <c r="C53" s="11">
        <v>52</v>
      </c>
      <c r="D53" s="444" t="s">
        <v>624</v>
      </c>
      <c r="S53" s="13">
        <v>50.25</v>
      </c>
      <c r="T53" s="13">
        <v>7.25</v>
      </c>
      <c r="U53" s="13">
        <v>43</v>
      </c>
      <c r="V53" s="444" t="s">
        <v>624</v>
      </c>
    </row>
    <row r="54" spans="1:22" x14ac:dyDescent="0.25">
      <c r="A54" s="483">
        <v>43989</v>
      </c>
      <c r="B54" s="405">
        <v>6</v>
      </c>
      <c r="C54" s="11">
        <v>53</v>
      </c>
      <c r="D54" s="444" t="s">
        <v>624</v>
      </c>
      <c r="S54" s="13">
        <v>50.25</v>
      </c>
      <c r="T54" s="13">
        <v>7.25</v>
      </c>
      <c r="U54" s="13">
        <v>43</v>
      </c>
      <c r="V54" s="444" t="s">
        <v>624</v>
      </c>
    </row>
  </sheetData>
  <dataValidations disablePrompts="1" count="4">
    <dataValidation allowBlank="1" showInputMessage="1" showErrorMessage="1" prompt="for repair and service" sqref="AM1 AG1" xr:uid="{69E95F8E-71A1-434E-89E9-5201A93A9A4D}"/>
    <dataValidation allowBlank="1" showInputMessage="1" showErrorMessage="1" prompt="e.g. incident investigation such as accidents which require rig shut down or limited operation." sqref="AN1" xr:uid="{E411B503-DB1F-4292-861A-E0D6069A8FD3}"/>
    <dataValidation allowBlank="1" showInputMessage="1" showErrorMessage="1" prompt="all preperation work such as cleaning rig floor, change floor tools,..which are not rig up (installation of tools for cementing, logging, casing running,..)" sqref="AW1" xr:uid="{50A961DE-5B35-4F6F-B960-19A2079B6C06}"/>
    <dataValidation allowBlank="1" showInputMessage="1" showErrorMessage="1" prompt="Set Packer, unset packer, cut casing, engauge fish, set liner hanger" sqref="BO1" xr:uid="{F30CC7A5-9F54-4BD7-9269-6CC73A4596F3}"/>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36E29-20E6-4F40-BFD7-3C31B5FF7C90}">
  <sheetPr codeName="Sheet15"/>
  <dimension ref="A1:BQ35"/>
  <sheetViews>
    <sheetView topLeftCell="AX1" zoomScale="60" zoomScaleNormal="60" workbookViewId="0">
      <selection activeCell="BO34" sqref="BO34"/>
    </sheetView>
  </sheetViews>
  <sheetFormatPr defaultColWidth="9.453125" defaultRowHeight="21.65" customHeight="1" x14ac:dyDescent="0.35"/>
  <cols>
    <col min="1" max="1" width="10.90625" customWidth="1"/>
    <col min="2" max="2" width="7.7265625" style="54" customWidth="1"/>
    <col min="3" max="3" width="17" customWidth="1"/>
    <col min="4" max="5" width="9.453125" customWidth="1"/>
    <col min="6" max="6" width="12.1796875" customWidth="1"/>
    <col min="7" max="21" width="9.453125" customWidth="1"/>
    <col min="22" max="22" width="11.7265625" customWidth="1"/>
    <col min="23" max="26" width="9.453125" customWidth="1"/>
    <col min="27" max="27" width="7.453125" customWidth="1"/>
    <col min="28" max="37" width="9.453125" customWidth="1"/>
    <col min="38" max="38" width="10.81640625" customWidth="1"/>
    <col min="39" max="39" width="9.453125" customWidth="1"/>
    <col min="40" max="40" width="11.26953125" customWidth="1"/>
    <col min="41" max="57" width="9.453125" customWidth="1"/>
    <col min="58" max="58" width="11.26953125" customWidth="1"/>
    <col min="59" max="59" width="9.453125" customWidth="1"/>
    <col min="60" max="60" width="9.7265625" customWidth="1"/>
    <col min="62" max="62" width="12.26953125" style="56" bestFit="1" customWidth="1"/>
    <col min="63" max="63" width="13.453125" style="56" bestFit="1" customWidth="1"/>
    <col min="64" max="64" width="8" customWidth="1"/>
    <col min="65" max="65" width="7.81640625" customWidth="1"/>
    <col min="66" max="66" width="8.1796875" customWidth="1"/>
    <col min="67" max="68" width="7.81640625" customWidth="1"/>
    <col min="69" max="69" width="100.81640625" style="57" customWidth="1"/>
  </cols>
  <sheetData>
    <row r="1" spans="1:69" s="49" customFormat="1" ht="68.5" customHeight="1" x14ac:dyDescent="0.35">
      <c r="A1" s="42" t="s">
        <v>420</v>
      </c>
      <c r="B1" s="42" t="s">
        <v>1189</v>
      </c>
      <c r="C1" s="42" t="s">
        <v>421</v>
      </c>
      <c r="D1" s="43" t="s">
        <v>1226</v>
      </c>
      <c r="E1" s="43" t="s">
        <v>1227</v>
      </c>
      <c r="F1" s="43" t="s">
        <v>1228</v>
      </c>
      <c r="G1" s="42" t="s">
        <v>1229</v>
      </c>
      <c r="H1" s="44" t="s">
        <v>1230</v>
      </c>
      <c r="I1" s="44" t="s">
        <v>1231</v>
      </c>
      <c r="J1" s="44" t="s">
        <v>1232</v>
      </c>
      <c r="K1" s="44" t="s">
        <v>1233</v>
      </c>
      <c r="L1" s="44" t="s">
        <v>1234</v>
      </c>
      <c r="M1" s="44" t="s">
        <v>1235</v>
      </c>
      <c r="N1" s="44" t="s">
        <v>1236</v>
      </c>
      <c r="O1" s="44" t="s">
        <v>202</v>
      </c>
      <c r="P1" s="44" t="s">
        <v>204</v>
      </c>
      <c r="Q1" s="44" t="s">
        <v>422</v>
      </c>
      <c r="R1" s="44" t="s">
        <v>1237</v>
      </c>
      <c r="S1" s="44" t="s">
        <v>1238</v>
      </c>
      <c r="T1" s="44" t="s">
        <v>1239</v>
      </c>
      <c r="U1" s="45" t="s">
        <v>1240</v>
      </c>
      <c r="V1" s="45" t="s">
        <v>1241</v>
      </c>
      <c r="W1" s="44" t="s">
        <v>423</v>
      </c>
      <c r="X1" s="45" t="s">
        <v>424</v>
      </c>
      <c r="Y1" s="45" t="s">
        <v>425</v>
      </c>
      <c r="Z1" s="45" t="s">
        <v>426</v>
      </c>
      <c r="AA1" s="44" t="s">
        <v>212</v>
      </c>
      <c r="AB1" s="45" t="s">
        <v>427</v>
      </c>
      <c r="AC1" s="44" t="s">
        <v>211</v>
      </c>
      <c r="AD1" s="44" t="s">
        <v>1242</v>
      </c>
      <c r="AE1" s="45" t="s">
        <v>1243</v>
      </c>
      <c r="AF1" s="44" t="s">
        <v>1244</v>
      </c>
      <c r="AG1" s="45" t="s">
        <v>428</v>
      </c>
      <c r="AH1" s="45" t="s">
        <v>429</v>
      </c>
      <c r="AI1" s="44" t="s">
        <v>430</v>
      </c>
      <c r="AJ1" s="44" t="s">
        <v>431</v>
      </c>
      <c r="AK1" s="44" t="s">
        <v>432</v>
      </c>
      <c r="AL1" s="46" t="s">
        <v>433</v>
      </c>
      <c r="AM1" s="46" t="s">
        <v>434</v>
      </c>
      <c r="AN1" s="46" t="s">
        <v>435</v>
      </c>
      <c r="AO1" s="46" t="s">
        <v>436</v>
      </c>
      <c r="AP1" s="46" t="s">
        <v>441</v>
      </c>
      <c r="AQ1" s="46" t="s">
        <v>1245</v>
      </c>
      <c r="AR1" s="46" t="s">
        <v>1246</v>
      </c>
      <c r="AS1" s="46" t="s">
        <v>1247</v>
      </c>
      <c r="AT1" s="46" t="s">
        <v>1248</v>
      </c>
      <c r="AU1" s="46" t="s">
        <v>1249</v>
      </c>
      <c r="AV1" s="46" t="s">
        <v>1250</v>
      </c>
      <c r="AW1" s="46" t="s">
        <v>1251</v>
      </c>
      <c r="AX1" s="46" t="s">
        <v>1252</v>
      </c>
      <c r="AY1" s="46" t="s">
        <v>1253</v>
      </c>
      <c r="AZ1" s="46" t="s">
        <v>1254</v>
      </c>
      <c r="BA1" s="46" t="s">
        <v>1255</v>
      </c>
      <c r="BB1" s="46" t="s">
        <v>1256</v>
      </c>
      <c r="BC1" s="46" t="s">
        <v>1257</v>
      </c>
      <c r="BD1" s="46" t="s">
        <v>1258</v>
      </c>
      <c r="BE1" s="46" t="s">
        <v>1259</v>
      </c>
      <c r="BF1" s="46" t="s">
        <v>1260</v>
      </c>
      <c r="BG1" s="46" t="s">
        <v>1261</v>
      </c>
      <c r="BH1" s="46" t="s">
        <v>1262</v>
      </c>
      <c r="BI1" s="46" t="s">
        <v>440</v>
      </c>
      <c r="BJ1" s="47" t="s">
        <v>1263</v>
      </c>
      <c r="BK1" s="47" t="s">
        <v>1264</v>
      </c>
      <c r="BL1" s="47" t="s">
        <v>1265</v>
      </c>
      <c r="BM1" s="47" t="s">
        <v>1266</v>
      </c>
      <c r="BN1" s="47" t="s">
        <v>1267</v>
      </c>
      <c r="BO1" s="47" t="s">
        <v>1268</v>
      </c>
      <c r="BP1" s="47" t="s">
        <v>1269</v>
      </c>
      <c r="BQ1" s="48" t="s">
        <v>437</v>
      </c>
    </row>
    <row r="2" spans="1:69" ht="21.65" customHeight="1" x14ac:dyDescent="0.35">
      <c r="A2" s="479">
        <v>43936</v>
      </c>
      <c r="B2" s="51">
        <v>26</v>
      </c>
      <c r="C2" s="52" t="s">
        <v>1304</v>
      </c>
      <c r="D2" s="52">
        <v>53</v>
      </c>
      <c r="E2" s="52">
        <v>53</v>
      </c>
      <c r="F2" s="52">
        <v>90</v>
      </c>
      <c r="G2" s="51">
        <v>1.05</v>
      </c>
      <c r="H2" s="52">
        <v>60</v>
      </c>
      <c r="I2" s="52">
        <v>42</v>
      </c>
      <c r="J2" s="52">
        <v>37</v>
      </c>
      <c r="K2" s="52">
        <v>27</v>
      </c>
      <c r="L2" s="52">
        <v>25</v>
      </c>
      <c r="M2" s="52">
        <v>18</v>
      </c>
      <c r="N2" s="52">
        <v>17</v>
      </c>
      <c r="O2" s="52">
        <v>5</v>
      </c>
      <c r="P2" s="52">
        <v>32</v>
      </c>
      <c r="Q2" s="52">
        <v>16</v>
      </c>
      <c r="R2" s="52">
        <v>18</v>
      </c>
      <c r="S2" s="52">
        <v>24</v>
      </c>
      <c r="T2" s="52">
        <v>31</v>
      </c>
      <c r="U2" s="51">
        <v>20</v>
      </c>
      <c r="V2" s="51">
        <v>0</v>
      </c>
      <c r="W2" s="52">
        <v>2</v>
      </c>
      <c r="X2" s="51">
        <v>3</v>
      </c>
      <c r="Y2" s="51">
        <v>0</v>
      </c>
      <c r="Z2" s="51">
        <v>97</v>
      </c>
      <c r="AA2" s="52">
        <v>20</v>
      </c>
      <c r="AB2" s="51">
        <v>0.1</v>
      </c>
      <c r="AC2" s="52">
        <v>9.5</v>
      </c>
      <c r="AD2" s="52">
        <v>300</v>
      </c>
      <c r="AE2" s="51">
        <v>0</v>
      </c>
      <c r="AF2" s="52">
        <v>80</v>
      </c>
      <c r="AG2" s="51">
        <v>2.92</v>
      </c>
      <c r="AH2" s="51">
        <v>0</v>
      </c>
      <c r="AI2" s="53">
        <v>0.3</v>
      </c>
      <c r="AJ2" s="53">
        <v>0.2</v>
      </c>
      <c r="AK2" s="53">
        <v>0.5</v>
      </c>
      <c r="AL2" s="54">
        <v>0</v>
      </c>
      <c r="AM2" s="54">
        <v>0</v>
      </c>
      <c r="AN2" s="54">
        <v>0</v>
      </c>
      <c r="AO2" s="54">
        <v>0</v>
      </c>
      <c r="AP2" s="54">
        <v>0</v>
      </c>
      <c r="AQ2" s="54">
        <v>0</v>
      </c>
      <c r="AR2" s="54">
        <v>0</v>
      </c>
      <c r="AS2" s="54">
        <v>0</v>
      </c>
      <c r="AT2" s="54">
        <v>0</v>
      </c>
      <c r="AU2" s="54">
        <v>0</v>
      </c>
      <c r="AV2" s="54">
        <v>0</v>
      </c>
      <c r="AW2" s="54">
        <v>0</v>
      </c>
      <c r="AX2" s="54">
        <v>115</v>
      </c>
      <c r="AY2" s="54">
        <v>690</v>
      </c>
      <c r="AZ2" s="54">
        <v>605</v>
      </c>
      <c r="BA2" s="54">
        <v>350</v>
      </c>
      <c r="BB2" s="54">
        <v>0</v>
      </c>
      <c r="BC2" s="54">
        <v>300</v>
      </c>
      <c r="BD2" s="54">
        <v>60</v>
      </c>
      <c r="BE2" s="54">
        <v>0</v>
      </c>
      <c r="BF2" s="54">
        <v>0</v>
      </c>
      <c r="BG2" s="54">
        <v>0</v>
      </c>
      <c r="BH2" s="54">
        <v>170</v>
      </c>
      <c r="BI2" s="54">
        <v>40</v>
      </c>
      <c r="BJ2" s="54">
        <v>5068.8100000000004</v>
      </c>
      <c r="BK2" s="54">
        <v>5068.8100000000004</v>
      </c>
      <c r="BL2" s="54">
        <v>0</v>
      </c>
      <c r="BM2" s="54">
        <v>60</v>
      </c>
      <c r="BN2" s="54">
        <v>0</v>
      </c>
      <c r="BO2" s="54">
        <v>0</v>
      </c>
      <c r="BP2" s="54">
        <v>170</v>
      </c>
      <c r="BQ2" s="480" t="s">
        <v>644</v>
      </c>
    </row>
    <row r="3" spans="1:69" ht="28" customHeight="1" x14ac:dyDescent="0.35">
      <c r="A3" s="479">
        <v>43937</v>
      </c>
      <c r="B3" s="51">
        <v>26</v>
      </c>
      <c r="C3" s="52" t="s">
        <v>1304</v>
      </c>
      <c r="D3" s="52">
        <v>258</v>
      </c>
      <c r="E3" s="52">
        <v>258</v>
      </c>
      <c r="F3" s="52">
        <v>90</v>
      </c>
      <c r="G3" s="51">
        <v>1.08</v>
      </c>
      <c r="H3" s="52">
        <v>72</v>
      </c>
      <c r="I3" s="52">
        <v>60</v>
      </c>
      <c r="J3" s="52">
        <v>50</v>
      </c>
      <c r="K3" s="52">
        <v>40</v>
      </c>
      <c r="L3" s="52">
        <v>32</v>
      </c>
      <c r="M3" s="52">
        <v>24</v>
      </c>
      <c r="N3" s="52">
        <v>20</v>
      </c>
      <c r="O3" s="52">
        <v>10</v>
      </c>
      <c r="P3" s="52">
        <v>40</v>
      </c>
      <c r="Q3" s="52">
        <v>16</v>
      </c>
      <c r="R3" s="52">
        <v>24</v>
      </c>
      <c r="S3" s="52">
        <v>30</v>
      </c>
      <c r="T3" s="52">
        <v>38</v>
      </c>
      <c r="U3" s="51">
        <v>24</v>
      </c>
      <c r="V3" s="51">
        <v>0</v>
      </c>
      <c r="W3" s="52">
        <v>2</v>
      </c>
      <c r="X3" s="51">
        <v>4</v>
      </c>
      <c r="Y3" s="51">
        <v>0</v>
      </c>
      <c r="Z3" s="51">
        <v>96</v>
      </c>
      <c r="AA3" s="52">
        <v>25</v>
      </c>
      <c r="AB3" s="51">
        <v>0.2</v>
      </c>
      <c r="AC3" s="52">
        <v>9.6</v>
      </c>
      <c r="AD3" s="52">
        <v>300</v>
      </c>
      <c r="AE3" s="51">
        <v>0</v>
      </c>
      <c r="AF3" s="52">
        <v>80</v>
      </c>
      <c r="AG3" s="51">
        <v>4.68</v>
      </c>
      <c r="AH3" s="51">
        <v>0</v>
      </c>
      <c r="AI3" s="53">
        <v>0.2</v>
      </c>
      <c r="AJ3" s="53">
        <v>0.1</v>
      </c>
      <c r="AK3" s="53">
        <v>0.3</v>
      </c>
      <c r="AL3" s="54">
        <v>0</v>
      </c>
      <c r="AM3" s="54">
        <v>0</v>
      </c>
      <c r="AN3" s="54">
        <v>0</v>
      </c>
      <c r="AO3" s="54">
        <v>0</v>
      </c>
      <c r="AP3" s="54">
        <v>0</v>
      </c>
      <c r="AQ3" s="54">
        <v>0</v>
      </c>
      <c r="AR3" s="54">
        <v>0</v>
      </c>
      <c r="AS3" s="54">
        <v>0</v>
      </c>
      <c r="AT3" s="54">
        <v>0</v>
      </c>
      <c r="AU3" s="54">
        <v>0</v>
      </c>
      <c r="AV3" s="54">
        <v>0</v>
      </c>
      <c r="AW3" s="54">
        <v>0</v>
      </c>
      <c r="AX3" s="54">
        <v>612</v>
      </c>
      <c r="AY3" s="54">
        <v>700</v>
      </c>
      <c r="AZ3" s="54">
        <v>285</v>
      </c>
      <c r="BA3" s="54">
        <v>350</v>
      </c>
      <c r="BB3" s="54">
        <v>0</v>
      </c>
      <c r="BC3" s="54">
        <v>300</v>
      </c>
      <c r="BD3" s="54">
        <v>590</v>
      </c>
      <c r="BE3" s="54">
        <v>0</v>
      </c>
      <c r="BF3" s="54">
        <v>150</v>
      </c>
      <c r="BG3" s="54">
        <v>990</v>
      </c>
      <c r="BH3" s="54">
        <v>250</v>
      </c>
      <c r="BI3" s="54">
        <v>40</v>
      </c>
      <c r="BJ3" s="54">
        <v>348.32</v>
      </c>
      <c r="BK3" s="54">
        <v>5417.13</v>
      </c>
      <c r="BL3" s="54">
        <v>990</v>
      </c>
      <c r="BM3" s="54">
        <v>650</v>
      </c>
      <c r="BN3" s="54">
        <v>0</v>
      </c>
      <c r="BO3" s="54">
        <v>150</v>
      </c>
      <c r="BP3" s="54">
        <v>420</v>
      </c>
      <c r="BQ3" s="480" t="s">
        <v>645</v>
      </c>
    </row>
    <row r="4" spans="1:69" ht="26.15" customHeight="1" x14ac:dyDescent="0.35">
      <c r="A4" s="479">
        <v>43938</v>
      </c>
      <c r="B4" s="54">
        <v>26</v>
      </c>
      <c r="C4" s="52" t="s">
        <v>1304</v>
      </c>
      <c r="D4" s="54">
        <v>258</v>
      </c>
      <c r="E4" s="54">
        <v>258</v>
      </c>
      <c r="F4" s="54">
        <v>95</v>
      </c>
      <c r="G4" s="54">
        <v>1.1000000000000001</v>
      </c>
      <c r="H4" s="54">
        <v>50</v>
      </c>
      <c r="I4" s="54">
        <v>48</v>
      </c>
      <c r="J4" s="54">
        <v>39</v>
      </c>
      <c r="K4" s="54">
        <v>31</v>
      </c>
      <c r="L4" s="54">
        <v>24</v>
      </c>
      <c r="M4" s="54">
        <v>18</v>
      </c>
      <c r="N4" s="54">
        <v>15</v>
      </c>
      <c r="O4" s="54">
        <v>9</v>
      </c>
      <c r="P4" s="54">
        <v>30</v>
      </c>
      <c r="Q4" s="54">
        <v>12</v>
      </c>
      <c r="R4" s="54">
        <v>18</v>
      </c>
      <c r="S4" s="54">
        <v>24</v>
      </c>
      <c r="T4" s="54">
        <v>30</v>
      </c>
      <c r="U4" s="54">
        <v>24</v>
      </c>
      <c r="V4" s="54">
        <v>0</v>
      </c>
      <c r="W4" s="54">
        <v>2</v>
      </c>
      <c r="X4" s="54">
        <v>5</v>
      </c>
      <c r="Y4" s="54">
        <v>0</v>
      </c>
      <c r="Z4" s="54">
        <v>95</v>
      </c>
      <c r="AA4" s="54">
        <v>20</v>
      </c>
      <c r="AB4" s="54">
        <v>0.1</v>
      </c>
      <c r="AC4" s="54">
        <v>9.3000000000000007</v>
      </c>
      <c r="AD4" s="54">
        <v>300</v>
      </c>
      <c r="AE4" s="51">
        <v>0</v>
      </c>
      <c r="AF4" s="54">
        <v>80</v>
      </c>
      <c r="AG4" s="54">
        <v>5.86</v>
      </c>
      <c r="AH4" s="51">
        <v>0</v>
      </c>
      <c r="AI4" s="54">
        <v>0.2</v>
      </c>
      <c r="AJ4" s="54">
        <v>0.1</v>
      </c>
      <c r="AK4" s="54">
        <v>0.2</v>
      </c>
      <c r="AL4" s="54">
        <v>0</v>
      </c>
      <c r="AM4" s="54">
        <v>0</v>
      </c>
      <c r="AN4" s="54">
        <v>0</v>
      </c>
      <c r="AO4" s="54">
        <v>0</v>
      </c>
      <c r="AP4" s="54">
        <v>0</v>
      </c>
      <c r="AQ4" s="54">
        <v>0</v>
      </c>
      <c r="AR4" s="54">
        <v>0</v>
      </c>
      <c r="AS4" s="54">
        <v>0</v>
      </c>
      <c r="AT4" s="54">
        <v>0</v>
      </c>
      <c r="AU4" s="54">
        <v>0</v>
      </c>
      <c r="AV4" s="54">
        <v>0</v>
      </c>
      <c r="AW4" s="54">
        <v>0</v>
      </c>
      <c r="AX4" s="54">
        <v>612</v>
      </c>
      <c r="AY4" s="54">
        <v>930</v>
      </c>
      <c r="AZ4" s="54" t="s">
        <v>624</v>
      </c>
      <c r="BA4" s="54">
        <v>140</v>
      </c>
      <c r="BB4" s="54">
        <v>0</v>
      </c>
      <c r="BC4" s="54">
        <v>300</v>
      </c>
      <c r="BD4" s="54">
        <v>60</v>
      </c>
      <c r="BE4" s="54">
        <v>0</v>
      </c>
      <c r="BF4" s="54">
        <v>465</v>
      </c>
      <c r="BG4" s="54">
        <v>300</v>
      </c>
      <c r="BH4" s="54">
        <v>0</v>
      </c>
      <c r="BI4" s="54">
        <v>40</v>
      </c>
      <c r="BJ4" s="54">
        <v>0</v>
      </c>
      <c r="BK4" s="54">
        <v>5417.13</v>
      </c>
      <c r="BL4" s="54">
        <v>1290</v>
      </c>
      <c r="BM4" s="54">
        <v>710</v>
      </c>
      <c r="BN4" s="54">
        <v>0</v>
      </c>
      <c r="BO4" s="54">
        <v>615</v>
      </c>
      <c r="BP4" s="54">
        <v>420</v>
      </c>
      <c r="BQ4" s="481" t="s">
        <v>646</v>
      </c>
    </row>
    <row r="5" spans="1:69" ht="21.65" customHeight="1" x14ac:dyDescent="0.35">
      <c r="A5" s="479">
        <v>43939</v>
      </c>
      <c r="B5" s="51">
        <v>26</v>
      </c>
      <c r="C5" s="52" t="s">
        <v>1304</v>
      </c>
      <c r="D5" s="52">
        <v>258</v>
      </c>
      <c r="E5" s="52">
        <v>258</v>
      </c>
      <c r="F5" s="52">
        <v>95</v>
      </c>
      <c r="G5" s="51">
        <v>1.1000000000000001</v>
      </c>
      <c r="H5" s="52">
        <v>50</v>
      </c>
      <c r="I5" s="52">
        <v>48</v>
      </c>
      <c r="J5" s="52">
        <v>39</v>
      </c>
      <c r="K5" s="52">
        <v>31</v>
      </c>
      <c r="L5" s="52">
        <v>24</v>
      </c>
      <c r="M5" s="52">
        <v>18</v>
      </c>
      <c r="N5" s="52">
        <v>15</v>
      </c>
      <c r="O5" s="52">
        <v>9</v>
      </c>
      <c r="P5" s="52">
        <v>30</v>
      </c>
      <c r="Q5" s="52">
        <v>12</v>
      </c>
      <c r="R5" s="52">
        <v>18</v>
      </c>
      <c r="S5" s="52">
        <v>24</v>
      </c>
      <c r="T5" s="52">
        <v>30</v>
      </c>
      <c r="U5" s="51">
        <v>24</v>
      </c>
      <c r="V5" s="51">
        <v>0</v>
      </c>
      <c r="W5" s="52">
        <v>2</v>
      </c>
      <c r="X5" s="51">
        <v>5</v>
      </c>
      <c r="Y5" s="51">
        <v>0</v>
      </c>
      <c r="Z5" s="51">
        <v>95</v>
      </c>
      <c r="AA5" s="52">
        <v>20</v>
      </c>
      <c r="AB5" s="51">
        <v>0.1</v>
      </c>
      <c r="AC5" s="53">
        <v>9.3000000000000007</v>
      </c>
      <c r="AD5" s="52">
        <v>300</v>
      </c>
      <c r="AE5" s="51">
        <v>0</v>
      </c>
      <c r="AF5" s="52">
        <v>80</v>
      </c>
      <c r="AG5" s="51">
        <v>5.86</v>
      </c>
      <c r="AH5" s="51">
        <v>0</v>
      </c>
      <c r="AI5" s="53">
        <v>0.2</v>
      </c>
      <c r="AJ5" s="53">
        <v>0.1</v>
      </c>
      <c r="AK5" s="53">
        <v>0.2</v>
      </c>
      <c r="AL5" s="54">
        <v>0</v>
      </c>
      <c r="AM5" s="54">
        <v>0</v>
      </c>
      <c r="AN5" s="54">
        <v>0</v>
      </c>
      <c r="AO5" s="54">
        <v>0</v>
      </c>
      <c r="AP5" s="54">
        <v>0</v>
      </c>
      <c r="AQ5" s="54">
        <v>0</v>
      </c>
      <c r="AR5" s="54">
        <v>0</v>
      </c>
      <c r="AS5" s="54">
        <v>0</v>
      </c>
      <c r="AT5" s="54">
        <v>0</v>
      </c>
      <c r="AU5" s="54">
        <v>0</v>
      </c>
      <c r="AV5" s="54">
        <v>0</v>
      </c>
      <c r="AW5" s="54">
        <v>0</v>
      </c>
      <c r="AX5" s="54">
        <v>297</v>
      </c>
      <c r="AY5" s="54">
        <v>840</v>
      </c>
      <c r="AZ5" s="54" t="s">
        <v>624</v>
      </c>
      <c r="BA5" s="54">
        <v>140</v>
      </c>
      <c r="BB5" s="54">
        <v>0</v>
      </c>
      <c r="BC5" s="54">
        <v>300</v>
      </c>
      <c r="BD5" s="54">
        <v>0</v>
      </c>
      <c r="BE5" s="54">
        <v>0</v>
      </c>
      <c r="BF5" s="54">
        <v>406</v>
      </c>
      <c r="BG5" s="54">
        <v>0</v>
      </c>
      <c r="BH5" s="54">
        <v>0</v>
      </c>
      <c r="BI5" s="54">
        <v>40</v>
      </c>
      <c r="BJ5" s="54">
        <v>0</v>
      </c>
      <c r="BK5" s="54">
        <v>5417.13</v>
      </c>
      <c r="BL5" s="54">
        <v>1290</v>
      </c>
      <c r="BM5" s="54">
        <v>710</v>
      </c>
      <c r="BN5" s="54">
        <v>0</v>
      </c>
      <c r="BO5" s="54">
        <v>1021</v>
      </c>
      <c r="BP5" s="54">
        <v>420</v>
      </c>
      <c r="BQ5" s="480" t="s">
        <v>647</v>
      </c>
    </row>
    <row r="6" spans="1:69" ht="21.65" customHeight="1" x14ac:dyDescent="0.35">
      <c r="A6" s="479">
        <v>43940</v>
      </c>
      <c r="B6" s="51">
        <v>17.5</v>
      </c>
      <c r="C6" s="52" t="s">
        <v>1305</v>
      </c>
      <c r="D6" s="52">
        <v>279</v>
      </c>
      <c r="E6" s="52">
        <v>279</v>
      </c>
      <c r="F6" s="52">
        <v>90</v>
      </c>
      <c r="G6" s="51">
        <v>1.1499999999999999</v>
      </c>
      <c r="H6" s="52">
        <v>50</v>
      </c>
      <c r="I6" s="52">
        <v>36</v>
      </c>
      <c r="J6" s="52">
        <v>28</v>
      </c>
      <c r="K6" s="52">
        <v>25</v>
      </c>
      <c r="L6" s="52">
        <v>17</v>
      </c>
      <c r="M6" s="52">
        <v>5</v>
      </c>
      <c r="N6" s="52">
        <v>4</v>
      </c>
      <c r="O6" s="52">
        <v>8</v>
      </c>
      <c r="P6" s="52">
        <v>20</v>
      </c>
      <c r="Q6" s="52">
        <v>3</v>
      </c>
      <c r="R6" s="52">
        <v>4</v>
      </c>
      <c r="S6" s="52">
        <v>5</v>
      </c>
      <c r="T6" s="52">
        <v>5</v>
      </c>
      <c r="U6" s="51">
        <v>6.5</v>
      </c>
      <c r="V6" s="51">
        <v>0</v>
      </c>
      <c r="W6" s="53">
        <v>0.5</v>
      </c>
      <c r="X6" s="51">
        <v>6</v>
      </c>
      <c r="Y6" s="51">
        <v>0</v>
      </c>
      <c r="Z6" s="51">
        <v>94</v>
      </c>
      <c r="AA6" s="51">
        <v>1.25</v>
      </c>
      <c r="AB6" s="51">
        <v>0</v>
      </c>
      <c r="AC6" s="52">
        <v>10.3</v>
      </c>
      <c r="AD6" s="52">
        <v>24500</v>
      </c>
      <c r="AE6" s="51">
        <v>5</v>
      </c>
      <c r="AF6" s="52">
        <v>80</v>
      </c>
      <c r="AG6" s="51">
        <v>0.65</v>
      </c>
      <c r="AH6" s="51">
        <v>3.5</v>
      </c>
      <c r="AI6" s="52">
        <v>1.2</v>
      </c>
      <c r="AJ6" s="52">
        <v>1.1000000000000001</v>
      </c>
      <c r="AK6" s="52">
        <v>2.2999999999999998</v>
      </c>
      <c r="AL6" s="54">
        <v>0</v>
      </c>
      <c r="AM6" s="54">
        <v>1</v>
      </c>
      <c r="AN6" s="54">
        <v>1</v>
      </c>
      <c r="AO6" s="54">
        <v>1</v>
      </c>
      <c r="AP6" s="54">
        <v>0</v>
      </c>
      <c r="AQ6" s="54">
        <v>0</v>
      </c>
      <c r="AR6" s="54">
        <v>0</v>
      </c>
      <c r="AS6" s="54">
        <v>0</v>
      </c>
      <c r="AT6" s="54">
        <v>0</v>
      </c>
      <c r="AU6" s="54">
        <v>0</v>
      </c>
      <c r="AV6" s="54">
        <v>0</v>
      </c>
      <c r="AW6" s="54">
        <v>0</v>
      </c>
      <c r="AX6" s="54">
        <v>318</v>
      </c>
      <c r="AY6" s="54">
        <v>376</v>
      </c>
      <c r="AZ6" s="54">
        <v>499</v>
      </c>
      <c r="BA6" s="54">
        <v>140</v>
      </c>
      <c r="BB6" s="54">
        <v>0</v>
      </c>
      <c r="BC6" s="54">
        <v>300</v>
      </c>
      <c r="BD6" s="54">
        <v>30</v>
      </c>
      <c r="BE6" s="54">
        <v>0</v>
      </c>
      <c r="BF6" s="54">
        <v>1137</v>
      </c>
      <c r="BG6" s="54">
        <v>0</v>
      </c>
      <c r="BH6" s="54">
        <v>0</v>
      </c>
      <c r="BI6" s="54">
        <v>120</v>
      </c>
      <c r="BJ6" s="54">
        <v>23151.08</v>
      </c>
      <c r="BK6" s="54">
        <v>28568.210000000003</v>
      </c>
      <c r="BL6" s="54">
        <v>0</v>
      </c>
      <c r="BM6" s="54">
        <v>30</v>
      </c>
      <c r="BN6" s="54">
        <v>0</v>
      </c>
      <c r="BO6" s="54">
        <v>1137</v>
      </c>
      <c r="BP6" s="54">
        <v>0</v>
      </c>
      <c r="BQ6" s="480" t="s">
        <v>648</v>
      </c>
    </row>
    <row r="7" spans="1:69" ht="21.65" customHeight="1" x14ac:dyDescent="0.35">
      <c r="A7" s="479">
        <v>43941</v>
      </c>
      <c r="B7" s="51">
        <v>17.5</v>
      </c>
      <c r="C7" s="52" t="s">
        <v>1305</v>
      </c>
      <c r="D7" s="52">
        <v>813</v>
      </c>
      <c r="E7" s="52">
        <v>812</v>
      </c>
      <c r="F7" s="52">
        <v>95</v>
      </c>
      <c r="G7" s="51">
        <v>1.26</v>
      </c>
      <c r="H7" s="52">
        <v>50</v>
      </c>
      <c r="I7" s="52">
        <v>50</v>
      </c>
      <c r="J7" s="52">
        <v>35</v>
      </c>
      <c r="K7" s="52">
        <v>27</v>
      </c>
      <c r="L7" s="52">
        <v>20</v>
      </c>
      <c r="M7" s="52">
        <v>5</v>
      </c>
      <c r="N7" s="52">
        <v>4</v>
      </c>
      <c r="O7" s="52">
        <v>15</v>
      </c>
      <c r="P7" s="52">
        <v>20</v>
      </c>
      <c r="Q7" s="52">
        <v>3</v>
      </c>
      <c r="R7" s="52">
        <v>4</v>
      </c>
      <c r="S7" s="52">
        <v>5</v>
      </c>
      <c r="T7" s="52">
        <v>5</v>
      </c>
      <c r="U7" s="51">
        <v>4.9000000000000004</v>
      </c>
      <c r="V7" s="51">
        <v>0</v>
      </c>
      <c r="W7" s="52">
        <v>0.5</v>
      </c>
      <c r="X7" s="51">
        <v>11</v>
      </c>
      <c r="Y7" s="51">
        <v>0</v>
      </c>
      <c r="Z7" s="51">
        <v>89</v>
      </c>
      <c r="AA7" s="52">
        <v>2.5</v>
      </c>
      <c r="AB7" s="51">
        <v>0.1</v>
      </c>
      <c r="AC7" s="52">
        <v>10.3</v>
      </c>
      <c r="AD7" s="52">
        <v>27500</v>
      </c>
      <c r="AE7" s="51">
        <v>5</v>
      </c>
      <c r="AF7" s="52">
        <v>80</v>
      </c>
      <c r="AG7" s="51">
        <v>3.7</v>
      </c>
      <c r="AH7" s="51">
        <v>5.31</v>
      </c>
      <c r="AI7" s="52">
        <v>1.3</v>
      </c>
      <c r="AJ7" s="52">
        <v>1.2</v>
      </c>
      <c r="AK7" s="52">
        <v>2.4</v>
      </c>
      <c r="AL7" s="54">
        <v>2</v>
      </c>
      <c r="AM7" s="54">
        <v>1</v>
      </c>
      <c r="AN7" s="54">
        <v>1</v>
      </c>
      <c r="AO7" s="54">
        <v>1</v>
      </c>
      <c r="AP7" s="54">
        <v>0</v>
      </c>
      <c r="AQ7" s="54">
        <v>1</v>
      </c>
      <c r="AR7" s="54">
        <v>0</v>
      </c>
      <c r="AS7" s="54">
        <v>0</v>
      </c>
      <c r="AT7" s="54">
        <v>0</v>
      </c>
      <c r="AU7" s="54">
        <v>0</v>
      </c>
      <c r="AV7" s="54">
        <v>0</v>
      </c>
      <c r="AW7" s="54">
        <v>0</v>
      </c>
      <c r="AX7" s="54">
        <v>814</v>
      </c>
      <c r="AY7" s="54">
        <v>509</v>
      </c>
      <c r="AZ7" s="54">
        <v>344</v>
      </c>
      <c r="BA7" s="54">
        <v>140</v>
      </c>
      <c r="BB7" s="54">
        <v>0</v>
      </c>
      <c r="BC7" s="54">
        <v>300</v>
      </c>
      <c r="BD7" s="54">
        <v>680</v>
      </c>
      <c r="BE7" s="54">
        <v>0</v>
      </c>
      <c r="BF7" s="54">
        <v>0</v>
      </c>
      <c r="BG7" s="54">
        <v>0</v>
      </c>
      <c r="BH7" s="54">
        <v>1210</v>
      </c>
      <c r="BI7" s="54">
        <v>120</v>
      </c>
      <c r="BJ7" s="54">
        <v>66765.919999999998</v>
      </c>
      <c r="BK7" s="54">
        <v>95334.13</v>
      </c>
      <c r="BL7" s="54">
        <v>0</v>
      </c>
      <c r="BM7" s="54">
        <v>710</v>
      </c>
      <c r="BN7" s="54">
        <v>0</v>
      </c>
      <c r="BO7" s="54">
        <v>1137</v>
      </c>
      <c r="BP7" s="54">
        <v>1210</v>
      </c>
      <c r="BQ7" s="480" t="s">
        <v>649</v>
      </c>
    </row>
    <row r="8" spans="1:69" ht="28.5" customHeight="1" x14ac:dyDescent="0.35">
      <c r="A8" s="479">
        <v>43942</v>
      </c>
      <c r="B8" s="51">
        <v>17.5</v>
      </c>
      <c r="C8" s="52" t="s">
        <v>1305</v>
      </c>
      <c r="D8" s="52">
        <v>1050</v>
      </c>
      <c r="E8" s="52">
        <v>1050</v>
      </c>
      <c r="F8" s="52">
        <v>95</v>
      </c>
      <c r="G8" s="51">
        <v>1.45</v>
      </c>
      <c r="H8" s="52">
        <v>54</v>
      </c>
      <c r="I8" s="52">
        <v>67</v>
      </c>
      <c r="J8" s="52">
        <v>46</v>
      </c>
      <c r="K8" s="52">
        <v>37</v>
      </c>
      <c r="L8" s="52">
        <v>29</v>
      </c>
      <c r="M8" s="52">
        <v>6</v>
      </c>
      <c r="N8" s="52">
        <v>5</v>
      </c>
      <c r="O8" s="52">
        <v>21</v>
      </c>
      <c r="P8" s="52">
        <v>25</v>
      </c>
      <c r="Q8" s="52">
        <v>4</v>
      </c>
      <c r="R8" s="52">
        <v>5</v>
      </c>
      <c r="S8" s="52">
        <v>6</v>
      </c>
      <c r="T8" s="52">
        <v>7</v>
      </c>
      <c r="U8" s="51">
        <v>4.8</v>
      </c>
      <c r="V8" s="51">
        <v>0</v>
      </c>
      <c r="W8" s="52">
        <v>1</v>
      </c>
      <c r="X8" s="51">
        <v>17</v>
      </c>
      <c r="Y8" s="51">
        <v>0</v>
      </c>
      <c r="Z8" s="51">
        <v>83</v>
      </c>
      <c r="AA8" s="52">
        <v>3</v>
      </c>
      <c r="AB8" s="51">
        <v>0.1</v>
      </c>
      <c r="AC8" s="52">
        <v>10</v>
      </c>
      <c r="AD8" s="52">
        <v>28500</v>
      </c>
      <c r="AE8" s="51">
        <v>5</v>
      </c>
      <c r="AF8" s="52">
        <v>80</v>
      </c>
      <c r="AG8" s="51">
        <v>3.58</v>
      </c>
      <c r="AH8" s="51">
        <v>12.52</v>
      </c>
      <c r="AI8" s="52">
        <v>1</v>
      </c>
      <c r="AJ8" s="52">
        <v>1</v>
      </c>
      <c r="AK8" s="52">
        <v>3</v>
      </c>
      <c r="AL8" s="54">
        <v>2</v>
      </c>
      <c r="AM8" s="54">
        <v>1</v>
      </c>
      <c r="AN8" s="54">
        <v>1</v>
      </c>
      <c r="AO8" s="54">
        <v>1</v>
      </c>
      <c r="AP8" s="54">
        <v>0</v>
      </c>
      <c r="AQ8" s="54">
        <v>1</v>
      </c>
      <c r="AR8" s="54">
        <v>0</v>
      </c>
      <c r="AS8" s="54">
        <v>0</v>
      </c>
      <c r="AT8" s="54">
        <v>0</v>
      </c>
      <c r="AU8" s="54">
        <v>0</v>
      </c>
      <c r="AV8" s="54">
        <v>0</v>
      </c>
      <c r="AW8" s="54">
        <v>0</v>
      </c>
      <c r="AX8" s="54">
        <v>1098</v>
      </c>
      <c r="AY8" s="54">
        <v>479</v>
      </c>
      <c r="AZ8" s="54">
        <v>175</v>
      </c>
      <c r="BA8" s="54">
        <v>140</v>
      </c>
      <c r="BB8" s="54">
        <v>0</v>
      </c>
      <c r="BC8" s="54">
        <v>300</v>
      </c>
      <c r="BD8" s="54">
        <v>295</v>
      </c>
      <c r="BE8" s="54">
        <v>0</v>
      </c>
      <c r="BF8" s="54">
        <v>0</v>
      </c>
      <c r="BG8" s="54">
        <v>0</v>
      </c>
      <c r="BH8" s="54">
        <v>533</v>
      </c>
      <c r="BI8" s="54">
        <v>120</v>
      </c>
      <c r="BJ8" s="54">
        <v>32936.743999999999</v>
      </c>
      <c r="BK8" s="54">
        <v>128270.87400000001</v>
      </c>
      <c r="BL8" s="54">
        <v>0</v>
      </c>
      <c r="BM8" s="54">
        <v>1005</v>
      </c>
      <c r="BN8" s="54">
        <v>0</v>
      </c>
      <c r="BO8" s="54">
        <v>1137</v>
      </c>
      <c r="BP8" s="54">
        <v>1743</v>
      </c>
      <c r="BQ8" s="480" t="s">
        <v>650</v>
      </c>
    </row>
    <row r="9" spans="1:69" ht="21.65" customHeight="1" x14ac:dyDescent="0.35">
      <c r="A9" s="479">
        <v>43943</v>
      </c>
      <c r="B9" s="51">
        <v>17.5</v>
      </c>
      <c r="C9" s="52" t="s">
        <v>1305</v>
      </c>
      <c r="D9" s="52">
        <v>1052</v>
      </c>
      <c r="E9" s="52">
        <v>1052</v>
      </c>
      <c r="F9" s="52">
        <v>96</v>
      </c>
      <c r="G9" s="51">
        <v>1.47</v>
      </c>
      <c r="H9" s="52">
        <v>55</v>
      </c>
      <c r="I9" s="52">
        <v>69</v>
      </c>
      <c r="J9" s="52">
        <v>47</v>
      </c>
      <c r="K9" s="52">
        <v>38</v>
      </c>
      <c r="L9" s="52">
        <v>30</v>
      </c>
      <c r="M9" s="52">
        <v>6</v>
      </c>
      <c r="N9" s="52">
        <v>5</v>
      </c>
      <c r="O9" s="52">
        <v>22</v>
      </c>
      <c r="P9" s="52">
        <v>25</v>
      </c>
      <c r="Q9" s="52">
        <v>4</v>
      </c>
      <c r="R9" s="52">
        <v>5</v>
      </c>
      <c r="S9" s="52">
        <v>6</v>
      </c>
      <c r="T9" s="52">
        <v>7</v>
      </c>
      <c r="U9" s="51">
        <v>4.8</v>
      </c>
      <c r="V9" s="51">
        <v>0</v>
      </c>
      <c r="W9" s="52">
        <v>1</v>
      </c>
      <c r="X9" s="51">
        <v>18</v>
      </c>
      <c r="Y9" s="51">
        <v>0</v>
      </c>
      <c r="Z9" s="51">
        <v>82</v>
      </c>
      <c r="AA9" s="52">
        <v>3</v>
      </c>
      <c r="AB9" s="51">
        <v>0.1</v>
      </c>
      <c r="AC9" s="52">
        <v>10</v>
      </c>
      <c r="AD9" s="52">
        <v>28500</v>
      </c>
      <c r="AE9" s="51">
        <v>5</v>
      </c>
      <c r="AF9" s="52">
        <v>80</v>
      </c>
      <c r="AG9" s="51">
        <v>3.58</v>
      </c>
      <c r="AH9" s="51">
        <v>12.52</v>
      </c>
      <c r="AI9" s="52">
        <v>1</v>
      </c>
      <c r="AJ9" s="52">
        <v>1</v>
      </c>
      <c r="AK9" s="52">
        <v>3</v>
      </c>
      <c r="AL9" s="54">
        <v>2</v>
      </c>
      <c r="AM9" s="54">
        <v>1</v>
      </c>
      <c r="AN9" s="54">
        <v>1</v>
      </c>
      <c r="AO9" s="54">
        <v>1</v>
      </c>
      <c r="AP9" s="54">
        <v>0</v>
      </c>
      <c r="AQ9" s="54">
        <v>0.8</v>
      </c>
      <c r="AR9" s="54">
        <v>0</v>
      </c>
      <c r="AS9" s="54">
        <v>0</v>
      </c>
      <c r="AT9" s="54">
        <v>0</v>
      </c>
      <c r="AU9" s="54">
        <v>0</v>
      </c>
      <c r="AV9" s="54">
        <v>0</v>
      </c>
      <c r="AW9" s="54">
        <v>0</v>
      </c>
      <c r="AX9" s="54">
        <v>1115</v>
      </c>
      <c r="AY9" s="54">
        <v>450</v>
      </c>
      <c r="AZ9" s="54">
        <v>164</v>
      </c>
      <c r="BA9" s="54">
        <v>140</v>
      </c>
      <c r="BB9" s="54">
        <v>0</v>
      </c>
      <c r="BC9" s="54">
        <v>300</v>
      </c>
      <c r="BD9" s="54">
        <v>5</v>
      </c>
      <c r="BE9" s="54">
        <v>0</v>
      </c>
      <c r="BF9" s="54">
        <v>30</v>
      </c>
      <c r="BG9" s="54">
        <v>0</v>
      </c>
      <c r="BH9" s="54">
        <v>0</v>
      </c>
      <c r="BI9" s="54">
        <v>120</v>
      </c>
      <c r="BJ9" s="54">
        <v>3264.6972000000001</v>
      </c>
      <c r="BK9" s="54">
        <v>131535.57120000001</v>
      </c>
      <c r="BL9" s="54">
        <v>0</v>
      </c>
      <c r="BM9" s="54">
        <v>1010</v>
      </c>
      <c r="BN9" s="54">
        <v>0</v>
      </c>
      <c r="BO9" s="54">
        <v>1167</v>
      </c>
      <c r="BP9" s="54">
        <v>1743</v>
      </c>
      <c r="BQ9" s="480" t="s">
        <v>651</v>
      </c>
    </row>
    <row r="10" spans="1:69" ht="21.65" customHeight="1" x14ac:dyDescent="0.35">
      <c r="A10" s="479">
        <v>43944</v>
      </c>
      <c r="B10" s="51">
        <v>17.5</v>
      </c>
      <c r="C10" s="52" t="s">
        <v>1305</v>
      </c>
      <c r="D10" s="52">
        <v>1052</v>
      </c>
      <c r="E10" s="52">
        <v>1052</v>
      </c>
      <c r="F10" s="52">
        <v>95</v>
      </c>
      <c r="G10" s="51">
        <v>1.47</v>
      </c>
      <c r="H10" s="52">
        <v>55</v>
      </c>
      <c r="I10" s="52">
        <v>69</v>
      </c>
      <c r="J10" s="52">
        <v>47</v>
      </c>
      <c r="K10" s="52">
        <v>38</v>
      </c>
      <c r="L10" s="52">
        <v>30</v>
      </c>
      <c r="M10" s="52">
        <v>6</v>
      </c>
      <c r="N10" s="52">
        <v>5</v>
      </c>
      <c r="O10" s="52">
        <v>22</v>
      </c>
      <c r="P10" s="52">
        <v>25</v>
      </c>
      <c r="Q10" s="52">
        <v>4</v>
      </c>
      <c r="R10" s="52">
        <v>5</v>
      </c>
      <c r="S10" s="52">
        <v>6</v>
      </c>
      <c r="T10" s="52">
        <v>7</v>
      </c>
      <c r="U10" s="51">
        <v>4.8</v>
      </c>
      <c r="V10" s="51">
        <v>0</v>
      </c>
      <c r="W10" s="52">
        <v>1</v>
      </c>
      <c r="X10" s="51">
        <v>18</v>
      </c>
      <c r="Y10" s="51">
        <v>0</v>
      </c>
      <c r="Z10" s="51">
        <v>82</v>
      </c>
      <c r="AA10" s="52">
        <v>2.5</v>
      </c>
      <c r="AB10" s="51">
        <v>0.1</v>
      </c>
      <c r="AC10" s="52">
        <v>10.199999999999999</v>
      </c>
      <c r="AD10" s="52">
        <v>28500</v>
      </c>
      <c r="AE10" s="51">
        <v>5</v>
      </c>
      <c r="AF10" s="52">
        <v>80</v>
      </c>
      <c r="AG10" s="51">
        <v>3.58</v>
      </c>
      <c r="AH10" s="51">
        <v>12.52</v>
      </c>
      <c r="AI10" s="52">
        <v>1.4</v>
      </c>
      <c r="AJ10" s="52">
        <v>1.3</v>
      </c>
      <c r="AK10" s="52">
        <v>2.5</v>
      </c>
      <c r="AL10" s="54">
        <v>1.75</v>
      </c>
      <c r="AM10" s="54">
        <v>1</v>
      </c>
      <c r="AN10" s="54">
        <v>1</v>
      </c>
      <c r="AO10" s="54">
        <v>1</v>
      </c>
      <c r="AP10" s="54">
        <v>0</v>
      </c>
      <c r="AQ10" s="54">
        <v>0.8</v>
      </c>
      <c r="AR10" s="54">
        <v>0</v>
      </c>
      <c r="AS10" s="54">
        <v>0</v>
      </c>
      <c r="AT10" s="54">
        <v>0</v>
      </c>
      <c r="AU10" s="54">
        <v>0</v>
      </c>
      <c r="AV10" s="54">
        <v>0</v>
      </c>
      <c r="AW10" s="54">
        <v>0</v>
      </c>
      <c r="AX10" s="54">
        <v>511</v>
      </c>
      <c r="AY10" s="54">
        <v>501</v>
      </c>
      <c r="AZ10" s="54">
        <v>691</v>
      </c>
      <c r="BA10" s="54">
        <v>0</v>
      </c>
      <c r="BB10" s="54">
        <v>0</v>
      </c>
      <c r="BC10" s="54">
        <v>300</v>
      </c>
      <c r="BD10" s="54">
        <v>0</v>
      </c>
      <c r="BE10" s="54">
        <v>0</v>
      </c>
      <c r="BF10" s="54">
        <v>20</v>
      </c>
      <c r="BG10" s="54">
        <v>0</v>
      </c>
      <c r="BH10" s="54">
        <v>0</v>
      </c>
      <c r="BI10" s="54">
        <v>120</v>
      </c>
      <c r="BJ10" s="54">
        <v>0</v>
      </c>
      <c r="BK10" s="54">
        <v>131535.57120000001</v>
      </c>
      <c r="BL10" s="54">
        <v>0</v>
      </c>
      <c r="BM10" s="54">
        <v>1010</v>
      </c>
      <c r="BN10" s="54">
        <v>0</v>
      </c>
      <c r="BO10" s="54">
        <v>1187</v>
      </c>
      <c r="BP10" s="54">
        <v>1743</v>
      </c>
      <c r="BQ10" s="480" t="s">
        <v>624</v>
      </c>
    </row>
    <row r="11" spans="1:69" s="54" customFormat="1" ht="28" customHeight="1" x14ac:dyDescent="0.35">
      <c r="A11" s="479">
        <v>43945</v>
      </c>
      <c r="B11">
        <v>17.5</v>
      </c>
      <c r="C11" s="52" t="s">
        <v>1305</v>
      </c>
      <c r="D11" s="52">
        <v>1052</v>
      </c>
      <c r="E11" s="52">
        <v>1052</v>
      </c>
      <c r="F11" s="54">
        <v>95</v>
      </c>
      <c r="G11" s="54">
        <v>1.47</v>
      </c>
      <c r="H11" s="54">
        <v>55</v>
      </c>
      <c r="I11" s="54">
        <v>69</v>
      </c>
      <c r="J11" s="54">
        <v>47</v>
      </c>
      <c r="K11" s="54">
        <v>38</v>
      </c>
      <c r="L11" s="54">
        <v>30</v>
      </c>
      <c r="M11" s="54">
        <v>6</v>
      </c>
      <c r="N11" s="54">
        <v>5</v>
      </c>
      <c r="O11" s="54">
        <v>22</v>
      </c>
      <c r="P11" s="54">
        <v>25</v>
      </c>
      <c r="Q11" s="54">
        <v>4</v>
      </c>
      <c r="R11" s="54">
        <v>5</v>
      </c>
      <c r="S11" s="54">
        <v>6</v>
      </c>
      <c r="T11" s="54">
        <v>7</v>
      </c>
      <c r="U11" s="54">
        <v>4.8</v>
      </c>
      <c r="V11">
        <v>0</v>
      </c>
      <c r="W11" s="54">
        <v>1</v>
      </c>
      <c r="X11" s="54">
        <v>18</v>
      </c>
      <c r="Y11" s="54">
        <v>0</v>
      </c>
      <c r="Z11" s="54">
        <v>82</v>
      </c>
      <c r="AA11" s="54">
        <v>2.5</v>
      </c>
      <c r="AB11" s="54">
        <v>0.1</v>
      </c>
      <c r="AC11" s="54">
        <v>10.199999999999999</v>
      </c>
      <c r="AD11" s="54">
        <v>28500</v>
      </c>
      <c r="AE11" s="54">
        <v>5</v>
      </c>
      <c r="AF11" s="54">
        <v>80</v>
      </c>
      <c r="AG11" s="54">
        <v>3.58</v>
      </c>
      <c r="AH11" s="54">
        <v>12.52</v>
      </c>
      <c r="AI11" s="54">
        <v>1.4</v>
      </c>
      <c r="AJ11" s="54">
        <v>1.3</v>
      </c>
      <c r="AK11" s="54">
        <v>2.5</v>
      </c>
      <c r="AL11" s="54">
        <v>1.75</v>
      </c>
      <c r="AM11" s="54">
        <v>1</v>
      </c>
      <c r="AN11" s="54">
        <v>1</v>
      </c>
      <c r="AO11" s="54">
        <v>1</v>
      </c>
      <c r="AP11" s="54">
        <v>0</v>
      </c>
      <c r="AQ11" s="54">
        <v>0.8</v>
      </c>
      <c r="AR11" s="54">
        <v>0</v>
      </c>
      <c r="AS11" s="54">
        <v>0</v>
      </c>
      <c r="AT11" s="54">
        <v>0</v>
      </c>
      <c r="AU11" s="54">
        <v>0</v>
      </c>
      <c r="AV11" s="54">
        <v>0</v>
      </c>
      <c r="AW11" s="54">
        <v>0</v>
      </c>
      <c r="AX11" s="54">
        <v>511</v>
      </c>
      <c r="AY11" s="54">
        <v>501</v>
      </c>
      <c r="AZ11" s="54">
        <v>691</v>
      </c>
      <c r="BA11" s="54">
        <v>0</v>
      </c>
      <c r="BB11" s="54">
        <v>0</v>
      </c>
      <c r="BC11" s="54">
        <v>300</v>
      </c>
      <c r="BD11" s="54">
        <v>0</v>
      </c>
      <c r="BE11" s="54">
        <v>0</v>
      </c>
      <c r="BF11" s="54">
        <v>0</v>
      </c>
      <c r="BG11" s="54">
        <v>0</v>
      </c>
      <c r="BH11" s="54">
        <v>0</v>
      </c>
      <c r="BI11" s="54">
        <v>120</v>
      </c>
      <c r="BJ11">
        <v>0</v>
      </c>
      <c r="BK11">
        <v>131535.57120000001</v>
      </c>
      <c r="BL11">
        <v>0</v>
      </c>
      <c r="BM11">
        <v>1010</v>
      </c>
      <c r="BN11">
        <v>0</v>
      </c>
      <c r="BO11">
        <v>1187</v>
      </c>
      <c r="BP11">
        <v>1743</v>
      </c>
      <c r="BQ11" s="481" t="s">
        <v>652</v>
      </c>
    </row>
    <row r="12" spans="1:69" s="54" customFormat="1" ht="14.5" x14ac:dyDescent="0.35">
      <c r="A12" s="479">
        <v>43946</v>
      </c>
      <c r="B12">
        <v>12.25</v>
      </c>
      <c r="C12" s="52" t="s">
        <v>1305</v>
      </c>
      <c r="D12" s="54">
        <v>1084</v>
      </c>
      <c r="E12" s="54">
        <v>1079</v>
      </c>
      <c r="F12" s="54">
        <v>95</v>
      </c>
      <c r="G12" s="54">
        <v>1.5</v>
      </c>
      <c r="H12" s="54">
        <v>50</v>
      </c>
      <c r="I12" s="54">
        <v>64</v>
      </c>
      <c r="J12" s="54">
        <v>23</v>
      </c>
      <c r="K12" s="54">
        <v>34</v>
      </c>
      <c r="L12" s="54">
        <v>23</v>
      </c>
      <c r="M12" s="54">
        <v>6</v>
      </c>
      <c r="N12" s="54">
        <v>5</v>
      </c>
      <c r="O12" s="54">
        <v>21</v>
      </c>
      <c r="P12" s="54">
        <v>22</v>
      </c>
      <c r="Q12" s="54">
        <v>4</v>
      </c>
      <c r="R12" s="54">
        <v>6</v>
      </c>
      <c r="S12" s="54">
        <v>7</v>
      </c>
      <c r="T12" s="54">
        <v>7</v>
      </c>
      <c r="U12" s="54">
        <v>5.3</v>
      </c>
      <c r="V12">
        <v>0</v>
      </c>
      <c r="W12" s="54">
        <v>1</v>
      </c>
      <c r="X12" s="54">
        <v>19</v>
      </c>
      <c r="Y12" s="54">
        <v>0</v>
      </c>
      <c r="Z12" s="54">
        <v>81</v>
      </c>
      <c r="AA12" s="54">
        <v>2.5</v>
      </c>
      <c r="AB12" s="54">
        <v>0</v>
      </c>
      <c r="AC12" s="54">
        <v>10.4</v>
      </c>
      <c r="AD12" s="54">
        <v>30500</v>
      </c>
      <c r="AE12" s="54">
        <v>5</v>
      </c>
      <c r="AF12" s="54">
        <v>80</v>
      </c>
      <c r="AG12" s="54">
        <v>3.53</v>
      </c>
      <c r="AH12" s="54">
        <v>13.46</v>
      </c>
      <c r="AI12" s="54">
        <v>1.6</v>
      </c>
      <c r="AJ12" s="54">
        <v>1.4</v>
      </c>
      <c r="AK12" s="54">
        <v>2.7</v>
      </c>
      <c r="AL12" s="54">
        <v>1.75</v>
      </c>
      <c r="AM12" s="54">
        <v>1.5</v>
      </c>
      <c r="AN12" s="54">
        <v>1</v>
      </c>
      <c r="AO12" s="54">
        <v>1</v>
      </c>
      <c r="AP12" s="54">
        <v>0</v>
      </c>
      <c r="AQ12" s="54">
        <v>0.5</v>
      </c>
      <c r="AR12" s="54">
        <v>0</v>
      </c>
      <c r="AS12" s="54">
        <v>2</v>
      </c>
      <c r="AT12" s="54">
        <v>0</v>
      </c>
      <c r="AU12" s="54">
        <v>4</v>
      </c>
      <c r="AV12" s="54">
        <v>0</v>
      </c>
      <c r="AW12" s="54">
        <v>0</v>
      </c>
      <c r="AX12" s="54">
        <v>527</v>
      </c>
      <c r="AY12" s="54">
        <v>739</v>
      </c>
      <c r="AZ12" s="54">
        <v>1083</v>
      </c>
      <c r="BA12" s="54">
        <v>0</v>
      </c>
      <c r="BB12" s="54">
        <v>0</v>
      </c>
      <c r="BC12" s="54">
        <v>300</v>
      </c>
      <c r="BD12" s="54">
        <v>17</v>
      </c>
      <c r="BE12" s="54">
        <v>0</v>
      </c>
      <c r="BF12" s="54">
        <v>29</v>
      </c>
      <c r="BG12" s="54">
        <v>0</v>
      </c>
      <c r="BH12" s="54">
        <v>0</v>
      </c>
      <c r="BI12" s="54">
        <v>120</v>
      </c>
      <c r="BJ12">
        <v>77739.8</v>
      </c>
      <c r="BK12">
        <v>209275.37119999999</v>
      </c>
      <c r="BL12">
        <v>0</v>
      </c>
      <c r="BM12">
        <v>17</v>
      </c>
      <c r="BN12">
        <v>0</v>
      </c>
      <c r="BO12">
        <v>29</v>
      </c>
      <c r="BP12">
        <v>0</v>
      </c>
      <c r="BQ12" s="481" t="s">
        <v>653</v>
      </c>
    </row>
    <row r="13" spans="1:69" s="54" customFormat="1" ht="35.15" customHeight="1" x14ac:dyDescent="0.35">
      <c r="A13" s="479">
        <v>43947</v>
      </c>
      <c r="B13" s="51">
        <v>12.25</v>
      </c>
      <c r="C13" s="52" t="s">
        <v>1305</v>
      </c>
      <c r="D13" s="54">
        <v>1380</v>
      </c>
      <c r="E13" s="54">
        <v>1372</v>
      </c>
      <c r="F13" s="54">
        <v>95</v>
      </c>
      <c r="G13" s="54">
        <v>1.5</v>
      </c>
      <c r="H13" s="54">
        <v>50</v>
      </c>
      <c r="I13" s="54">
        <v>64</v>
      </c>
      <c r="J13" s="54">
        <v>23</v>
      </c>
      <c r="K13" s="54">
        <v>34</v>
      </c>
      <c r="L13" s="54">
        <v>23</v>
      </c>
      <c r="M13" s="54">
        <v>6</v>
      </c>
      <c r="N13" s="54">
        <v>5</v>
      </c>
      <c r="O13" s="54">
        <v>21</v>
      </c>
      <c r="P13" s="54">
        <v>22</v>
      </c>
      <c r="Q13" s="54">
        <v>4</v>
      </c>
      <c r="R13" s="54">
        <v>6</v>
      </c>
      <c r="S13" s="54">
        <v>7</v>
      </c>
      <c r="T13" s="54">
        <v>7</v>
      </c>
      <c r="U13" s="54">
        <v>5.3</v>
      </c>
      <c r="V13" s="51">
        <v>0</v>
      </c>
      <c r="W13" s="54">
        <v>1</v>
      </c>
      <c r="X13" s="54">
        <v>19</v>
      </c>
      <c r="Y13" s="54">
        <v>0</v>
      </c>
      <c r="Z13" s="54">
        <v>81</v>
      </c>
      <c r="AA13" s="54">
        <v>2.5</v>
      </c>
      <c r="AB13" s="54">
        <v>0</v>
      </c>
      <c r="AC13" s="54">
        <v>10.4</v>
      </c>
      <c r="AD13" s="54">
        <v>30500</v>
      </c>
      <c r="AE13" s="54">
        <v>5</v>
      </c>
      <c r="AF13" s="54">
        <v>80</v>
      </c>
      <c r="AG13" s="54">
        <v>3.53</v>
      </c>
      <c r="AH13" s="54">
        <v>13.46</v>
      </c>
      <c r="AI13" s="54">
        <v>1.6</v>
      </c>
      <c r="AJ13" s="54">
        <v>1.4</v>
      </c>
      <c r="AK13" s="54">
        <v>2.7</v>
      </c>
      <c r="AL13" s="54">
        <v>1.75</v>
      </c>
      <c r="AM13" s="54">
        <v>1.5</v>
      </c>
      <c r="AN13" s="54">
        <v>1</v>
      </c>
      <c r="AO13" s="54">
        <v>1</v>
      </c>
      <c r="AP13" s="54">
        <v>0</v>
      </c>
      <c r="AQ13" s="54">
        <v>0.5</v>
      </c>
      <c r="AR13" s="54">
        <v>0</v>
      </c>
      <c r="AS13" s="54">
        <v>2</v>
      </c>
      <c r="AT13" s="54">
        <v>0</v>
      </c>
      <c r="AU13" s="54">
        <v>4</v>
      </c>
      <c r="AV13" s="54">
        <v>0</v>
      </c>
      <c r="AW13" s="54">
        <v>0</v>
      </c>
      <c r="AX13" s="54">
        <v>527</v>
      </c>
      <c r="AY13" s="54">
        <v>739</v>
      </c>
      <c r="AZ13" s="54">
        <v>1083</v>
      </c>
      <c r="BA13" s="54">
        <v>0</v>
      </c>
      <c r="BB13" s="54">
        <v>0</v>
      </c>
      <c r="BC13" s="54">
        <v>300</v>
      </c>
      <c r="BD13" s="54">
        <v>17</v>
      </c>
      <c r="BE13" s="54">
        <v>0</v>
      </c>
      <c r="BF13" s="54">
        <v>29</v>
      </c>
      <c r="BG13" s="54">
        <v>0</v>
      </c>
      <c r="BH13" s="54">
        <v>0</v>
      </c>
      <c r="BI13" s="54">
        <v>120</v>
      </c>
      <c r="BJ13">
        <v>34587.89</v>
      </c>
      <c r="BK13">
        <v>243863.26120000001</v>
      </c>
      <c r="BL13">
        <v>0</v>
      </c>
      <c r="BM13">
        <v>34</v>
      </c>
      <c r="BN13">
        <v>0</v>
      </c>
      <c r="BO13">
        <v>58</v>
      </c>
      <c r="BP13">
        <v>0</v>
      </c>
      <c r="BQ13" s="481" t="s">
        <v>654</v>
      </c>
    </row>
    <row r="14" spans="1:69" ht="21.65" customHeight="1" x14ac:dyDescent="0.35">
      <c r="A14" s="479">
        <v>43948</v>
      </c>
      <c r="B14" s="51">
        <v>12.25</v>
      </c>
      <c r="C14" s="52" t="s">
        <v>1305</v>
      </c>
      <c r="D14" s="54">
        <v>1864</v>
      </c>
      <c r="E14" s="54">
        <v>1853</v>
      </c>
      <c r="F14" s="54">
        <v>95</v>
      </c>
      <c r="G14" s="54">
        <v>1.5</v>
      </c>
      <c r="H14" s="54">
        <v>50</v>
      </c>
      <c r="I14" s="54">
        <v>64</v>
      </c>
      <c r="J14" s="54">
        <v>23</v>
      </c>
      <c r="K14" s="54">
        <v>34</v>
      </c>
      <c r="L14" s="54">
        <v>23</v>
      </c>
      <c r="M14" s="54">
        <v>6</v>
      </c>
      <c r="N14" s="54">
        <v>5</v>
      </c>
      <c r="O14" s="54">
        <v>21</v>
      </c>
      <c r="P14" s="54">
        <v>22</v>
      </c>
      <c r="Q14" s="54">
        <v>4</v>
      </c>
      <c r="R14" s="54">
        <v>6</v>
      </c>
      <c r="S14" s="54">
        <v>7</v>
      </c>
      <c r="T14" s="54">
        <v>7</v>
      </c>
      <c r="U14" s="54">
        <v>5.3</v>
      </c>
      <c r="V14" s="51">
        <v>0</v>
      </c>
      <c r="W14" s="54">
        <v>1</v>
      </c>
      <c r="X14" s="54">
        <v>19</v>
      </c>
      <c r="Y14" s="54">
        <v>0</v>
      </c>
      <c r="Z14" s="54">
        <v>81</v>
      </c>
      <c r="AA14" s="54">
        <v>2.5</v>
      </c>
      <c r="AB14" s="54">
        <v>0</v>
      </c>
      <c r="AC14" s="54">
        <v>10.4</v>
      </c>
      <c r="AD14" s="54">
        <v>30500</v>
      </c>
      <c r="AE14" s="54">
        <v>5</v>
      </c>
      <c r="AF14" s="54">
        <v>80</v>
      </c>
      <c r="AG14" s="54">
        <v>3.53</v>
      </c>
      <c r="AH14" s="54">
        <v>13.46</v>
      </c>
      <c r="AI14" s="54">
        <v>1.6</v>
      </c>
      <c r="AJ14" s="54">
        <v>1.4</v>
      </c>
      <c r="AK14" s="54">
        <v>2.7</v>
      </c>
      <c r="AL14" s="54">
        <v>1.75</v>
      </c>
      <c r="AM14" s="54">
        <v>1.5</v>
      </c>
      <c r="AN14" s="54">
        <v>1</v>
      </c>
      <c r="AO14" s="54">
        <v>1</v>
      </c>
      <c r="AP14" s="54">
        <v>0</v>
      </c>
      <c r="AQ14" s="54">
        <v>0.5</v>
      </c>
      <c r="AR14" s="54">
        <v>0</v>
      </c>
      <c r="AS14" s="54">
        <v>2</v>
      </c>
      <c r="AT14" s="54">
        <v>0</v>
      </c>
      <c r="AU14" s="54">
        <v>4</v>
      </c>
      <c r="AV14" s="54">
        <v>0</v>
      </c>
      <c r="AW14" s="54">
        <v>0</v>
      </c>
      <c r="AX14" s="54">
        <v>527</v>
      </c>
      <c r="AY14" s="54">
        <v>739</v>
      </c>
      <c r="AZ14" s="54">
        <v>1083</v>
      </c>
      <c r="BA14" s="54">
        <v>0</v>
      </c>
      <c r="BB14" s="54">
        <v>0</v>
      </c>
      <c r="BC14" s="54">
        <v>300</v>
      </c>
      <c r="BD14" s="54">
        <v>17</v>
      </c>
      <c r="BE14" s="54">
        <v>0</v>
      </c>
      <c r="BF14" s="54">
        <v>29</v>
      </c>
      <c r="BG14" s="54">
        <v>0</v>
      </c>
      <c r="BH14" s="54">
        <v>0</v>
      </c>
      <c r="BI14" s="54">
        <v>120</v>
      </c>
      <c r="BJ14" s="54">
        <v>16961</v>
      </c>
      <c r="BK14" s="54">
        <v>260824.26120000001</v>
      </c>
      <c r="BL14" s="54">
        <v>0</v>
      </c>
      <c r="BM14" s="54">
        <v>51</v>
      </c>
      <c r="BN14" s="54">
        <v>0</v>
      </c>
      <c r="BO14" s="54">
        <v>87</v>
      </c>
      <c r="BP14" s="54">
        <v>0</v>
      </c>
      <c r="BQ14" s="480" t="s">
        <v>624</v>
      </c>
    </row>
    <row r="15" spans="1:69" ht="27" customHeight="1" x14ac:dyDescent="0.35">
      <c r="A15" s="479">
        <v>43949</v>
      </c>
      <c r="B15" s="51">
        <v>12.25</v>
      </c>
      <c r="C15" s="52" t="s">
        <v>1305</v>
      </c>
      <c r="D15" s="54">
        <v>2229</v>
      </c>
      <c r="E15" s="54">
        <v>2215</v>
      </c>
      <c r="F15" s="54">
        <v>95</v>
      </c>
      <c r="G15" s="54">
        <v>1.5</v>
      </c>
      <c r="H15" s="54">
        <v>50</v>
      </c>
      <c r="I15" s="54">
        <v>64</v>
      </c>
      <c r="J15" s="54">
        <v>23</v>
      </c>
      <c r="K15" s="54">
        <v>34</v>
      </c>
      <c r="L15" s="54">
        <v>23</v>
      </c>
      <c r="M15" s="54">
        <v>6</v>
      </c>
      <c r="N15" s="54">
        <v>5</v>
      </c>
      <c r="O15" s="54">
        <v>21</v>
      </c>
      <c r="P15" s="54">
        <v>22</v>
      </c>
      <c r="Q15" s="54">
        <v>4</v>
      </c>
      <c r="R15" s="54">
        <v>6</v>
      </c>
      <c r="S15" s="54">
        <v>7</v>
      </c>
      <c r="T15" s="54">
        <v>7</v>
      </c>
      <c r="U15" s="54">
        <v>5.3</v>
      </c>
      <c r="V15" s="51">
        <v>0</v>
      </c>
      <c r="W15" s="54">
        <v>1</v>
      </c>
      <c r="X15" s="54">
        <v>19</v>
      </c>
      <c r="Y15" s="54">
        <v>0</v>
      </c>
      <c r="Z15" s="54">
        <v>81</v>
      </c>
      <c r="AA15" s="54">
        <v>2.5</v>
      </c>
      <c r="AB15" s="54">
        <v>0</v>
      </c>
      <c r="AC15" s="54">
        <v>10.4</v>
      </c>
      <c r="AD15" s="54">
        <v>30500</v>
      </c>
      <c r="AE15" s="54">
        <v>5</v>
      </c>
      <c r="AF15" s="54">
        <v>80</v>
      </c>
      <c r="AG15" s="54">
        <v>3.53</v>
      </c>
      <c r="AH15" s="54">
        <v>13.46</v>
      </c>
      <c r="AI15" s="54">
        <v>1.6</v>
      </c>
      <c r="AJ15" s="54">
        <v>1.4</v>
      </c>
      <c r="AK15" s="54">
        <v>2.7</v>
      </c>
      <c r="AL15" s="54">
        <v>1.75</v>
      </c>
      <c r="AM15" s="54">
        <v>1.5</v>
      </c>
      <c r="AN15" s="54">
        <v>1</v>
      </c>
      <c r="AO15" s="54">
        <v>1</v>
      </c>
      <c r="AP15" s="54">
        <v>0</v>
      </c>
      <c r="AQ15" s="54">
        <v>0.5</v>
      </c>
      <c r="AR15" s="54">
        <v>0</v>
      </c>
      <c r="AS15" s="54">
        <v>2</v>
      </c>
      <c r="AT15" s="54">
        <v>0</v>
      </c>
      <c r="AU15" s="54">
        <v>4</v>
      </c>
      <c r="AV15" s="54">
        <v>0</v>
      </c>
      <c r="AW15" s="54">
        <v>0</v>
      </c>
      <c r="AX15" s="54">
        <v>527</v>
      </c>
      <c r="AY15" s="54">
        <v>739</v>
      </c>
      <c r="AZ15" s="54">
        <v>1083</v>
      </c>
      <c r="BA15" s="54">
        <v>0</v>
      </c>
      <c r="BB15" s="54">
        <v>0</v>
      </c>
      <c r="BC15" s="54">
        <v>300</v>
      </c>
      <c r="BD15" s="54">
        <v>17</v>
      </c>
      <c r="BE15" s="54">
        <v>0</v>
      </c>
      <c r="BF15" s="54">
        <v>29</v>
      </c>
      <c r="BG15" s="54">
        <v>0</v>
      </c>
      <c r="BH15" s="54">
        <v>0</v>
      </c>
      <c r="BI15" s="54">
        <v>120</v>
      </c>
      <c r="BJ15" s="54">
        <v>24491.34</v>
      </c>
      <c r="BK15" s="54">
        <v>285315.60120000003</v>
      </c>
      <c r="BL15" s="54">
        <v>0</v>
      </c>
      <c r="BM15" s="54">
        <v>68</v>
      </c>
      <c r="BN15" s="54">
        <v>0</v>
      </c>
      <c r="BO15" s="54">
        <v>116</v>
      </c>
      <c r="BP15" s="54">
        <v>0</v>
      </c>
      <c r="BQ15" s="480" t="s">
        <v>655</v>
      </c>
    </row>
    <row r="16" spans="1:69" ht="33" customHeight="1" x14ac:dyDescent="0.35">
      <c r="A16" s="479">
        <v>43950</v>
      </c>
      <c r="B16" s="51">
        <v>12.25</v>
      </c>
      <c r="C16" s="52" t="s">
        <v>1305</v>
      </c>
      <c r="D16" s="52">
        <v>2348</v>
      </c>
      <c r="E16" s="52">
        <v>2334</v>
      </c>
      <c r="F16" s="52">
        <v>125</v>
      </c>
      <c r="G16" s="51">
        <v>1.84</v>
      </c>
      <c r="H16" s="52">
        <v>54</v>
      </c>
      <c r="I16" s="52">
        <v>93</v>
      </c>
      <c r="J16" s="52">
        <v>59</v>
      </c>
      <c r="K16" s="52">
        <v>48</v>
      </c>
      <c r="L16" s="52">
        <v>30</v>
      </c>
      <c r="M16" s="52">
        <v>6</v>
      </c>
      <c r="N16" s="52">
        <v>5</v>
      </c>
      <c r="O16" s="52">
        <v>34</v>
      </c>
      <c r="P16" s="52">
        <v>25</v>
      </c>
      <c r="Q16" s="52">
        <v>4</v>
      </c>
      <c r="R16" s="52">
        <v>6</v>
      </c>
      <c r="S16" s="52">
        <v>8</v>
      </c>
      <c r="T16" s="52">
        <v>11</v>
      </c>
      <c r="U16" s="51">
        <v>4.9000000000000004</v>
      </c>
      <c r="V16" s="51">
        <v>0</v>
      </c>
      <c r="W16" s="52">
        <v>1.2</v>
      </c>
      <c r="X16" s="51">
        <v>31</v>
      </c>
      <c r="Y16" s="51">
        <v>0</v>
      </c>
      <c r="Z16" s="51">
        <v>69</v>
      </c>
      <c r="AA16" s="52">
        <v>6</v>
      </c>
      <c r="AB16" s="51">
        <v>0.1</v>
      </c>
      <c r="AC16" s="52">
        <v>10.1</v>
      </c>
      <c r="AD16" s="52">
        <v>36000</v>
      </c>
      <c r="AE16" s="51">
        <v>5</v>
      </c>
      <c r="AF16" s="52">
        <v>80</v>
      </c>
      <c r="AG16" s="51">
        <v>6.08</v>
      </c>
      <c r="AH16" s="51">
        <v>22.89</v>
      </c>
      <c r="AI16" s="52">
        <v>1.3</v>
      </c>
      <c r="AJ16" s="52">
        <v>1.2</v>
      </c>
      <c r="AK16" s="52">
        <v>3.1</v>
      </c>
      <c r="AL16" s="54">
        <v>3</v>
      </c>
      <c r="AM16" s="54">
        <v>1.5</v>
      </c>
      <c r="AN16" s="54">
        <v>1</v>
      </c>
      <c r="AO16" s="54">
        <v>1</v>
      </c>
      <c r="AP16" s="54">
        <v>0</v>
      </c>
      <c r="AQ16" s="54">
        <v>1</v>
      </c>
      <c r="AR16" s="54">
        <v>3</v>
      </c>
      <c r="AS16" s="54">
        <v>5</v>
      </c>
      <c r="AT16" s="54">
        <v>5</v>
      </c>
      <c r="AU16" s="54">
        <v>10</v>
      </c>
      <c r="AV16" s="54">
        <v>0</v>
      </c>
      <c r="AW16" s="54">
        <v>0</v>
      </c>
      <c r="AX16" s="54">
        <v>1216</v>
      </c>
      <c r="AY16" s="54">
        <v>836</v>
      </c>
      <c r="AZ16" s="54">
        <v>786</v>
      </c>
      <c r="BA16" s="54">
        <v>0</v>
      </c>
      <c r="BB16" s="54">
        <v>0</v>
      </c>
      <c r="BC16" s="54">
        <v>300</v>
      </c>
      <c r="BD16" s="54">
        <v>135</v>
      </c>
      <c r="BE16" s="54">
        <v>0</v>
      </c>
      <c r="BF16" s="54">
        <v>0</v>
      </c>
      <c r="BG16" s="54">
        <v>0</v>
      </c>
      <c r="BH16" s="54">
        <v>0</v>
      </c>
      <c r="BI16" s="49">
        <v>140</v>
      </c>
      <c r="BJ16" s="54">
        <v>20686.04</v>
      </c>
      <c r="BK16" s="54">
        <v>306001.64120000001</v>
      </c>
      <c r="BL16" s="54">
        <v>0</v>
      </c>
      <c r="BM16" s="54">
        <v>203</v>
      </c>
      <c r="BN16" s="54">
        <v>0</v>
      </c>
      <c r="BO16" s="54">
        <v>116</v>
      </c>
      <c r="BP16" s="54">
        <v>0</v>
      </c>
      <c r="BQ16" s="480" t="s">
        <v>656</v>
      </c>
    </row>
    <row r="17" spans="1:69" ht="43.5" customHeight="1" x14ac:dyDescent="0.35">
      <c r="A17" s="479">
        <v>43951</v>
      </c>
      <c r="B17" s="51">
        <v>12.25</v>
      </c>
      <c r="C17" s="52" t="s">
        <v>1305</v>
      </c>
      <c r="D17" s="52">
        <v>2613</v>
      </c>
      <c r="E17" s="52">
        <v>2596</v>
      </c>
      <c r="F17" s="52">
        <v>125</v>
      </c>
      <c r="G17" s="51">
        <v>1.84</v>
      </c>
      <c r="H17" s="52">
        <v>54</v>
      </c>
      <c r="I17" s="52">
        <v>93</v>
      </c>
      <c r="J17" s="52">
        <v>59</v>
      </c>
      <c r="K17" s="52">
        <v>48</v>
      </c>
      <c r="L17" s="52">
        <v>30</v>
      </c>
      <c r="M17" s="52">
        <v>6</v>
      </c>
      <c r="N17" s="52">
        <v>5</v>
      </c>
      <c r="O17" s="52">
        <v>34</v>
      </c>
      <c r="P17" s="52">
        <v>25</v>
      </c>
      <c r="Q17" s="52">
        <v>4</v>
      </c>
      <c r="R17" s="52">
        <v>6</v>
      </c>
      <c r="S17" s="52">
        <v>8</v>
      </c>
      <c r="T17" s="52">
        <v>11</v>
      </c>
      <c r="U17" s="51">
        <v>4.9000000000000004</v>
      </c>
      <c r="V17" s="51">
        <v>0</v>
      </c>
      <c r="W17" s="52">
        <v>1.2</v>
      </c>
      <c r="X17" s="51">
        <v>31</v>
      </c>
      <c r="Y17" s="51">
        <v>0</v>
      </c>
      <c r="Z17" s="51">
        <v>69</v>
      </c>
      <c r="AA17" s="52">
        <v>6</v>
      </c>
      <c r="AB17" s="51">
        <v>0.1</v>
      </c>
      <c r="AC17" s="52">
        <v>10.1</v>
      </c>
      <c r="AD17" s="52">
        <v>36000</v>
      </c>
      <c r="AE17" s="51">
        <v>5</v>
      </c>
      <c r="AF17" s="52">
        <v>80</v>
      </c>
      <c r="AG17" s="51">
        <v>6.08</v>
      </c>
      <c r="AH17" s="51">
        <v>22.89</v>
      </c>
      <c r="AI17" s="52">
        <v>1.3</v>
      </c>
      <c r="AJ17" s="52">
        <v>1.2</v>
      </c>
      <c r="AK17" s="52">
        <v>3.1</v>
      </c>
      <c r="AL17" s="54">
        <v>3</v>
      </c>
      <c r="AM17" s="54">
        <v>1.5</v>
      </c>
      <c r="AN17" s="54">
        <v>1</v>
      </c>
      <c r="AO17" s="54">
        <v>1</v>
      </c>
      <c r="AP17" s="54">
        <v>0</v>
      </c>
      <c r="AQ17" s="54">
        <v>1</v>
      </c>
      <c r="AR17" s="54">
        <v>3</v>
      </c>
      <c r="AS17" s="54">
        <v>5</v>
      </c>
      <c r="AT17" s="54">
        <v>5</v>
      </c>
      <c r="AU17" s="54">
        <v>10</v>
      </c>
      <c r="AV17" s="54">
        <v>0</v>
      </c>
      <c r="AW17" s="54">
        <v>0</v>
      </c>
      <c r="AX17" s="54">
        <v>1216</v>
      </c>
      <c r="AY17" s="54">
        <v>836</v>
      </c>
      <c r="AZ17" s="54">
        <v>786</v>
      </c>
      <c r="BA17" s="54">
        <v>0</v>
      </c>
      <c r="BB17" s="54">
        <v>0</v>
      </c>
      <c r="BC17" s="54">
        <v>300</v>
      </c>
      <c r="BD17" s="54">
        <v>135</v>
      </c>
      <c r="BE17" s="54">
        <v>0</v>
      </c>
      <c r="BF17" s="54">
        <v>0</v>
      </c>
      <c r="BG17" s="54">
        <v>0</v>
      </c>
      <c r="BH17" s="54">
        <v>0</v>
      </c>
      <c r="BI17" s="49">
        <v>140</v>
      </c>
      <c r="BJ17" s="54">
        <v>25709.16</v>
      </c>
      <c r="BK17" s="54">
        <v>331710.80119999999</v>
      </c>
      <c r="BL17" s="54">
        <v>0</v>
      </c>
      <c r="BM17" s="54">
        <v>338</v>
      </c>
      <c r="BN17" s="54">
        <v>0</v>
      </c>
      <c r="BO17" s="54">
        <v>116</v>
      </c>
      <c r="BP17" s="54">
        <v>0</v>
      </c>
      <c r="BQ17" s="480" t="s">
        <v>657</v>
      </c>
    </row>
    <row r="18" spans="1:69" ht="21.65" customHeight="1" x14ac:dyDescent="0.35">
      <c r="A18" s="479">
        <v>43952</v>
      </c>
      <c r="B18" s="51">
        <v>12.25</v>
      </c>
      <c r="C18" s="52" t="s">
        <v>1305</v>
      </c>
      <c r="D18" s="52">
        <v>2613</v>
      </c>
      <c r="E18" s="52">
        <v>2596</v>
      </c>
      <c r="F18" s="52">
        <v>125</v>
      </c>
      <c r="G18" s="51">
        <v>1.84</v>
      </c>
      <c r="H18" s="52">
        <v>54</v>
      </c>
      <c r="I18" s="52">
        <v>93</v>
      </c>
      <c r="J18" s="52">
        <v>59</v>
      </c>
      <c r="K18" s="52">
        <v>48</v>
      </c>
      <c r="L18" s="52">
        <v>30</v>
      </c>
      <c r="M18" s="52">
        <v>6</v>
      </c>
      <c r="N18" s="52">
        <v>5</v>
      </c>
      <c r="O18" s="52">
        <v>34</v>
      </c>
      <c r="P18" s="52">
        <v>25</v>
      </c>
      <c r="Q18" s="52">
        <v>4</v>
      </c>
      <c r="R18" s="52">
        <v>6</v>
      </c>
      <c r="S18" s="52">
        <v>8</v>
      </c>
      <c r="T18" s="52">
        <v>11</v>
      </c>
      <c r="U18" s="51">
        <v>4.9000000000000004</v>
      </c>
      <c r="V18" s="51">
        <v>0</v>
      </c>
      <c r="W18" s="52">
        <v>1.2</v>
      </c>
      <c r="X18" s="51">
        <v>31</v>
      </c>
      <c r="Y18" s="51">
        <v>0</v>
      </c>
      <c r="Z18" s="51">
        <v>69</v>
      </c>
      <c r="AA18" s="52">
        <v>6</v>
      </c>
      <c r="AB18" s="51">
        <v>0.1</v>
      </c>
      <c r="AC18" s="52">
        <v>10.1</v>
      </c>
      <c r="AD18" s="52">
        <v>36000</v>
      </c>
      <c r="AE18" s="51">
        <v>5</v>
      </c>
      <c r="AF18" s="52">
        <v>80</v>
      </c>
      <c r="AG18" s="51">
        <v>6.08</v>
      </c>
      <c r="AH18" s="51">
        <v>22.89</v>
      </c>
      <c r="AI18" s="52">
        <v>1.3</v>
      </c>
      <c r="AJ18" s="52">
        <v>1.2</v>
      </c>
      <c r="AK18" s="52">
        <v>3.1</v>
      </c>
      <c r="AL18" s="54">
        <v>3</v>
      </c>
      <c r="AM18" s="54">
        <v>1.5</v>
      </c>
      <c r="AN18" s="54">
        <v>1</v>
      </c>
      <c r="AO18" s="54">
        <v>1</v>
      </c>
      <c r="AP18" s="54">
        <v>0</v>
      </c>
      <c r="AQ18" s="54">
        <v>1</v>
      </c>
      <c r="AR18" s="54">
        <v>3</v>
      </c>
      <c r="AS18" s="54">
        <v>5</v>
      </c>
      <c r="AT18" s="54">
        <v>5</v>
      </c>
      <c r="AU18" s="54">
        <v>10</v>
      </c>
      <c r="AV18" s="54">
        <v>0</v>
      </c>
      <c r="AW18" s="54">
        <v>0</v>
      </c>
      <c r="AX18" s="54">
        <v>1216</v>
      </c>
      <c r="AY18" s="54">
        <v>836</v>
      </c>
      <c r="AZ18" s="54">
        <v>786</v>
      </c>
      <c r="BA18" s="54">
        <v>0</v>
      </c>
      <c r="BB18" s="54">
        <v>0</v>
      </c>
      <c r="BC18" s="54">
        <v>300</v>
      </c>
      <c r="BD18" s="54">
        <v>135</v>
      </c>
      <c r="BE18" s="54">
        <v>0</v>
      </c>
      <c r="BF18" s="54">
        <v>0</v>
      </c>
      <c r="BG18" s="54">
        <v>0</v>
      </c>
      <c r="BH18" s="54">
        <v>0</v>
      </c>
      <c r="BI18" s="49">
        <v>140</v>
      </c>
      <c r="BJ18" s="54">
        <v>16978.59</v>
      </c>
      <c r="BK18" s="54">
        <v>348689.39120000001</v>
      </c>
      <c r="BL18" s="54">
        <v>0</v>
      </c>
      <c r="BM18" s="54">
        <v>473</v>
      </c>
      <c r="BN18" s="54">
        <v>0</v>
      </c>
      <c r="BO18" s="54">
        <v>116</v>
      </c>
      <c r="BP18" s="54">
        <v>0</v>
      </c>
      <c r="BQ18" s="480" t="s">
        <v>624</v>
      </c>
    </row>
    <row r="19" spans="1:69" ht="14.5" x14ac:dyDescent="0.35">
      <c r="A19" s="479">
        <v>43953</v>
      </c>
      <c r="B19" s="51">
        <v>12.25</v>
      </c>
      <c r="C19" s="52" t="s">
        <v>1305</v>
      </c>
      <c r="D19" s="52">
        <v>2884</v>
      </c>
      <c r="E19" s="52">
        <v>2863</v>
      </c>
      <c r="F19" s="52">
        <v>130</v>
      </c>
      <c r="G19" s="51">
        <v>1.85</v>
      </c>
      <c r="H19" s="52">
        <v>52</v>
      </c>
      <c r="I19" s="52">
        <v>101</v>
      </c>
      <c r="J19" s="52">
        <v>63</v>
      </c>
      <c r="K19" s="52">
        <v>53</v>
      </c>
      <c r="L19" s="52">
        <v>34</v>
      </c>
      <c r="M19" s="52">
        <v>6</v>
      </c>
      <c r="N19" s="52">
        <v>5</v>
      </c>
      <c r="O19" s="52">
        <v>38</v>
      </c>
      <c r="P19" s="52">
        <v>25</v>
      </c>
      <c r="Q19" s="52">
        <v>4</v>
      </c>
      <c r="R19" s="52">
        <v>6</v>
      </c>
      <c r="S19" s="52">
        <v>8</v>
      </c>
      <c r="T19" s="52">
        <v>12</v>
      </c>
      <c r="U19" s="51">
        <v>4.7</v>
      </c>
      <c r="V19" s="51">
        <v>0</v>
      </c>
      <c r="W19" s="52">
        <v>1</v>
      </c>
      <c r="X19" s="51">
        <v>31</v>
      </c>
      <c r="Y19" s="51">
        <v>0</v>
      </c>
      <c r="Z19" s="51">
        <v>69</v>
      </c>
      <c r="AA19" s="52">
        <v>6.5</v>
      </c>
      <c r="AB19" s="51">
        <v>0.1</v>
      </c>
      <c r="AC19" s="52">
        <v>10</v>
      </c>
      <c r="AD19" s="52">
        <v>36000</v>
      </c>
      <c r="AE19" s="51">
        <v>5</v>
      </c>
      <c r="AF19" s="52">
        <v>80</v>
      </c>
      <c r="AG19" s="51">
        <v>6.35</v>
      </c>
      <c r="AH19" s="51">
        <v>22.8</v>
      </c>
      <c r="AI19" s="52">
        <v>1.2</v>
      </c>
      <c r="AJ19" s="52">
        <v>1.1000000000000001</v>
      </c>
      <c r="AK19" s="52">
        <v>3</v>
      </c>
      <c r="AL19" s="54">
        <v>3</v>
      </c>
      <c r="AM19" s="54">
        <v>1.5</v>
      </c>
      <c r="AN19" s="54">
        <v>1</v>
      </c>
      <c r="AO19" s="54">
        <v>1</v>
      </c>
      <c r="AP19" s="54">
        <v>0</v>
      </c>
      <c r="AQ19" s="54">
        <v>1.5</v>
      </c>
      <c r="AR19" s="54">
        <v>3</v>
      </c>
      <c r="AS19" s="54">
        <v>5</v>
      </c>
      <c r="AT19" s="54">
        <v>5</v>
      </c>
      <c r="AU19" s="54">
        <v>10</v>
      </c>
      <c r="AV19" s="54">
        <v>0</v>
      </c>
      <c r="AW19" s="54">
        <v>0</v>
      </c>
      <c r="AX19" s="54">
        <v>1345</v>
      </c>
      <c r="AY19" s="54">
        <v>862</v>
      </c>
      <c r="AZ19" s="54">
        <v>786</v>
      </c>
      <c r="BA19" s="54">
        <v>0</v>
      </c>
      <c r="BB19" s="54">
        <v>0</v>
      </c>
      <c r="BC19" s="54">
        <v>300</v>
      </c>
      <c r="BD19" s="54">
        <v>70</v>
      </c>
      <c r="BE19" s="54">
        <v>0</v>
      </c>
      <c r="BF19" s="54">
        <v>0</v>
      </c>
      <c r="BG19" s="54">
        <v>0</v>
      </c>
      <c r="BH19" s="54">
        <v>0</v>
      </c>
      <c r="BI19" s="49">
        <v>170</v>
      </c>
      <c r="BJ19" s="54">
        <v>16057.45</v>
      </c>
      <c r="BK19" s="54">
        <v>364746.84120000002</v>
      </c>
      <c r="BL19" s="54">
        <v>0</v>
      </c>
      <c r="BM19" s="54">
        <v>543</v>
      </c>
      <c r="BN19" s="54">
        <v>0</v>
      </c>
      <c r="BO19" s="54">
        <v>116</v>
      </c>
      <c r="BP19" s="54">
        <v>0</v>
      </c>
      <c r="BQ19" s="480" t="s">
        <v>624</v>
      </c>
    </row>
    <row r="20" spans="1:69" ht="14.5" x14ac:dyDescent="0.35">
      <c r="A20" s="479">
        <v>43954</v>
      </c>
      <c r="B20" s="51">
        <v>12.25</v>
      </c>
      <c r="C20" s="52" t="s">
        <v>1305</v>
      </c>
      <c r="D20" s="52">
        <v>2886</v>
      </c>
      <c r="E20" s="52">
        <v>2865</v>
      </c>
      <c r="F20" s="52">
        <v>130</v>
      </c>
      <c r="G20" s="51">
        <v>1.85</v>
      </c>
      <c r="H20" s="52">
        <v>55</v>
      </c>
      <c r="I20" s="52">
        <v>103</v>
      </c>
      <c r="J20" s="52">
        <v>65</v>
      </c>
      <c r="K20" s="52">
        <v>53</v>
      </c>
      <c r="L20" s="52">
        <v>34</v>
      </c>
      <c r="M20" s="52">
        <v>6</v>
      </c>
      <c r="N20" s="52">
        <v>5</v>
      </c>
      <c r="O20" s="52">
        <v>38</v>
      </c>
      <c r="P20" s="52">
        <v>27</v>
      </c>
      <c r="Q20" s="52">
        <v>4</v>
      </c>
      <c r="R20" s="52">
        <v>6</v>
      </c>
      <c r="S20" s="52">
        <v>8</v>
      </c>
      <c r="T20" s="52">
        <v>12</v>
      </c>
      <c r="U20" s="51">
        <v>4.5</v>
      </c>
      <c r="V20" s="51">
        <v>0</v>
      </c>
      <c r="W20" s="52">
        <v>1</v>
      </c>
      <c r="X20" s="51">
        <v>31</v>
      </c>
      <c r="Y20" s="51">
        <v>0</v>
      </c>
      <c r="Z20" s="51">
        <v>69</v>
      </c>
      <c r="AA20" s="52">
        <v>6.5</v>
      </c>
      <c r="AB20" s="51">
        <v>0.1</v>
      </c>
      <c r="AC20" s="52">
        <v>10</v>
      </c>
      <c r="AD20" s="52">
        <v>37000</v>
      </c>
      <c r="AE20" s="51">
        <v>5</v>
      </c>
      <c r="AF20" s="52">
        <v>80</v>
      </c>
      <c r="AG20" s="51">
        <v>6.35</v>
      </c>
      <c r="AH20" s="51">
        <v>22.8</v>
      </c>
      <c r="AI20" s="52">
        <v>1.2</v>
      </c>
      <c r="AJ20" s="52">
        <v>1.1000000000000001</v>
      </c>
      <c r="AK20" s="52">
        <v>3</v>
      </c>
      <c r="AL20" s="54">
        <v>3</v>
      </c>
      <c r="AM20" s="54">
        <v>1.5</v>
      </c>
      <c r="AN20" s="54">
        <v>1</v>
      </c>
      <c r="AO20" s="54">
        <v>1</v>
      </c>
      <c r="AP20" s="54">
        <v>0</v>
      </c>
      <c r="AQ20" s="54">
        <v>1.5</v>
      </c>
      <c r="AR20" s="54">
        <v>3</v>
      </c>
      <c r="AS20" s="54">
        <v>5</v>
      </c>
      <c r="AT20" s="54">
        <v>5</v>
      </c>
      <c r="AU20" s="54">
        <v>10</v>
      </c>
      <c r="AV20" s="54">
        <v>0</v>
      </c>
      <c r="AW20" s="54">
        <v>0</v>
      </c>
      <c r="AX20" s="54">
        <v>1393</v>
      </c>
      <c r="AY20" s="54">
        <v>848</v>
      </c>
      <c r="AZ20" s="54">
        <v>786</v>
      </c>
      <c r="BA20" s="54">
        <v>0</v>
      </c>
      <c r="BB20" s="54">
        <v>0</v>
      </c>
      <c r="BC20" s="54">
        <v>300</v>
      </c>
      <c r="BD20" s="54">
        <v>4</v>
      </c>
      <c r="BE20" s="54">
        <v>0</v>
      </c>
      <c r="BF20" s="54">
        <v>0</v>
      </c>
      <c r="BG20" s="54">
        <v>0</v>
      </c>
      <c r="BH20" s="54">
        <v>0</v>
      </c>
      <c r="BI20" s="49">
        <v>170</v>
      </c>
      <c r="BJ20" s="54">
        <v>2566.41</v>
      </c>
      <c r="BK20" s="54">
        <v>367313.2512</v>
      </c>
      <c r="BL20" s="54">
        <v>0</v>
      </c>
      <c r="BM20" s="54">
        <v>547</v>
      </c>
      <c r="BN20" s="54">
        <v>0</v>
      </c>
      <c r="BO20" s="54">
        <v>116</v>
      </c>
      <c r="BP20" s="54">
        <v>0</v>
      </c>
      <c r="BQ20" s="480" t="s">
        <v>658</v>
      </c>
    </row>
    <row r="21" spans="1:69" ht="14.5" x14ac:dyDescent="0.35">
      <c r="A21" s="479">
        <v>43955</v>
      </c>
      <c r="B21" s="51">
        <v>12.25</v>
      </c>
      <c r="C21" s="52" t="s">
        <v>1305</v>
      </c>
      <c r="D21" s="52">
        <v>2886</v>
      </c>
      <c r="E21" s="52">
        <v>2865</v>
      </c>
      <c r="F21" s="52">
        <v>130</v>
      </c>
      <c r="G21" s="51">
        <v>1.85</v>
      </c>
      <c r="H21" s="52">
        <v>55</v>
      </c>
      <c r="I21" s="52">
        <v>103</v>
      </c>
      <c r="J21" s="52">
        <v>65</v>
      </c>
      <c r="K21" s="52">
        <v>53</v>
      </c>
      <c r="L21" s="52">
        <v>34</v>
      </c>
      <c r="M21" s="52">
        <v>6</v>
      </c>
      <c r="N21" s="52">
        <v>5</v>
      </c>
      <c r="O21" s="52">
        <v>38</v>
      </c>
      <c r="P21" s="52">
        <v>27</v>
      </c>
      <c r="Q21" s="52">
        <v>4</v>
      </c>
      <c r="R21" s="52">
        <v>6</v>
      </c>
      <c r="S21" s="52">
        <v>8</v>
      </c>
      <c r="T21" s="52">
        <v>12</v>
      </c>
      <c r="U21" s="51">
        <v>4.5</v>
      </c>
      <c r="V21" s="51">
        <v>0</v>
      </c>
      <c r="W21" s="52">
        <v>1</v>
      </c>
      <c r="X21" s="51">
        <v>31</v>
      </c>
      <c r="Y21" s="51">
        <v>0</v>
      </c>
      <c r="Z21" s="51">
        <v>69</v>
      </c>
      <c r="AA21" s="52">
        <v>6.5</v>
      </c>
      <c r="AB21" s="51">
        <v>0.1</v>
      </c>
      <c r="AC21" s="52">
        <v>10</v>
      </c>
      <c r="AD21" s="52">
        <v>37000</v>
      </c>
      <c r="AE21" s="51">
        <v>5</v>
      </c>
      <c r="AF21" s="52">
        <v>80</v>
      </c>
      <c r="AG21" s="51">
        <v>6.35</v>
      </c>
      <c r="AH21" s="51">
        <v>22.8</v>
      </c>
      <c r="AI21" s="52">
        <v>1.2</v>
      </c>
      <c r="AJ21" s="52">
        <v>1.1000000000000001</v>
      </c>
      <c r="AK21" s="52">
        <v>3</v>
      </c>
      <c r="AL21" s="54">
        <v>3</v>
      </c>
      <c r="AM21" s="54">
        <v>1.5</v>
      </c>
      <c r="AN21" s="54">
        <v>1</v>
      </c>
      <c r="AO21" s="54">
        <v>1</v>
      </c>
      <c r="AP21" s="54">
        <v>0</v>
      </c>
      <c r="AQ21" s="54">
        <v>1.5</v>
      </c>
      <c r="AR21" s="54">
        <v>3</v>
      </c>
      <c r="AS21" s="54">
        <v>5</v>
      </c>
      <c r="AT21" s="54">
        <v>5</v>
      </c>
      <c r="AU21" s="54">
        <v>10</v>
      </c>
      <c r="AV21" s="54">
        <v>0</v>
      </c>
      <c r="AW21" s="54">
        <v>0</v>
      </c>
      <c r="AX21" s="54">
        <v>1393</v>
      </c>
      <c r="AY21" s="54">
        <v>848</v>
      </c>
      <c r="AZ21" s="54">
        <v>786</v>
      </c>
      <c r="BA21" s="54">
        <v>0</v>
      </c>
      <c r="BB21" s="54">
        <v>0</v>
      </c>
      <c r="BC21" s="54">
        <v>300</v>
      </c>
      <c r="BD21" s="54">
        <v>4</v>
      </c>
      <c r="BE21" s="54">
        <v>0</v>
      </c>
      <c r="BF21" s="54">
        <v>0</v>
      </c>
      <c r="BG21" s="54">
        <v>0</v>
      </c>
      <c r="BH21" s="54">
        <v>0</v>
      </c>
      <c r="BI21" s="49">
        <v>170</v>
      </c>
      <c r="BJ21" s="54">
        <v>2626.91</v>
      </c>
      <c r="BK21" s="54">
        <v>369940.16119999997</v>
      </c>
      <c r="BL21" s="54">
        <v>0</v>
      </c>
      <c r="BM21" s="54">
        <v>551</v>
      </c>
      <c r="BN21" s="54">
        <v>0</v>
      </c>
      <c r="BO21" s="54">
        <v>116</v>
      </c>
      <c r="BP21" s="54">
        <v>0</v>
      </c>
      <c r="BQ21" s="480" t="s">
        <v>659</v>
      </c>
    </row>
    <row r="22" spans="1:69" ht="14.5" x14ac:dyDescent="0.35">
      <c r="A22" s="479">
        <v>43956</v>
      </c>
      <c r="B22" s="51">
        <v>12.25</v>
      </c>
      <c r="C22" s="52" t="s">
        <v>1305</v>
      </c>
      <c r="D22" s="52">
        <v>2886</v>
      </c>
      <c r="E22" s="52">
        <v>2865</v>
      </c>
      <c r="F22" s="52">
        <v>130</v>
      </c>
      <c r="G22" s="51">
        <v>1.85</v>
      </c>
      <c r="H22" s="52">
        <v>55</v>
      </c>
      <c r="I22" s="52">
        <v>103</v>
      </c>
      <c r="J22" s="52">
        <v>65</v>
      </c>
      <c r="K22" s="52">
        <v>53</v>
      </c>
      <c r="L22" s="52">
        <v>34</v>
      </c>
      <c r="M22" s="52">
        <v>6</v>
      </c>
      <c r="N22" s="52">
        <v>5</v>
      </c>
      <c r="O22" s="52">
        <v>38</v>
      </c>
      <c r="P22" s="52">
        <v>27</v>
      </c>
      <c r="Q22" s="52">
        <v>4</v>
      </c>
      <c r="R22" s="52">
        <v>6</v>
      </c>
      <c r="S22" s="52">
        <v>8</v>
      </c>
      <c r="T22" s="52">
        <v>12</v>
      </c>
      <c r="U22" s="51">
        <v>4.5</v>
      </c>
      <c r="V22" s="51">
        <v>0</v>
      </c>
      <c r="W22" s="52">
        <v>1</v>
      </c>
      <c r="X22" s="51">
        <v>31</v>
      </c>
      <c r="Y22" s="51">
        <v>0</v>
      </c>
      <c r="Z22" s="51">
        <v>69</v>
      </c>
      <c r="AA22" s="52">
        <v>6.5</v>
      </c>
      <c r="AB22" s="51">
        <v>0.1</v>
      </c>
      <c r="AC22" s="52">
        <v>10</v>
      </c>
      <c r="AD22" s="52">
        <v>37000</v>
      </c>
      <c r="AE22" s="51">
        <v>5</v>
      </c>
      <c r="AF22" s="52">
        <v>80</v>
      </c>
      <c r="AG22" s="51">
        <v>6.35</v>
      </c>
      <c r="AH22" s="51">
        <v>22.8</v>
      </c>
      <c r="AI22" s="52">
        <v>1.2</v>
      </c>
      <c r="AJ22" s="52">
        <v>1.1000000000000001</v>
      </c>
      <c r="AK22" s="52">
        <v>3</v>
      </c>
      <c r="AL22" s="54">
        <v>3</v>
      </c>
      <c r="AM22" s="54">
        <v>1.5</v>
      </c>
      <c r="AN22" s="54">
        <v>1</v>
      </c>
      <c r="AO22" s="54">
        <v>1</v>
      </c>
      <c r="AP22" s="54">
        <v>0</v>
      </c>
      <c r="AQ22" s="54">
        <v>1.5</v>
      </c>
      <c r="AR22" s="54">
        <v>3</v>
      </c>
      <c r="AS22" s="54">
        <v>5</v>
      </c>
      <c r="AT22" s="54">
        <v>5</v>
      </c>
      <c r="AU22" s="54">
        <v>10</v>
      </c>
      <c r="AV22" s="54">
        <v>0</v>
      </c>
      <c r="AW22" s="54">
        <v>0</v>
      </c>
      <c r="AX22" s="54">
        <v>1393</v>
      </c>
      <c r="AY22" s="54">
        <v>848</v>
      </c>
      <c r="AZ22" s="54">
        <v>786</v>
      </c>
      <c r="BA22" s="54">
        <v>0</v>
      </c>
      <c r="BB22" s="54">
        <v>0</v>
      </c>
      <c r="BC22" s="54">
        <v>300</v>
      </c>
      <c r="BD22" s="54">
        <v>4</v>
      </c>
      <c r="BE22" s="54">
        <v>0</v>
      </c>
      <c r="BF22" s="54">
        <v>0</v>
      </c>
      <c r="BG22" s="54">
        <v>0</v>
      </c>
      <c r="BH22" s="54">
        <v>0</v>
      </c>
      <c r="BI22" s="49">
        <v>170</v>
      </c>
      <c r="BJ22" s="54">
        <v>2068.09</v>
      </c>
      <c r="BK22" s="54">
        <v>372008.2512</v>
      </c>
      <c r="BL22" s="54">
        <v>0</v>
      </c>
      <c r="BM22" s="54">
        <v>555</v>
      </c>
      <c r="BN22" s="54">
        <v>0</v>
      </c>
      <c r="BO22" s="54">
        <v>116</v>
      </c>
      <c r="BP22" s="54">
        <v>0</v>
      </c>
      <c r="BQ22" s="480" t="s">
        <v>660</v>
      </c>
    </row>
    <row r="23" spans="1:69" ht="14.5" x14ac:dyDescent="0.35">
      <c r="A23" s="479">
        <v>43957</v>
      </c>
      <c r="B23" s="51">
        <v>12.25</v>
      </c>
      <c r="C23" s="52" t="s">
        <v>1305</v>
      </c>
      <c r="D23" s="52">
        <v>2886</v>
      </c>
      <c r="E23" s="52">
        <v>2865</v>
      </c>
      <c r="F23" s="52">
        <v>130</v>
      </c>
      <c r="G23" s="51">
        <v>1.85</v>
      </c>
      <c r="H23" s="52">
        <v>55</v>
      </c>
      <c r="I23" s="52">
        <v>103</v>
      </c>
      <c r="J23" s="52">
        <v>65</v>
      </c>
      <c r="K23" s="52">
        <v>53</v>
      </c>
      <c r="L23" s="52">
        <v>34</v>
      </c>
      <c r="M23" s="52">
        <v>6</v>
      </c>
      <c r="N23" s="52">
        <v>5</v>
      </c>
      <c r="O23" s="52">
        <v>38</v>
      </c>
      <c r="P23" s="52">
        <v>27</v>
      </c>
      <c r="Q23" s="52">
        <v>4</v>
      </c>
      <c r="R23" s="52">
        <v>6</v>
      </c>
      <c r="S23" s="52">
        <v>8</v>
      </c>
      <c r="T23" s="52">
        <v>12</v>
      </c>
      <c r="U23" s="51">
        <v>4.5</v>
      </c>
      <c r="V23" s="51">
        <v>0</v>
      </c>
      <c r="W23" s="52">
        <v>1</v>
      </c>
      <c r="X23" s="51">
        <v>31</v>
      </c>
      <c r="Y23" s="51">
        <v>0</v>
      </c>
      <c r="Z23" s="51">
        <v>69</v>
      </c>
      <c r="AA23" s="52">
        <v>6.5</v>
      </c>
      <c r="AB23" s="51">
        <v>0.1</v>
      </c>
      <c r="AC23" s="52">
        <v>10</v>
      </c>
      <c r="AD23" s="52">
        <v>37000</v>
      </c>
      <c r="AE23" s="51">
        <v>5</v>
      </c>
      <c r="AF23" s="52">
        <v>80</v>
      </c>
      <c r="AG23" s="51">
        <v>6.35</v>
      </c>
      <c r="AH23" s="51">
        <v>22.8</v>
      </c>
      <c r="AI23" s="52">
        <v>1.2</v>
      </c>
      <c r="AJ23" s="52">
        <v>1.1000000000000001</v>
      </c>
      <c r="AK23" s="52">
        <v>3</v>
      </c>
      <c r="AL23" s="54">
        <v>3</v>
      </c>
      <c r="AM23" s="54">
        <v>1.5</v>
      </c>
      <c r="AN23" s="54">
        <v>1</v>
      </c>
      <c r="AO23" s="54">
        <v>1</v>
      </c>
      <c r="AP23" s="54">
        <v>0</v>
      </c>
      <c r="AQ23" s="54">
        <v>1.5</v>
      </c>
      <c r="AR23" s="54">
        <v>3</v>
      </c>
      <c r="AS23" s="54">
        <v>5</v>
      </c>
      <c r="AT23" s="54">
        <v>5</v>
      </c>
      <c r="AU23" s="54">
        <v>10</v>
      </c>
      <c r="AV23" s="54">
        <v>0</v>
      </c>
      <c r="AW23" s="54">
        <v>0</v>
      </c>
      <c r="AX23" s="54">
        <v>1393</v>
      </c>
      <c r="AY23" s="54">
        <v>848</v>
      </c>
      <c r="AZ23" s="54">
        <v>786</v>
      </c>
      <c r="BA23" s="54">
        <v>0</v>
      </c>
      <c r="BB23" s="54">
        <v>0</v>
      </c>
      <c r="BC23" s="54">
        <v>300</v>
      </c>
      <c r="BD23" s="54">
        <v>4</v>
      </c>
      <c r="BE23" s="54">
        <v>0</v>
      </c>
      <c r="BF23" s="54">
        <v>0</v>
      </c>
      <c r="BG23" s="54">
        <v>0</v>
      </c>
      <c r="BH23" s="54">
        <v>0</v>
      </c>
      <c r="BI23" s="49">
        <v>170</v>
      </c>
      <c r="BJ23" s="54">
        <v>3916.23</v>
      </c>
      <c r="BK23" s="54">
        <v>375924.48119999998</v>
      </c>
      <c r="BL23" s="54">
        <v>0</v>
      </c>
      <c r="BM23" s="54">
        <v>559</v>
      </c>
      <c r="BN23" s="54">
        <v>0</v>
      </c>
      <c r="BO23" s="54">
        <v>116</v>
      </c>
      <c r="BP23" s="54">
        <v>0</v>
      </c>
      <c r="BQ23" s="480" t="s">
        <v>661</v>
      </c>
    </row>
    <row r="24" spans="1:69" ht="14.5" x14ac:dyDescent="0.35">
      <c r="A24" s="479">
        <v>43958</v>
      </c>
      <c r="B24" s="51">
        <v>12.25</v>
      </c>
      <c r="C24" s="52" t="s">
        <v>1305</v>
      </c>
      <c r="D24" s="52">
        <v>2886</v>
      </c>
      <c r="E24" s="52">
        <v>2865</v>
      </c>
      <c r="F24" s="52">
        <v>130</v>
      </c>
      <c r="G24" s="51">
        <v>1.85</v>
      </c>
      <c r="H24" s="52">
        <v>55</v>
      </c>
      <c r="I24" s="52">
        <v>103</v>
      </c>
      <c r="J24" s="52">
        <v>65</v>
      </c>
      <c r="K24" s="52">
        <v>53</v>
      </c>
      <c r="L24" s="52">
        <v>34</v>
      </c>
      <c r="M24" s="52">
        <v>6</v>
      </c>
      <c r="N24" s="52">
        <v>5</v>
      </c>
      <c r="O24" s="52">
        <v>38</v>
      </c>
      <c r="P24" s="52">
        <v>27</v>
      </c>
      <c r="Q24" s="52">
        <v>4</v>
      </c>
      <c r="R24" s="52">
        <v>6</v>
      </c>
      <c r="S24" s="52">
        <v>8</v>
      </c>
      <c r="T24" s="52">
        <v>12</v>
      </c>
      <c r="U24" s="51">
        <v>4.5</v>
      </c>
      <c r="V24" s="51">
        <v>0</v>
      </c>
      <c r="W24" s="52">
        <v>1</v>
      </c>
      <c r="X24" s="51">
        <v>31</v>
      </c>
      <c r="Y24" s="51">
        <v>0</v>
      </c>
      <c r="Z24" s="51">
        <v>69</v>
      </c>
      <c r="AA24" s="52">
        <v>6.5</v>
      </c>
      <c r="AB24" s="51">
        <v>0.1</v>
      </c>
      <c r="AC24" s="52">
        <v>10</v>
      </c>
      <c r="AD24" s="52">
        <v>37000</v>
      </c>
      <c r="AE24" s="51">
        <v>5</v>
      </c>
      <c r="AF24" s="52">
        <v>80</v>
      </c>
      <c r="AG24" s="51">
        <v>6.35</v>
      </c>
      <c r="AH24" s="51">
        <v>22.8</v>
      </c>
      <c r="AI24" s="52">
        <v>1.2</v>
      </c>
      <c r="AJ24" s="52">
        <v>1.1000000000000001</v>
      </c>
      <c r="AK24" s="52">
        <v>3</v>
      </c>
      <c r="AL24" s="54">
        <v>3</v>
      </c>
      <c r="AM24" s="54">
        <v>1.5</v>
      </c>
      <c r="AN24" s="54">
        <v>1</v>
      </c>
      <c r="AO24" s="54">
        <v>1</v>
      </c>
      <c r="AP24" s="54">
        <v>0</v>
      </c>
      <c r="AQ24" s="54">
        <v>1.5</v>
      </c>
      <c r="AR24" s="54">
        <v>3</v>
      </c>
      <c r="AS24" s="54">
        <v>5</v>
      </c>
      <c r="AT24" s="54">
        <v>5</v>
      </c>
      <c r="AU24" s="54">
        <v>10</v>
      </c>
      <c r="AV24" s="54">
        <v>0</v>
      </c>
      <c r="AW24" s="54">
        <v>0</v>
      </c>
      <c r="AX24" s="54">
        <v>1393</v>
      </c>
      <c r="AY24" s="54">
        <v>848</v>
      </c>
      <c r="AZ24" s="54">
        <v>786</v>
      </c>
      <c r="BA24" s="54">
        <v>0</v>
      </c>
      <c r="BB24" s="54">
        <v>0</v>
      </c>
      <c r="BC24" s="54">
        <v>300</v>
      </c>
      <c r="BD24" s="54">
        <v>4</v>
      </c>
      <c r="BE24" s="54">
        <v>0</v>
      </c>
      <c r="BF24" s="54">
        <v>0</v>
      </c>
      <c r="BG24" s="54">
        <v>0</v>
      </c>
      <c r="BH24" s="54">
        <v>0</v>
      </c>
      <c r="BI24" s="49">
        <v>170</v>
      </c>
      <c r="BJ24" s="54">
        <v>0</v>
      </c>
      <c r="BK24" s="54">
        <v>375924.48119999998</v>
      </c>
      <c r="BL24" s="54">
        <v>0</v>
      </c>
      <c r="BM24" s="54">
        <v>563</v>
      </c>
      <c r="BN24" s="54">
        <v>0</v>
      </c>
      <c r="BO24" s="54">
        <v>116</v>
      </c>
      <c r="BP24" s="54">
        <v>0</v>
      </c>
      <c r="BQ24" s="480" t="s">
        <v>662</v>
      </c>
    </row>
    <row r="25" spans="1:69" ht="29" x14ac:dyDescent="0.35">
      <c r="A25" s="479">
        <v>43959</v>
      </c>
      <c r="B25" s="51">
        <v>12.25</v>
      </c>
      <c r="C25" s="52" t="s">
        <v>1305</v>
      </c>
      <c r="D25" s="52">
        <v>2886</v>
      </c>
      <c r="E25" s="52">
        <v>2865</v>
      </c>
      <c r="F25" s="52">
        <v>130</v>
      </c>
      <c r="G25" s="51">
        <v>1.85</v>
      </c>
      <c r="H25" s="52">
        <v>55</v>
      </c>
      <c r="I25" s="52">
        <v>103</v>
      </c>
      <c r="J25" s="52">
        <v>65</v>
      </c>
      <c r="K25" s="52">
        <v>53</v>
      </c>
      <c r="L25" s="52">
        <v>34</v>
      </c>
      <c r="M25" s="52">
        <v>6</v>
      </c>
      <c r="N25" s="52">
        <v>5</v>
      </c>
      <c r="O25" s="52">
        <v>38</v>
      </c>
      <c r="P25" s="52">
        <v>27</v>
      </c>
      <c r="Q25" s="52">
        <v>4</v>
      </c>
      <c r="R25" s="52">
        <v>6</v>
      </c>
      <c r="S25" s="52">
        <v>8</v>
      </c>
      <c r="T25" s="52">
        <v>12</v>
      </c>
      <c r="U25" s="51">
        <v>4.5</v>
      </c>
      <c r="V25" s="51">
        <v>0</v>
      </c>
      <c r="W25" s="52">
        <v>1</v>
      </c>
      <c r="X25" s="51">
        <v>31</v>
      </c>
      <c r="Y25" s="51">
        <v>0</v>
      </c>
      <c r="Z25" s="51">
        <v>69</v>
      </c>
      <c r="AA25" s="52">
        <v>6.5</v>
      </c>
      <c r="AB25" s="51">
        <v>0.1</v>
      </c>
      <c r="AC25" s="52">
        <v>10</v>
      </c>
      <c r="AD25" s="52">
        <v>37000</v>
      </c>
      <c r="AE25" s="51">
        <v>5</v>
      </c>
      <c r="AF25" s="52">
        <v>80</v>
      </c>
      <c r="AG25" s="51">
        <v>6.35</v>
      </c>
      <c r="AH25" s="51">
        <v>22.8</v>
      </c>
      <c r="AI25" s="52">
        <v>1.2</v>
      </c>
      <c r="AJ25" s="52">
        <v>1.1000000000000001</v>
      </c>
      <c r="AK25" s="52">
        <v>3</v>
      </c>
      <c r="AL25" s="54">
        <v>3</v>
      </c>
      <c r="AM25" s="54">
        <v>1.5</v>
      </c>
      <c r="AN25" s="54">
        <v>1</v>
      </c>
      <c r="AO25" s="54">
        <v>1</v>
      </c>
      <c r="AP25" s="54">
        <v>0</v>
      </c>
      <c r="AQ25" s="54">
        <v>1.5</v>
      </c>
      <c r="AR25" s="54">
        <v>3</v>
      </c>
      <c r="AS25" s="54">
        <v>5</v>
      </c>
      <c r="AT25" s="54">
        <v>5</v>
      </c>
      <c r="AU25" s="54">
        <v>10</v>
      </c>
      <c r="AV25" s="54">
        <v>0</v>
      </c>
      <c r="AW25" s="54">
        <v>0</v>
      </c>
      <c r="AX25" s="54">
        <v>1393</v>
      </c>
      <c r="AY25" s="54">
        <v>848</v>
      </c>
      <c r="AZ25" s="54">
        <v>786</v>
      </c>
      <c r="BA25" s="54">
        <v>0</v>
      </c>
      <c r="BB25" s="54">
        <v>0</v>
      </c>
      <c r="BC25" s="54">
        <v>300</v>
      </c>
      <c r="BD25" s="54">
        <v>4</v>
      </c>
      <c r="BE25" s="54">
        <v>0</v>
      </c>
      <c r="BF25" s="54">
        <v>0</v>
      </c>
      <c r="BG25" s="54">
        <v>0</v>
      </c>
      <c r="BH25" s="54">
        <v>0</v>
      </c>
      <c r="BI25" s="49">
        <v>170</v>
      </c>
      <c r="BJ25" s="54">
        <v>0</v>
      </c>
      <c r="BK25" s="54">
        <v>375924.48119999998</v>
      </c>
      <c r="BL25" s="54">
        <v>0</v>
      </c>
      <c r="BM25" s="54">
        <v>567</v>
      </c>
      <c r="BN25" s="54">
        <v>0</v>
      </c>
      <c r="BO25" s="54">
        <v>116</v>
      </c>
      <c r="BP25" s="54">
        <v>0</v>
      </c>
      <c r="BQ25" s="480" t="s">
        <v>663</v>
      </c>
    </row>
    <row r="26" spans="1:69" ht="28" customHeight="1" x14ac:dyDescent="0.35">
      <c r="A26" s="479">
        <v>43960</v>
      </c>
      <c r="B26" s="51">
        <v>8.5</v>
      </c>
      <c r="C26" s="52" t="s">
        <v>1305</v>
      </c>
      <c r="D26" s="52">
        <v>2986</v>
      </c>
      <c r="E26" s="52">
        <v>2964</v>
      </c>
      <c r="F26" s="52">
        <v>120</v>
      </c>
      <c r="G26" s="51">
        <v>1.51</v>
      </c>
      <c r="H26" s="52">
        <v>50</v>
      </c>
      <c r="I26" s="52">
        <v>56</v>
      </c>
      <c r="J26" s="52">
        <v>37</v>
      </c>
      <c r="K26" s="52">
        <v>26</v>
      </c>
      <c r="L26" s="52">
        <v>18</v>
      </c>
      <c r="M26" s="52">
        <v>5</v>
      </c>
      <c r="N26" s="52">
        <v>4</v>
      </c>
      <c r="O26" s="52">
        <v>19</v>
      </c>
      <c r="P26" s="52">
        <v>18</v>
      </c>
      <c r="Q26" s="52">
        <v>3</v>
      </c>
      <c r="R26" s="52">
        <v>5</v>
      </c>
      <c r="S26" s="52">
        <v>9</v>
      </c>
      <c r="T26" s="52">
        <v>15</v>
      </c>
      <c r="U26" s="51">
        <v>5.5</v>
      </c>
      <c r="V26" s="51">
        <v>0</v>
      </c>
      <c r="W26" s="52">
        <v>1</v>
      </c>
      <c r="X26" s="51">
        <v>20</v>
      </c>
      <c r="Y26" s="51">
        <v>0</v>
      </c>
      <c r="Z26" s="51">
        <v>80</v>
      </c>
      <c r="AA26" s="52">
        <v>6.5</v>
      </c>
      <c r="AB26" s="51">
        <v>0</v>
      </c>
      <c r="AC26" s="52">
        <v>10.5</v>
      </c>
      <c r="AD26" s="52">
        <v>32000</v>
      </c>
      <c r="AE26" s="51">
        <v>5</v>
      </c>
      <c r="AF26" s="52">
        <v>100</v>
      </c>
      <c r="AG26" s="51">
        <v>6.12</v>
      </c>
      <c r="AH26" s="51">
        <v>11.8</v>
      </c>
      <c r="AI26" s="52">
        <v>1.3</v>
      </c>
      <c r="AJ26" s="52">
        <v>1.2</v>
      </c>
      <c r="AK26" s="52">
        <v>2.8</v>
      </c>
      <c r="AL26" s="54">
        <v>3</v>
      </c>
      <c r="AM26" s="54">
        <v>1</v>
      </c>
      <c r="AN26" s="54">
        <v>0.75</v>
      </c>
      <c r="AO26" s="54">
        <v>0.75</v>
      </c>
      <c r="AP26" s="54">
        <v>0</v>
      </c>
      <c r="AQ26" s="54">
        <v>0</v>
      </c>
      <c r="AR26" s="54">
        <v>2</v>
      </c>
      <c r="AS26" s="54">
        <v>1</v>
      </c>
      <c r="AT26" s="54">
        <v>1</v>
      </c>
      <c r="AU26" s="54">
        <v>2</v>
      </c>
      <c r="AV26" s="54">
        <v>1.5</v>
      </c>
      <c r="AW26" s="54">
        <v>1.5</v>
      </c>
      <c r="AX26" s="54">
        <v>614</v>
      </c>
      <c r="AY26" s="54">
        <v>821</v>
      </c>
      <c r="AZ26" s="54">
        <v>1176</v>
      </c>
      <c r="BA26" s="54">
        <v>0</v>
      </c>
      <c r="BB26" s="54">
        <v>0</v>
      </c>
      <c r="BC26" s="54">
        <v>100</v>
      </c>
      <c r="BD26" s="54">
        <v>25</v>
      </c>
      <c r="BE26" s="54">
        <v>0</v>
      </c>
      <c r="BF26" s="54">
        <v>20</v>
      </c>
      <c r="BG26" s="54">
        <v>0</v>
      </c>
      <c r="BH26" s="54">
        <v>0</v>
      </c>
      <c r="BI26" s="49">
        <v>170</v>
      </c>
      <c r="BJ26" s="54">
        <v>6041.15</v>
      </c>
      <c r="BK26" s="54">
        <v>381965.6312</v>
      </c>
      <c r="BL26" s="54">
        <v>0</v>
      </c>
      <c r="BM26" s="54">
        <v>25</v>
      </c>
      <c r="BN26" s="54">
        <v>0</v>
      </c>
      <c r="BO26" s="54">
        <v>20</v>
      </c>
      <c r="BP26" s="54">
        <v>0</v>
      </c>
      <c r="BQ26" s="480" t="s">
        <v>664</v>
      </c>
    </row>
    <row r="27" spans="1:69" ht="21.65" customHeight="1" x14ac:dyDescent="0.35">
      <c r="A27" s="479">
        <v>43961</v>
      </c>
      <c r="B27" s="51">
        <v>8.5</v>
      </c>
      <c r="C27" s="52" t="s">
        <v>1305</v>
      </c>
      <c r="D27" s="52">
        <v>3191</v>
      </c>
      <c r="E27" s="52">
        <v>3167</v>
      </c>
      <c r="F27" s="52">
        <v>120</v>
      </c>
      <c r="G27" s="51">
        <v>1.51</v>
      </c>
      <c r="H27" s="52">
        <v>50</v>
      </c>
      <c r="I27" s="52">
        <v>56</v>
      </c>
      <c r="J27" s="52">
        <v>37</v>
      </c>
      <c r="K27" s="52">
        <v>26</v>
      </c>
      <c r="L27" s="52">
        <v>18</v>
      </c>
      <c r="M27" s="52">
        <v>5</v>
      </c>
      <c r="N27" s="52">
        <v>4</v>
      </c>
      <c r="O27" s="52">
        <v>19</v>
      </c>
      <c r="P27" s="52">
        <v>18</v>
      </c>
      <c r="Q27" s="52">
        <v>3</v>
      </c>
      <c r="R27" s="52">
        <v>5</v>
      </c>
      <c r="S27" s="52">
        <v>9</v>
      </c>
      <c r="T27" s="52">
        <v>15</v>
      </c>
      <c r="U27" s="51">
        <v>5.5</v>
      </c>
      <c r="V27" s="51">
        <v>0</v>
      </c>
      <c r="W27" s="52">
        <v>1</v>
      </c>
      <c r="X27" s="51">
        <v>20</v>
      </c>
      <c r="Y27" s="51">
        <v>0</v>
      </c>
      <c r="Z27" s="51">
        <v>80</v>
      </c>
      <c r="AA27" s="52">
        <v>6.5</v>
      </c>
      <c r="AB27" s="51">
        <v>0</v>
      </c>
      <c r="AC27" s="52">
        <v>10.5</v>
      </c>
      <c r="AD27" s="52">
        <v>32000</v>
      </c>
      <c r="AE27" s="51">
        <v>5</v>
      </c>
      <c r="AF27" s="52">
        <v>100</v>
      </c>
      <c r="AG27" s="51">
        <v>6.12</v>
      </c>
      <c r="AH27" s="51">
        <v>11.8</v>
      </c>
      <c r="AI27" s="52">
        <v>1.3</v>
      </c>
      <c r="AJ27" s="52">
        <v>1.2</v>
      </c>
      <c r="AK27" s="52">
        <v>2.8</v>
      </c>
      <c r="AL27" s="54">
        <v>3</v>
      </c>
      <c r="AM27" s="54">
        <v>1</v>
      </c>
      <c r="AN27" s="54">
        <v>0.75</v>
      </c>
      <c r="AO27" s="54">
        <v>0.75</v>
      </c>
      <c r="AP27" s="54">
        <v>0</v>
      </c>
      <c r="AQ27" s="54">
        <v>0</v>
      </c>
      <c r="AR27" s="54">
        <v>2</v>
      </c>
      <c r="AS27" s="54">
        <v>1</v>
      </c>
      <c r="AT27" s="54">
        <v>1</v>
      </c>
      <c r="AU27" s="54">
        <v>2</v>
      </c>
      <c r="AV27" s="54">
        <v>1.5</v>
      </c>
      <c r="AW27" s="54">
        <v>1.5</v>
      </c>
      <c r="AX27" s="54">
        <v>614</v>
      </c>
      <c r="AY27" s="54">
        <v>821</v>
      </c>
      <c r="AZ27" s="54">
        <v>1176</v>
      </c>
      <c r="BA27" s="54">
        <v>0</v>
      </c>
      <c r="BB27" s="54">
        <v>0</v>
      </c>
      <c r="BC27" s="54">
        <v>100</v>
      </c>
      <c r="BD27" s="54">
        <v>25</v>
      </c>
      <c r="BE27" s="54">
        <v>0</v>
      </c>
      <c r="BF27" s="54">
        <v>20</v>
      </c>
      <c r="BG27" s="54">
        <v>0</v>
      </c>
      <c r="BH27" s="54">
        <v>0</v>
      </c>
      <c r="BI27" s="49">
        <v>170</v>
      </c>
      <c r="BJ27" s="54">
        <v>11348.18</v>
      </c>
      <c r="BK27" s="54">
        <v>393313.8112</v>
      </c>
      <c r="BL27" s="54">
        <v>0</v>
      </c>
      <c r="BM27" s="54">
        <v>50</v>
      </c>
      <c r="BN27" s="54">
        <v>0</v>
      </c>
      <c r="BO27" s="54">
        <v>40</v>
      </c>
      <c r="BP27" s="54">
        <v>0</v>
      </c>
      <c r="BQ27" s="480" t="s">
        <v>664</v>
      </c>
    </row>
    <row r="28" spans="1:69" ht="32.15" customHeight="1" x14ac:dyDescent="0.35">
      <c r="A28" s="479">
        <v>43962</v>
      </c>
      <c r="B28" s="51">
        <v>8.5</v>
      </c>
      <c r="C28" s="52" t="s">
        <v>1305</v>
      </c>
      <c r="D28" s="52">
        <v>3191</v>
      </c>
      <c r="E28" s="52">
        <v>3167</v>
      </c>
      <c r="F28" s="52">
        <v>120</v>
      </c>
      <c r="G28" s="51">
        <v>1.51</v>
      </c>
      <c r="H28" s="52">
        <v>50</v>
      </c>
      <c r="I28" s="52">
        <v>56</v>
      </c>
      <c r="J28" s="52">
        <v>37</v>
      </c>
      <c r="K28" s="52">
        <v>26</v>
      </c>
      <c r="L28" s="52">
        <v>18</v>
      </c>
      <c r="M28" s="52">
        <v>5</v>
      </c>
      <c r="N28" s="52">
        <v>4</v>
      </c>
      <c r="O28" s="52">
        <v>19</v>
      </c>
      <c r="P28" s="52">
        <v>18</v>
      </c>
      <c r="Q28" s="52">
        <v>3</v>
      </c>
      <c r="R28" s="52">
        <v>5</v>
      </c>
      <c r="S28" s="52">
        <v>9</v>
      </c>
      <c r="T28" s="52">
        <v>15</v>
      </c>
      <c r="U28" s="51">
        <v>5.5</v>
      </c>
      <c r="V28" s="51">
        <v>0</v>
      </c>
      <c r="W28" s="52">
        <v>1</v>
      </c>
      <c r="X28" s="51">
        <v>20</v>
      </c>
      <c r="Y28" s="51">
        <v>0</v>
      </c>
      <c r="Z28" s="51">
        <v>80</v>
      </c>
      <c r="AA28" s="52">
        <v>6.5</v>
      </c>
      <c r="AB28" s="51">
        <v>0</v>
      </c>
      <c r="AC28" s="52">
        <v>10.5</v>
      </c>
      <c r="AD28" s="52">
        <v>32000</v>
      </c>
      <c r="AE28" s="51">
        <v>5</v>
      </c>
      <c r="AF28" s="52">
        <v>100</v>
      </c>
      <c r="AG28" s="51">
        <v>6.12</v>
      </c>
      <c r="AH28" s="51">
        <v>11.8</v>
      </c>
      <c r="AI28" s="52">
        <v>1.3</v>
      </c>
      <c r="AJ28" s="52">
        <v>1.2</v>
      </c>
      <c r="AK28" s="52">
        <v>2.8</v>
      </c>
      <c r="AL28" s="54">
        <v>3</v>
      </c>
      <c r="AM28" s="54">
        <v>1</v>
      </c>
      <c r="AN28" s="54">
        <v>0.75</v>
      </c>
      <c r="AO28" s="54">
        <v>0.75</v>
      </c>
      <c r="AP28" s="54">
        <v>0</v>
      </c>
      <c r="AQ28" s="54">
        <v>0</v>
      </c>
      <c r="AR28" s="54">
        <v>2</v>
      </c>
      <c r="AS28" s="54">
        <v>1</v>
      </c>
      <c r="AT28" s="54">
        <v>1</v>
      </c>
      <c r="AU28" s="54">
        <v>2</v>
      </c>
      <c r="AV28" s="54">
        <v>1.5</v>
      </c>
      <c r="AW28" s="54">
        <v>1.5</v>
      </c>
      <c r="AX28" s="54">
        <v>614</v>
      </c>
      <c r="AY28" s="54">
        <v>821</v>
      </c>
      <c r="AZ28" s="54">
        <v>1176</v>
      </c>
      <c r="BA28" s="54">
        <v>0</v>
      </c>
      <c r="BB28" s="54">
        <v>0</v>
      </c>
      <c r="BC28" s="54">
        <v>100</v>
      </c>
      <c r="BD28" s="54">
        <v>25</v>
      </c>
      <c r="BE28" s="54">
        <v>0</v>
      </c>
      <c r="BF28" s="54">
        <v>20</v>
      </c>
      <c r="BG28" s="54">
        <v>0</v>
      </c>
      <c r="BH28" s="54">
        <v>0</v>
      </c>
      <c r="BI28" s="49">
        <v>170</v>
      </c>
      <c r="BJ28" s="54">
        <v>332.43</v>
      </c>
      <c r="BK28" s="54">
        <v>393646.24119999999</v>
      </c>
      <c r="BL28" s="54">
        <v>0</v>
      </c>
      <c r="BM28" s="54">
        <v>75</v>
      </c>
      <c r="BN28" s="54">
        <v>0</v>
      </c>
      <c r="BO28" s="54">
        <v>60</v>
      </c>
      <c r="BP28" s="54">
        <v>0</v>
      </c>
      <c r="BQ28" s="480" t="s">
        <v>665</v>
      </c>
    </row>
    <row r="29" spans="1:69" ht="21.65" customHeight="1" x14ac:dyDescent="0.35">
      <c r="A29" s="479">
        <v>43963</v>
      </c>
      <c r="B29" s="51">
        <v>8.5</v>
      </c>
      <c r="C29" s="52" t="s">
        <v>1305</v>
      </c>
      <c r="D29" s="52">
        <v>3191</v>
      </c>
      <c r="E29" s="52">
        <v>3167</v>
      </c>
      <c r="F29" s="52">
        <v>120</v>
      </c>
      <c r="G29" s="51">
        <v>1.51</v>
      </c>
      <c r="H29" s="52">
        <v>50</v>
      </c>
      <c r="I29" s="52">
        <v>56</v>
      </c>
      <c r="J29" s="52">
        <v>37</v>
      </c>
      <c r="K29" s="52">
        <v>26</v>
      </c>
      <c r="L29" s="52">
        <v>18</v>
      </c>
      <c r="M29" s="52">
        <v>5</v>
      </c>
      <c r="N29" s="52">
        <v>4</v>
      </c>
      <c r="O29" s="52">
        <v>19</v>
      </c>
      <c r="P29" s="52">
        <v>18</v>
      </c>
      <c r="Q29" s="52">
        <v>3</v>
      </c>
      <c r="R29" s="52">
        <v>5</v>
      </c>
      <c r="S29" s="52">
        <v>9</v>
      </c>
      <c r="T29" s="52">
        <v>15</v>
      </c>
      <c r="U29" s="51">
        <v>5.5</v>
      </c>
      <c r="V29" s="51">
        <v>0</v>
      </c>
      <c r="W29" s="52">
        <v>1</v>
      </c>
      <c r="X29" s="51">
        <v>20</v>
      </c>
      <c r="Y29" s="51">
        <v>0</v>
      </c>
      <c r="Z29" s="51">
        <v>80</v>
      </c>
      <c r="AA29" s="52">
        <v>6.5</v>
      </c>
      <c r="AB29" s="51">
        <v>0</v>
      </c>
      <c r="AC29" s="52">
        <v>10.5</v>
      </c>
      <c r="AD29" s="52">
        <v>32000</v>
      </c>
      <c r="AE29" s="51">
        <v>5</v>
      </c>
      <c r="AF29" s="52">
        <v>100</v>
      </c>
      <c r="AG29" s="51">
        <v>6.12</v>
      </c>
      <c r="AH29" s="51">
        <v>11.8</v>
      </c>
      <c r="AI29" s="52">
        <v>1.3</v>
      </c>
      <c r="AJ29" s="52">
        <v>1.2</v>
      </c>
      <c r="AK29" s="52">
        <v>2.8</v>
      </c>
      <c r="AL29" s="54">
        <v>3</v>
      </c>
      <c r="AM29" s="54">
        <v>1</v>
      </c>
      <c r="AN29" s="54">
        <v>0.75</v>
      </c>
      <c r="AO29" s="54">
        <v>0.75</v>
      </c>
      <c r="AP29" s="54">
        <v>0</v>
      </c>
      <c r="AQ29" s="54">
        <v>0</v>
      </c>
      <c r="AR29" s="54">
        <v>2</v>
      </c>
      <c r="AS29" s="54">
        <v>1</v>
      </c>
      <c r="AT29" s="54">
        <v>1</v>
      </c>
      <c r="AU29" s="54">
        <v>2</v>
      </c>
      <c r="AV29" s="54">
        <v>1.5</v>
      </c>
      <c r="AW29" s="54">
        <v>1.5</v>
      </c>
      <c r="AX29" s="54">
        <v>614</v>
      </c>
      <c r="AY29" s="54">
        <v>821</v>
      </c>
      <c r="AZ29" s="54">
        <v>1176</v>
      </c>
      <c r="BA29" s="54">
        <v>0</v>
      </c>
      <c r="BB29" s="54">
        <v>0</v>
      </c>
      <c r="BC29" s="54">
        <v>100</v>
      </c>
      <c r="BD29" s="54">
        <v>25</v>
      </c>
      <c r="BE29" s="54">
        <v>0</v>
      </c>
      <c r="BF29" s="54">
        <v>20</v>
      </c>
      <c r="BG29" s="54">
        <v>0</v>
      </c>
      <c r="BH29" s="54">
        <v>0</v>
      </c>
      <c r="BI29" s="49">
        <v>170</v>
      </c>
      <c r="BJ29" s="54">
        <v>1509.27</v>
      </c>
      <c r="BK29" s="54">
        <v>395155.51120000001</v>
      </c>
      <c r="BL29" s="54">
        <v>0</v>
      </c>
      <c r="BM29" s="54">
        <v>100</v>
      </c>
      <c r="BN29" s="54">
        <v>0</v>
      </c>
      <c r="BO29" s="54">
        <v>80</v>
      </c>
      <c r="BP29" s="54">
        <v>0</v>
      </c>
      <c r="BQ29" s="480" t="s">
        <v>666</v>
      </c>
    </row>
    <row r="30" spans="1:69" ht="33.65" customHeight="1" x14ac:dyDescent="0.35">
      <c r="A30" s="479">
        <v>43964</v>
      </c>
      <c r="B30" s="51">
        <v>8.5</v>
      </c>
      <c r="C30" s="52" t="s">
        <v>1305</v>
      </c>
      <c r="D30" s="52">
        <v>3191</v>
      </c>
      <c r="E30" s="52">
        <v>3167</v>
      </c>
      <c r="F30" s="52">
        <v>120</v>
      </c>
      <c r="G30" s="51">
        <v>1.51</v>
      </c>
      <c r="H30" s="52">
        <v>50</v>
      </c>
      <c r="I30" s="52">
        <v>56</v>
      </c>
      <c r="J30" s="52">
        <v>37</v>
      </c>
      <c r="K30" s="52">
        <v>26</v>
      </c>
      <c r="L30" s="52">
        <v>18</v>
      </c>
      <c r="M30" s="52">
        <v>5</v>
      </c>
      <c r="N30" s="52">
        <v>4</v>
      </c>
      <c r="O30" s="52">
        <v>19</v>
      </c>
      <c r="P30" s="52">
        <v>18</v>
      </c>
      <c r="Q30" s="52">
        <v>3</v>
      </c>
      <c r="R30" s="52">
        <v>5</v>
      </c>
      <c r="S30" s="52">
        <v>9</v>
      </c>
      <c r="T30" s="52">
        <v>15</v>
      </c>
      <c r="U30" s="51">
        <v>5.5</v>
      </c>
      <c r="V30" s="51">
        <v>0</v>
      </c>
      <c r="W30" s="52">
        <v>1</v>
      </c>
      <c r="X30" s="51">
        <v>20</v>
      </c>
      <c r="Y30" s="51">
        <v>0</v>
      </c>
      <c r="Z30" s="51">
        <v>80</v>
      </c>
      <c r="AA30" s="52">
        <v>6.5</v>
      </c>
      <c r="AB30" s="51">
        <v>0</v>
      </c>
      <c r="AC30" s="52">
        <v>10.5</v>
      </c>
      <c r="AD30" s="52">
        <v>32000</v>
      </c>
      <c r="AE30" s="51">
        <v>5</v>
      </c>
      <c r="AF30" s="52">
        <v>100</v>
      </c>
      <c r="AG30" s="51">
        <v>6.12</v>
      </c>
      <c r="AH30" s="51">
        <v>11.8</v>
      </c>
      <c r="AI30" s="52">
        <v>1.3</v>
      </c>
      <c r="AJ30" s="52">
        <v>1.2</v>
      </c>
      <c r="AK30" s="52">
        <v>2.8</v>
      </c>
      <c r="AL30" s="54">
        <v>3</v>
      </c>
      <c r="AM30" s="54">
        <v>1</v>
      </c>
      <c r="AN30" s="54">
        <v>0.75</v>
      </c>
      <c r="AO30" s="54">
        <v>0.75</v>
      </c>
      <c r="AP30" s="54">
        <v>0</v>
      </c>
      <c r="AQ30" s="54">
        <v>0</v>
      </c>
      <c r="AR30" s="54">
        <v>2</v>
      </c>
      <c r="AS30" s="54">
        <v>1</v>
      </c>
      <c r="AT30" s="54">
        <v>1</v>
      </c>
      <c r="AU30" s="54">
        <v>2</v>
      </c>
      <c r="AV30" s="54">
        <v>1.5</v>
      </c>
      <c r="AW30" s="54">
        <v>1.5</v>
      </c>
      <c r="AX30" s="54">
        <v>614</v>
      </c>
      <c r="AY30" s="54">
        <v>821</v>
      </c>
      <c r="AZ30" s="54">
        <v>1176</v>
      </c>
      <c r="BA30" s="54">
        <v>0</v>
      </c>
      <c r="BB30" s="54">
        <v>0</v>
      </c>
      <c r="BC30" s="54">
        <v>100</v>
      </c>
      <c r="BD30" s="54">
        <v>25</v>
      </c>
      <c r="BE30" s="54">
        <v>0</v>
      </c>
      <c r="BF30" s="54">
        <v>20</v>
      </c>
      <c r="BG30" s="54">
        <v>0</v>
      </c>
      <c r="BH30" s="54">
        <v>0</v>
      </c>
      <c r="BI30" s="49">
        <v>170</v>
      </c>
      <c r="BJ30" s="54">
        <v>0</v>
      </c>
      <c r="BK30" s="54">
        <v>395155.51120000001</v>
      </c>
      <c r="BL30" s="54">
        <v>0</v>
      </c>
      <c r="BM30" s="54">
        <v>125</v>
      </c>
      <c r="BN30" s="54">
        <v>0</v>
      </c>
      <c r="BO30" s="54">
        <v>100</v>
      </c>
      <c r="BP30" s="54">
        <v>0</v>
      </c>
      <c r="BQ30" s="480" t="s">
        <v>667</v>
      </c>
    </row>
    <row r="31" spans="1:69" ht="29" x14ac:dyDescent="0.35">
      <c r="A31" s="479">
        <v>43965</v>
      </c>
      <c r="B31" s="51">
        <v>8.5</v>
      </c>
      <c r="C31" s="52" t="s">
        <v>1305</v>
      </c>
      <c r="D31" s="52">
        <v>3191</v>
      </c>
      <c r="E31" s="52">
        <v>3167</v>
      </c>
      <c r="F31" s="52">
        <v>120</v>
      </c>
      <c r="G31" s="51">
        <v>1.51</v>
      </c>
      <c r="H31" s="52">
        <v>50</v>
      </c>
      <c r="I31" s="52">
        <v>56</v>
      </c>
      <c r="J31" s="52">
        <v>37</v>
      </c>
      <c r="K31" s="52">
        <v>26</v>
      </c>
      <c r="L31" s="52">
        <v>18</v>
      </c>
      <c r="M31" s="52">
        <v>5</v>
      </c>
      <c r="N31" s="52">
        <v>4</v>
      </c>
      <c r="O31" s="52">
        <v>19</v>
      </c>
      <c r="P31" s="52">
        <v>18</v>
      </c>
      <c r="Q31" s="52">
        <v>3</v>
      </c>
      <c r="R31" s="52">
        <v>5</v>
      </c>
      <c r="S31" s="52">
        <v>9</v>
      </c>
      <c r="T31" s="52">
        <v>15</v>
      </c>
      <c r="U31" s="51">
        <v>5.5</v>
      </c>
      <c r="V31" s="51">
        <v>0</v>
      </c>
      <c r="W31" s="52">
        <v>1</v>
      </c>
      <c r="X31" s="51">
        <v>20</v>
      </c>
      <c r="Y31" s="51">
        <v>0</v>
      </c>
      <c r="Z31" s="51">
        <v>80</v>
      </c>
      <c r="AA31" s="52">
        <v>6.5</v>
      </c>
      <c r="AB31" s="51">
        <v>0</v>
      </c>
      <c r="AC31" s="52">
        <v>10.5</v>
      </c>
      <c r="AD31" s="52">
        <v>32000</v>
      </c>
      <c r="AE31" s="51">
        <v>5</v>
      </c>
      <c r="AF31" s="52">
        <v>100</v>
      </c>
      <c r="AG31" s="51">
        <v>6.12</v>
      </c>
      <c r="AH31" s="51">
        <v>11.8</v>
      </c>
      <c r="AI31" s="52">
        <v>1.3</v>
      </c>
      <c r="AJ31" s="52">
        <v>1.2</v>
      </c>
      <c r="AK31" s="52">
        <v>2.8</v>
      </c>
      <c r="AL31" s="54">
        <v>3</v>
      </c>
      <c r="AM31" s="54">
        <v>1</v>
      </c>
      <c r="AN31" s="54">
        <v>0.75</v>
      </c>
      <c r="AO31" s="54">
        <v>0.75</v>
      </c>
      <c r="AP31" s="54">
        <v>0</v>
      </c>
      <c r="AQ31" s="54">
        <v>0</v>
      </c>
      <c r="AR31" s="54">
        <v>2</v>
      </c>
      <c r="AS31" s="54">
        <v>1</v>
      </c>
      <c r="AT31" s="54">
        <v>1</v>
      </c>
      <c r="AU31" s="54">
        <v>2</v>
      </c>
      <c r="AV31" s="54">
        <v>1.5</v>
      </c>
      <c r="AW31" s="54">
        <v>1.5</v>
      </c>
      <c r="AX31" s="54">
        <v>614</v>
      </c>
      <c r="AY31" s="54">
        <v>821</v>
      </c>
      <c r="AZ31" s="54">
        <v>1176</v>
      </c>
      <c r="BA31" s="54">
        <v>0</v>
      </c>
      <c r="BB31" s="54">
        <v>0</v>
      </c>
      <c r="BC31" s="54">
        <v>100</v>
      </c>
      <c r="BD31" s="54">
        <v>25</v>
      </c>
      <c r="BE31" s="54">
        <v>0</v>
      </c>
      <c r="BF31" s="54">
        <v>20</v>
      </c>
      <c r="BG31" s="54">
        <v>0</v>
      </c>
      <c r="BH31" s="54">
        <v>0</v>
      </c>
      <c r="BI31" s="49">
        <v>170</v>
      </c>
      <c r="BJ31" s="54">
        <v>134.19999999999999</v>
      </c>
      <c r="BK31" s="54">
        <v>395289.71120000002</v>
      </c>
      <c r="BL31" s="54">
        <v>0</v>
      </c>
      <c r="BM31" s="54">
        <v>150</v>
      </c>
      <c r="BN31" s="54">
        <v>0</v>
      </c>
      <c r="BO31" s="54">
        <v>120</v>
      </c>
      <c r="BP31" s="54">
        <v>0</v>
      </c>
      <c r="BQ31" s="480" t="s">
        <v>667</v>
      </c>
    </row>
    <row r="32" spans="1:69" ht="29" x14ac:dyDescent="0.35">
      <c r="A32" s="50">
        <v>43966</v>
      </c>
      <c r="B32" s="54">
        <v>6</v>
      </c>
      <c r="C32" s="54" t="s">
        <v>1306</v>
      </c>
      <c r="D32" s="52">
        <v>3233</v>
      </c>
      <c r="E32" s="52">
        <v>3209</v>
      </c>
      <c r="F32" s="52">
        <v>110</v>
      </c>
      <c r="G32" s="51">
        <v>1.05</v>
      </c>
      <c r="H32" s="52">
        <v>50</v>
      </c>
      <c r="I32" s="52">
        <v>50</v>
      </c>
      <c r="J32" s="52">
        <v>35</v>
      </c>
      <c r="K32" s="52">
        <v>28</v>
      </c>
      <c r="L32" s="52">
        <v>21</v>
      </c>
      <c r="M32" s="52">
        <v>6</v>
      </c>
      <c r="N32" s="52">
        <v>5</v>
      </c>
      <c r="O32" s="52">
        <v>15</v>
      </c>
      <c r="P32" s="52">
        <v>20</v>
      </c>
      <c r="Q32" s="52">
        <v>4</v>
      </c>
      <c r="R32" s="52">
        <v>5</v>
      </c>
      <c r="S32" s="52">
        <v>5</v>
      </c>
      <c r="T32" s="52">
        <v>6</v>
      </c>
      <c r="U32" s="51">
        <v>4.8</v>
      </c>
      <c r="V32" s="51">
        <v>0</v>
      </c>
      <c r="W32" s="52">
        <v>0.5</v>
      </c>
      <c r="X32" s="51">
        <v>4.5</v>
      </c>
      <c r="Y32" s="51">
        <v>0</v>
      </c>
      <c r="Z32" s="51">
        <v>95.5</v>
      </c>
      <c r="AA32" s="52">
        <v>1.25</v>
      </c>
      <c r="AB32" s="51">
        <v>0</v>
      </c>
      <c r="AC32" s="52">
        <v>9.6</v>
      </c>
      <c r="AD32" s="52">
        <v>30000</v>
      </c>
      <c r="AE32" s="51">
        <v>5</v>
      </c>
      <c r="AF32" s="52">
        <v>80</v>
      </c>
      <c r="AG32" s="51">
        <v>2.0099999999999998</v>
      </c>
      <c r="AH32" s="51">
        <v>11.8</v>
      </c>
      <c r="AI32" s="52">
        <v>1.3</v>
      </c>
      <c r="AJ32" s="52">
        <v>0.1</v>
      </c>
      <c r="AK32" s="52">
        <v>0.3</v>
      </c>
      <c r="AL32" s="54">
        <v>3</v>
      </c>
      <c r="AM32" s="54">
        <v>1</v>
      </c>
      <c r="AN32" s="54">
        <v>0.75</v>
      </c>
      <c r="AO32" s="54">
        <v>0.75</v>
      </c>
      <c r="AP32" s="54">
        <v>0</v>
      </c>
      <c r="AQ32" s="54">
        <v>0</v>
      </c>
      <c r="AR32" s="54">
        <v>2</v>
      </c>
      <c r="AS32" s="54">
        <v>1</v>
      </c>
      <c r="AT32" s="54">
        <v>1</v>
      </c>
      <c r="AU32" s="54">
        <v>2</v>
      </c>
      <c r="AV32" s="54">
        <v>1.5</v>
      </c>
      <c r="AW32" s="54">
        <v>1.5</v>
      </c>
      <c r="AX32" s="54">
        <v>614</v>
      </c>
      <c r="AY32" s="54">
        <v>821</v>
      </c>
      <c r="AZ32" s="54">
        <v>1176</v>
      </c>
      <c r="BA32" s="54">
        <v>0</v>
      </c>
      <c r="BB32" s="54">
        <v>0</v>
      </c>
      <c r="BC32" s="54">
        <v>100</v>
      </c>
      <c r="BD32" s="54">
        <v>25</v>
      </c>
      <c r="BE32" s="54">
        <v>0</v>
      </c>
      <c r="BF32" s="54">
        <v>20</v>
      </c>
      <c r="BG32" s="54">
        <v>0</v>
      </c>
      <c r="BH32" s="54">
        <v>0</v>
      </c>
      <c r="BI32" s="49">
        <v>170</v>
      </c>
      <c r="BJ32" s="56">
        <v>20174.740000000002</v>
      </c>
      <c r="BK32" s="55">
        <v>415464.45120000001</v>
      </c>
      <c r="BL32" s="54">
        <v>0</v>
      </c>
      <c r="BM32" s="54">
        <v>0</v>
      </c>
      <c r="BN32" s="54">
        <v>0</v>
      </c>
      <c r="BO32" s="54">
        <v>0</v>
      </c>
      <c r="BP32" s="54">
        <v>0</v>
      </c>
      <c r="BQ32" s="57" t="s">
        <v>1307</v>
      </c>
    </row>
    <row r="33" spans="1:69" ht="29" x14ac:dyDescent="0.35">
      <c r="A33" s="50">
        <v>43967</v>
      </c>
      <c r="B33" s="54">
        <v>6</v>
      </c>
      <c r="C33" s="54" t="s">
        <v>1306</v>
      </c>
      <c r="D33" s="52">
        <v>3457</v>
      </c>
      <c r="E33" s="52">
        <v>3430</v>
      </c>
      <c r="F33" s="52">
        <v>130</v>
      </c>
      <c r="G33" s="51">
        <v>1.05</v>
      </c>
      <c r="H33" s="52">
        <v>54</v>
      </c>
      <c r="I33" s="52">
        <v>56</v>
      </c>
      <c r="J33" s="52">
        <v>39</v>
      </c>
      <c r="K33" s="52">
        <v>32</v>
      </c>
      <c r="L33" s="52">
        <v>24</v>
      </c>
      <c r="M33" s="52">
        <v>6</v>
      </c>
      <c r="N33" s="52">
        <v>5</v>
      </c>
      <c r="O33" s="52">
        <v>17</v>
      </c>
      <c r="P33" s="52">
        <v>22</v>
      </c>
      <c r="Q33" s="52">
        <v>4</v>
      </c>
      <c r="R33" s="52">
        <v>6</v>
      </c>
      <c r="S33" s="52">
        <v>8</v>
      </c>
      <c r="T33" s="52">
        <v>9</v>
      </c>
      <c r="U33" s="51">
        <v>5.2</v>
      </c>
      <c r="V33" s="51">
        <v>0</v>
      </c>
      <c r="W33" s="52">
        <v>0.5</v>
      </c>
      <c r="X33" s="51">
        <v>4.5</v>
      </c>
      <c r="Y33" s="51">
        <v>0</v>
      </c>
      <c r="Z33" s="51">
        <v>95.5</v>
      </c>
      <c r="AA33" s="52">
        <v>1.25</v>
      </c>
      <c r="AB33" s="51">
        <v>0.1</v>
      </c>
      <c r="AC33" s="52">
        <v>9.4</v>
      </c>
      <c r="AD33" s="52">
        <v>29000</v>
      </c>
      <c r="AE33" s="51">
        <v>5</v>
      </c>
      <c r="AF33" s="52">
        <v>80</v>
      </c>
      <c r="AG33" s="51">
        <v>2.2000000000000002</v>
      </c>
      <c r="AH33" s="51">
        <v>11.8</v>
      </c>
      <c r="AI33" s="52">
        <v>1.3</v>
      </c>
      <c r="AJ33" s="52">
        <v>1</v>
      </c>
      <c r="AK33" s="52">
        <v>0.4</v>
      </c>
      <c r="AL33" s="54">
        <v>3</v>
      </c>
      <c r="AM33" s="54">
        <v>1</v>
      </c>
      <c r="AN33" s="54">
        <v>0.75</v>
      </c>
      <c r="AO33" s="54">
        <v>0.75</v>
      </c>
      <c r="AP33" s="54">
        <v>0</v>
      </c>
      <c r="AQ33" s="54">
        <v>0</v>
      </c>
      <c r="AR33" s="54">
        <v>2</v>
      </c>
      <c r="AS33" s="54">
        <v>1</v>
      </c>
      <c r="AT33" s="54">
        <v>1</v>
      </c>
      <c r="AU33" s="54">
        <v>2</v>
      </c>
      <c r="AV33" s="54">
        <v>1.5</v>
      </c>
      <c r="AW33" s="54">
        <v>1.5</v>
      </c>
      <c r="AX33" s="54">
        <v>614</v>
      </c>
      <c r="AY33" s="54">
        <v>821</v>
      </c>
      <c r="AZ33" s="54">
        <v>1176</v>
      </c>
      <c r="BA33" s="54">
        <v>0</v>
      </c>
      <c r="BB33" s="54">
        <v>0</v>
      </c>
      <c r="BC33" s="54">
        <v>100</v>
      </c>
      <c r="BD33" s="54">
        <v>25</v>
      </c>
      <c r="BE33" s="54">
        <v>0</v>
      </c>
      <c r="BF33" s="54">
        <v>20</v>
      </c>
      <c r="BG33" s="54">
        <v>0</v>
      </c>
      <c r="BH33" s="54">
        <v>0</v>
      </c>
      <c r="BI33" s="49">
        <v>170</v>
      </c>
      <c r="BJ33" s="56">
        <v>1439.35</v>
      </c>
      <c r="BK33" s="55">
        <v>416903.80119999999</v>
      </c>
      <c r="BL33" s="54">
        <v>0</v>
      </c>
      <c r="BM33" s="54">
        <v>0</v>
      </c>
      <c r="BN33" s="54">
        <v>0</v>
      </c>
      <c r="BO33" s="54">
        <v>0</v>
      </c>
      <c r="BP33" s="54">
        <v>0</v>
      </c>
      <c r="BQ33" s="57" t="s">
        <v>1308</v>
      </c>
    </row>
    <row r="34" spans="1:69" ht="21.65" customHeight="1" x14ac:dyDescent="0.35">
      <c r="A34" s="50"/>
      <c r="V34" s="51"/>
    </row>
    <row r="35" spans="1:69" ht="21.65" customHeight="1" x14ac:dyDescent="0.35">
      <c r="A35" s="50"/>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4CAA4-9867-470E-8850-BAB2B87A10DB}">
  <sheetPr codeName="Sheet3"/>
  <dimension ref="A1:P7"/>
  <sheetViews>
    <sheetView workbookViewId="0">
      <selection activeCell="L15" sqref="L15"/>
    </sheetView>
  </sheetViews>
  <sheetFormatPr defaultRowHeight="14.5" x14ac:dyDescent="0.35"/>
  <cols>
    <col min="1" max="1" width="9.54296875" customWidth="1"/>
    <col min="2" max="2" width="7.7265625" style="61" customWidth="1"/>
    <col min="3" max="3" width="10.26953125" style="64" customWidth="1"/>
    <col min="4" max="4" width="8.1796875" customWidth="1"/>
    <col min="5" max="5" width="11.6328125" style="66" customWidth="1"/>
    <col min="6" max="6" width="11.26953125" style="66" bestFit="1" customWidth="1"/>
    <col min="7" max="7" width="10.26953125" style="61" bestFit="1" customWidth="1"/>
    <col min="8" max="9" width="8.453125" customWidth="1"/>
    <col min="10" max="10" width="7.453125" customWidth="1"/>
    <col min="11" max="11" width="7.6328125" customWidth="1"/>
    <col min="12" max="12" width="8.54296875" customWidth="1"/>
    <col min="14" max="14" width="10.36328125" customWidth="1"/>
    <col min="16" max="16" width="52.81640625" customWidth="1"/>
  </cols>
  <sheetData>
    <row r="1" spans="1:16" ht="23" x14ac:dyDescent="0.35">
      <c r="A1" s="1" t="s">
        <v>8</v>
      </c>
      <c r="B1" s="1" t="s">
        <v>1270</v>
      </c>
      <c r="C1" s="1" t="s">
        <v>1271</v>
      </c>
      <c r="D1" s="1" t="s">
        <v>10</v>
      </c>
      <c r="E1" s="1" t="s">
        <v>486</v>
      </c>
      <c r="F1" s="1" t="s">
        <v>487</v>
      </c>
      <c r="G1" s="1" t="s">
        <v>1190</v>
      </c>
      <c r="H1" s="1" t="s">
        <v>1191</v>
      </c>
      <c r="I1" s="1" t="s">
        <v>1192</v>
      </c>
      <c r="J1" s="1" t="s">
        <v>1193</v>
      </c>
      <c r="K1" s="1" t="s">
        <v>529</v>
      </c>
      <c r="L1" s="1" t="s">
        <v>469</v>
      </c>
      <c r="M1" s="1" t="s">
        <v>1194</v>
      </c>
      <c r="N1" s="1" t="s">
        <v>530</v>
      </c>
      <c r="O1" s="1" t="s">
        <v>531</v>
      </c>
      <c r="P1" s="1" t="s">
        <v>488</v>
      </c>
    </row>
    <row r="2" spans="1:16" x14ac:dyDescent="0.35">
      <c r="A2" s="60">
        <v>43938</v>
      </c>
      <c r="B2" s="61">
        <v>26</v>
      </c>
      <c r="C2" s="64">
        <v>20</v>
      </c>
      <c r="D2" t="s">
        <v>640</v>
      </c>
      <c r="E2" s="2">
        <v>0.6875</v>
      </c>
      <c r="F2" s="2">
        <v>0.97916666666666663</v>
      </c>
      <c r="G2" s="61">
        <v>5</v>
      </c>
      <c r="H2">
        <v>258</v>
      </c>
      <c r="I2">
        <v>0</v>
      </c>
      <c r="J2">
        <v>256</v>
      </c>
      <c r="K2">
        <v>23</v>
      </c>
      <c r="L2" t="s">
        <v>638</v>
      </c>
      <c r="M2">
        <v>256</v>
      </c>
      <c r="N2">
        <f>23/5</f>
        <v>4.5999999999999996</v>
      </c>
      <c r="O2">
        <f>256/5</f>
        <v>51.2</v>
      </c>
      <c r="P2" t="s">
        <v>1134</v>
      </c>
    </row>
    <row r="3" spans="1:16" x14ac:dyDescent="0.35">
      <c r="A3" s="60">
        <v>43944</v>
      </c>
      <c r="B3" s="61">
        <v>17.5</v>
      </c>
      <c r="C3" s="64">
        <v>13.375</v>
      </c>
      <c r="D3" t="s">
        <v>640</v>
      </c>
      <c r="E3" s="2">
        <v>0.8125</v>
      </c>
      <c r="F3" s="2">
        <v>0</v>
      </c>
      <c r="G3" s="61">
        <v>4.5</v>
      </c>
      <c r="H3">
        <v>1054</v>
      </c>
      <c r="I3">
        <v>0</v>
      </c>
      <c r="J3">
        <v>283</v>
      </c>
      <c r="K3">
        <v>25</v>
      </c>
      <c r="L3" t="s">
        <v>777</v>
      </c>
      <c r="M3">
        <v>283</v>
      </c>
      <c r="N3" s="477">
        <f>K3/G3</f>
        <v>5.5555555555555554</v>
      </c>
      <c r="O3" s="61">
        <f>M3/G3</f>
        <v>62.888888888888886</v>
      </c>
      <c r="P3" t="s">
        <v>1143</v>
      </c>
    </row>
    <row r="4" spans="1:16" x14ac:dyDescent="0.35">
      <c r="A4" s="60">
        <v>43944</v>
      </c>
      <c r="B4" s="61">
        <v>17.5</v>
      </c>
      <c r="C4" s="64">
        <v>13.375</v>
      </c>
      <c r="D4" t="s">
        <v>640</v>
      </c>
      <c r="E4" s="2">
        <v>0</v>
      </c>
      <c r="F4" s="2">
        <v>0.41666666666666669</v>
      </c>
      <c r="G4" s="61">
        <v>10</v>
      </c>
      <c r="H4">
        <v>1054</v>
      </c>
      <c r="I4">
        <v>283</v>
      </c>
      <c r="J4">
        <v>1052</v>
      </c>
      <c r="K4">
        <v>65</v>
      </c>
      <c r="L4" t="s">
        <v>641</v>
      </c>
      <c r="M4">
        <v>769</v>
      </c>
      <c r="N4" s="477">
        <f>K4/G4</f>
        <v>6.5</v>
      </c>
      <c r="O4" s="61">
        <f>M4/G4</f>
        <v>76.900000000000006</v>
      </c>
      <c r="P4" t="s">
        <v>1144</v>
      </c>
    </row>
    <row r="5" spans="1:16" x14ac:dyDescent="0.35">
      <c r="A5" s="10">
        <v>43957</v>
      </c>
      <c r="B5" s="61">
        <v>12.25</v>
      </c>
      <c r="C5" s="64">
        <v>9.625</v>
      </c>
      <c r="D5" t="s">
        <v>640</v>
      </c>
      <c r="E5" s="2">
        <v>6.25E-2</v>
      </c>
      <c r="F5" s="2">
        <v>0</v>
      </c>
      <c r="G5" s="61">
        <v>22.5</v>
      </c>
      <c r="H5">
        <v>2891</v>
      </c>
      <c r="I5">
        <v>0</v>
      </c>
      <c r="J5">
        <v>2530</v>
      </c>
      <c r="K5">
        <v>221</v>
      </c>
      <c r="L5" t="s">
        <v>638</v>
      </c>
      <c r="M5">
        <v>2530</v>
      </c>
      <c r="N5" s="477">
        <f>K5/G5</f>
        <v>9.8222222222222229</v>
      </c>
      <c r="O5" s="61">
        <f>M5/G5</f>
        <v>112.44444444444444</v>
      </c>
      <c r="P5" t="s">
        <v>1171</v>
      </c>
    </row>
    <row r="6" spans="1:16" x14ac:dyDescent="0.35">
      <c r="A6" s="10">
        <v>43958</v>
      </c>
      <c r="B6" s="61">
        <v>12.25</v>
      </c>
      <c r="C6" s="64">
        <v>9.625</v>
      </c>
      <c r="D6" t="s">
        <v>640</v>
      </c>
      <c r="E6" s="2">
        <v>0</v>
      </c>
      <c r="F6" s="2">
        <v>0.125</v>
      </c>
      <c r="G6" s="61">
        <v>3</v>
      </c>
      <c r="H6">
        <v>2891</v>
      </c>
      <c r="I6">
        <v>2530</v>
      </c>
      <c r="J6">
        <v>2885</v>
      </c>
      <c r="K6">
        <v>31</v>
      </c>
      <c r="L6" t="s">
        <v>641</v>
      </c>
      <c r="M6">
        <f>ABS(I6-J6)</f>
        <v>355</v>
      </c>
      <c r="N6" s="477">
        <f>K6/G6</f>
        <v>10.333333333333334</v>
      </c>
      <c r="O6" s="61">
        <f>M6/G6</f>
        <v>118.33333333333333</v>
      </c>
      <c r="P6" t="s">
        <v>793</v>
      </c>
    </row>
    <row r="7" spans="1:16" x14ac:dyDescent="0.35">
      <c r="A7" s="10">
        <v>43963</v>
      </c>
      <c r="B7" s="61">
        <v>8.5</v>
      </c>
      <c r="C7" s="64">
        <v>7</v>
      </c>
      <c r="D7" t="s">
        <v>640</v>
      </c>
      <c r="E7" s="2">
        <v>0.5</v>
      </c>
      <c r="F7" s="2">
        <v>0</v>
      </c>
      <c r="G7" s="61">
        <v>15</v>
      </c>
      <c r="H7">
        <v>3191</v>
      </c>
      <c r="I7">
        <v>0</v>
      </c>
      <c r="J7">
        <v>3191</v>
      </c>
      <c r="K7">
        <v>38</v>
      </c>
      <c r="L7" t="s">
        <v>638</v>
      </c>
      <c r="M7">
        <f>ABS(I7-J7)</f>
        <v>3191</v>
      </c>
      <c r="N7" s="477">
        <f>K7/4</f>
        <v>9.5</v>
      </c>
      <c r="O7" s="61">
        <f>M7/G7</f>
        <v>212.73333333333332</v>
      </c>
      <c r="P7" t="s">
        <v>1181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C8437-8A3B-42BB-BDD8-29C7B74ED7AB}">
  <sheetPr codeName="Sheet4"/>
  <dimension ref="A1:Y5"/>
  <sheetViews>
    <sheetView workbookViewId="0">
      <selection activeCell="N8" sqref="N8"/>
    </sheetView>
  </sheetViews>
  <sheetFormatPr defaultRowHeight="14.5" x14ac:dyDescent="0.35"/>
  <cols>
    <col min="1" max="1" width="9.54296875" customWidth="1"/>
    <col min="2" max="2" width="8.453125" style="61" customWidth="1"/>
    <col min="3" max="3" width="7" style="64" customWidth="1"/>
    <col min="4" max="4" width="11.1796875" customWidth="1"/>
    <col min="5" max="5" width="15.54296875" customWidth="1"/>
    <col min="6" max="6" width="11.26953125" style="66" bestFit="1" customWidth="1"/>
    <col min="7" max="7" width="12.453125" style="66" bestFit="1" customWidth="1"/>
    <col min="8" max="8" width="8.08984375" style="61" customWidth="1"/>
    <col min="9" max="9" width="8.6328125" customWidth="1"/>
    <col min="10" max="10" width="7.7265625" customWidth="1"/>
    <col min="11" max="11" width="7.54296875" customWidth="1"/>
    <col min="12" max="12" width="9" style="61" customWidth="1"/>
    <col min="13" max="14" width="8.7265625" style="61"/>
    <col min="15" max="15" width="8" style="61" customWidth="1"/>
    <col min="16" max="16" width="7.54296875" customWidth="1"/>
    <col min="17" max="18" width="7.90625" customWidth="1"/>
    <col min="19" max="20" width="11" customWidth="1"/>
    <col min="21" max="21" width="11.6328125" customWidth="1"/>
    <col min="22" max="24" width="11" customWidth="1"/>
    <col min="25" max="25" width="50.1796875" customWidth="1"/>
  </cols>
  <sheetData>
    <row r="1" spans="1:25" ht="23" x14ac:dyDescent="0.35">
      <c r="A1" s="1" t="s">
        <v>8</v>
      </c>
      <c r="B1" s="1" t="s">
        <v>1189</v>
      </c>
      <c r="C1" s="1" t="s">
        <v>1272</v>
      </c>
      <c r="D1" s="1" t="s">
        <v>1273</v>
      </c>
      <c r="E1" s="1" t="s">
        <v>10</v>
      </c>
      <c r="F1" s="1" t="s">
        <v>486</v>
      </c>
      <c r="G1" s="1" t="s">
        <v>487</v>
      </c>
      <c r="H1" s="1" t="s">
        <v>1190</v>
      </c>
      <c r="I1" s="1" t="s">
        <v>1191</v>
      </c>
      <c r="J1" s="1" t="s">
        <v>1274</v>
      </c>
      <c r="K1" s="1" t="s">
        <v>1183</v>
      </c>
      <c r="L1" s="1" t="s">
        <v>1275</v>
      </c>
      <c r="M1" s="1" t="s">
        <v>1276</v>
      </c>
      <c r="N1" s="1" t="s">
        <v>1277</v>
      </c>
      <c r="O1" s="1" t="s">
        <v>1278</v>
      </c>
      <c r="P1" s="1" t="s">
        <v>1279</v>
      </c>
      <c r="Q1" s="1" t="s">
        <v>1280</v>
      </c>
      <c r="R1" s="1" t="s">
        <v>1281</v>
      </c>
      <c r="S1" s="1" t="s">
        <v>1282</v>
      </c>
      <c r="T1" s="1" t="s">
        <v>1283</v>
      </c>
      <c r="U1" s="1" t="s">
        <v>1284</v>
      </c>
      <c r="V1" s="1" t="s">
        <v>1285</v>
      </c>
      <c r="W1" s="1" t="s">
        <v>1286</v>
      </c>
      <c r="X1" s="1" t="s">
        <v>1287</v>
      </c>
      <c r="Y1" s="1" t="s">
        <v>488</v>
      </c>
    </row>
    <row r="2" spans="1:25" x14ac:dyDescent="0.35">
      <c r="A2" s="60">
        <v>43939</v>
      </c>
      <c r="B2" s="61">
        <v>26</v>
      </c>
      <c r="C2" s="64">
        <v>20</v>
      </c>
      <c r="D2">
        <v>17</v>
      </c>
      <c r="E2" t="s">
        <v>1135</v>
      </c>
      <c r="F2" s="2">
        <v>0.16666666666666666</v>
      </c>
      <c r="G2" s="2">
        <v>0.25</v>
      </c>
      <c r="H2" s="61">
        <v>2</v>
      </c>
      <c r="I2">
        <v>258</v>
      </c>
      <c r="J2">
        <v>225</v>
      </c>
      <c r="K2">
        <v>75</v>
      </c>
      <c r="L2">
        <v>9.17</v>
      </c>
      <c r="M2">
        <v>13</v>
      </c>
      <c r="N2">
        <v>15.8</v>
      </c>
      <c r="O2">
        <v>15.8</v>
      </c>
      <c r="P2">
        <v>80</v>
      </c>
      <c r="Q2">
        <v>315</v>
      </c>
      <c r="R2">
        <v>100</v>
      </c>
      <c r="S2">
        <v>13</v>
      </c>
      <c r="T2">
        <v>4</v>
      </c>
      <c r="V2">
        <v>80</v>
      </c>
      <c r="W2">
        <v>60</v>
      </c>
      <c r="X2" t="s">
        <v>1137</v>
      </c>
      <c r="Y2" t="s">
        <v>1136</v>
      </c>
    </row>
    <row r="3" spans="1:25" x14ac:dyDescent="0.35">
      <c r="A3" s="60">
        <v>43944</v>
      </c>
      <c r="B3" s="61">
        <v>17.5</v>
      </c>
      <c r="C3" s="64">
        <v>13.375</v>
      </c>
      <c r="D3">
        <v>256</v>
      </c>
      <c r="E3" t="s">
        <v>1135</v>
      </c>
      <c r="F3" s="2">
        <v>0.58333333333333337</v>
      </c>
      <c r="G3" s="2">
        <v>0.77083333333333337</v>
      </c>
      <c r="H3" s="61">
        <v>4.5</v>
      </c>
      <c r="I3">
        <v>1054</v>
      </c>
      <c r="J3">
        <v>472</v>
      </c>
      <c r="K3">
        <v>50</v>
      </c>
      <c r="L3">
        <v>12.25</v>
      </c>
      <c r="M3">
        <v>14</v>
      </c>
      <c r="N3">
        <v>15.2</v>
      </c>
      <c r="O3">
        <v>16.2</v>
      </c>
      <c r="P3">
        <v>100</v>
      </c>
      <c r="Q3">
        <v>440</v>
      </c>
      <c r="R3">
        <v>150</v>
      </c>
      <c r="S3">
        <v>489</v>
      </c>
      <c r="W3">
        <v>90</v>
      </c>
      <c r="X3" t="s">
        <v>1137</v>
      </c>
      <c r="Y3" t="s">
        <v>1145</v>
      </c>
    </row>
    <row r="4" spans="1:25" x14ac:dyDescent="0.35">
      <c r="A4" s="10">
        <v>43958</v>
      </c>
      <c r="B4" s="61">
        <v>12.25</v>
      </c>
      <c r="C4" s="64">
        <v>9.625</v>
      </c>
      <c r="D4">
        <v>1052</v>
      </c>
      <c r="E4" t="s">
        <v>1135</v>
      </c>
      <c r="F4" s="2">
        <v>0.5</v>
      </c>
      <c r="G4" s="2">
        <v>0.75</v>
      </c>
      <c r="H4" s="61">
        <v>6</v>
      </c>
      <c r="I4">
        <v>2891</v>
      </c>
      <c r="J4">
        <v>554</v>
      </c>
      <c r="K4">
        <v>30</v>
      </c>
      <c r="L4">
        <v>15.6</v>
      </c>
      <c r="M4">
        <v>16.5</v>
      </c>
      <c r="N4">
        <v>17.399999999999999</v>
      </c>
      <c r="O4">
        <v>17.399999999999999</v>
      </c>
      <c r="P4">
        <v>150</v>
      </c>
      <c r="Q4">
        <v>490</v>
      </c>
      <c r="R4">
        <v>199</v>
      </c>
      <c r="S4">
        <v>657</v>
      </c>
      <c r="W4">
        <v>130</v>
      </c>
      <c r="X4" t="s">
        <v>1137</v>
      </c>
      <c r="Y4" t="s">
        <v>1172</v>
      </c>
    </row>
    <row r="5" spans="1:25" x14ac:dyDescent="0.35">
      <c r="A5" s="10">
        <v>43964</v>
      </c>
      <c r="B5" s="61">
        <v>8.5</v>
      </c>
      <c r="C5" s="64">
        <v>7</v>
      </c>
      <c r="D5">
        <v>2885</v>
      </c>
      <c r="E5" t="s">
        <v>1135</v>
      </c>
      <c r="F5" s="2">
        <v>0.40625</v>
      </c>
      <c r="G5" s="2">
        <v>0.45833333333333331</v>
      </c>
      <c r="H5" s="61">
        <v>1.25</v>
      </c>
      <c r="I5">
        <v>3191</v>
      </c>
      <c r="J5">
        <v>40</v>
      </c>
      <c r="K5">
        <v>50</v>
      </c>
      <c r="L5" s="61">
        <v>12.75</v>
      </c>
      <c r="M5" s="61">
        <v>14</v>
      </c>
      <c r="O5" s="61">
        <v>15.8</v>
      </c>
      <c r="P5">
        <v>70</v>
      </c>
      <c r="R5" s="65">
        <v>63</v>
      </c>
      <c r="S5" s="65">
        <v>216</v>
      </c>
      <c r="U5">
        <v>15</v>
      </c>
      <c r="X5" t="s">
        <v>1137</v>
      </c>
      <c r="Y5" t="s">
        <v>1182</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00891-958B-4AAD-8F62-DA432357CCBB}">
  <sheetPr codeName="Sheet9"/>
  <dimension ref="A1:I26"/>
  <sheetViews>
    <sheetView workbookViewId="0">
      <selection activeCell="F5" sqref="F5"/>
    </sheetView>
  </sheetViews>
  <sheetFormatPr defaultRowHeight="14.5" x14ac:dyDescent="0.35"/>
  <cols>
    <col min="1" max="1" width="9.36328125" customWidth="1"/>
    <col min="2" max="2" width="8.7265625" style="61"/>
    <col min="3" max="3" width="16.453125" bestFit="1" customWidth="1"/>
    <col min="4" max="4" width="9.36328125" customWidth="1"/>
    <col min="5" max="6" width="11.26953125" bestFit="1" customWidth="1"/>
    <col min="7" max="7" width="10.26953125" style="61" bestFit="1" customWidth="1"/>
    <col min="8" max="8" width="10.453125" customWidth="1"/>
    <col min="9" max="9" width="83.36328125" customWidth="1"/>
  </cols>
  <sheetData>
    <row r="1" spans="1:9" x14ac:dyDescent="0.35">
      <c r="A1" s="1" t="s">
        <v>8</v>
      </c>
      <c r="B1" s="1" t="s">
        <v>1189</v>
      </c>
      <c r="C1" s="1" t="s">
        <v>9</v>
      </c>
      <c r="D1" s="1" t="s">
        <v>10</v>
      </c>
      <c r="E1" s="1" t="s">
        <v>486</v>
      </c>
      <c r="F1" s="1" t="s">
        <v>487</v>
      </c>
      <c r="G1" s="1" t="s">
        <v>1190</v>
      </c>
      <c r="H1" s="1" t="s">
        <v>1191</v>
      </c>
      <c r="I1" s="1" t="s">
        <v>488</v>
      </c>
    </row>
    <row r="2" spans="1:9" x14ac:dyDescent="0.35">
      <c r="A2" s="60">
        <v>43939</v>
      </c>
      <c r="B2" s="61">
        <v>26</v>
      </c>
      <c r="C2" s="64" t="s">
        <v>1078</v>
      </c>
      <c r="D2" t="s">
        <v>280</v>
      </c>
      <c r="E2" s="2">
        <v>0.41666666666666669</v>
      </c>
      <c r="F2" s="2">
        <v>0.47916666666666669</v>
      </c>
      <c r="G2" s="61">
        <v>1</v>
      </c>
      <c r="H2">
        <v>258</v>
      </c>
      <c r="I2" t="s">
        <v>670</v>
      </c>
    </row>
    <row r="3" spans="1:9" x14ac:dyDescent="0.35">
      <c r="A3" s="60">
        <v>43939</v>
      </c>
      <c r="B3" s="61">
        <v>26</v>
      </c>
      <c r="C3" s="64" t="s">
        <v>1078</v>
      </c>
      <c r="D3" t="s">
        <v>254</v>
      </c>
      <c r="E3" s="2">
        <v>0.47916666666666669</v>
      </c>
      <c r="F3" s="2" t="s">
        <v>1139</v>
      </c>
      <c r="G3" s="61">
        <v>6</v>
      </c>
      <c r="H3">
        <v>258</v>
      </c>
      <c r="I3" t="s">
        <v>1138</v>
      </c>
    </row>
    <row r="4" spans="1:9" x14ac:dyDescent="0.35">
      <c r="A4" s="60">
        <v>43939</v>
      </c>
      <c r="B4" s="61">
        <v>26</v>
      </c>
      <c r="C4" s="64" t="s">
        <v>1078</v>
      </c>
      <c r="D4" t="s">
        <v>254</v>
      </c>
      <c r="E4" s="2" t="s">
        <v>1139</v>
      </c>
      <c r="F4" s="2" t="s">
        <v>1140</v>
      </c>
      <c r="G4" s="61">
        <v>5</v>
      </c>
      <c r="H4">
        <v>258</v>
      </c>
      <c r="I4" t="s">
        <v>1159</v>
      </c>
    </row>
    <row r="5" spans="1:9" x14ac:dyDescent="0.35">
      <c r="A5" s="60">
        <v>43940</v>
      </c>
      <c r="B5" s="61">
        <v>26</v>
      </c>
      <c r="C5" s="64" t="s">
        <v>1078</v>
      </c>
      <c r="D5" t="s">
        <v>1141</v>
      </c>
      <c r="E5" s="2" t="s">
        <v>1140</v>
      </c>
      <c r="F5" s="2">
        <v>0</v>
      </c>
      <c r="G5" s="61">
        <v>1.5</v>
      </c>
      <c r="H5">
        <v>258</v>
      </c>
      <c r="I5" t="s">
        <v>1160</v>
      </c>
    </row>
    <row r="6" spans="1:9" x14ac:dyDescent="0.35">
      <c r="A6" s="60">
        <v>43940</v>
      </c>
      <c r="B6" s="61">
        <v>26</v>
      </c>
      <c r="C6" s="64" t="s">
        <v>1078</v>
      </c>
      <c r="D6" t="s">
        <v>1141</v>
      </c>
      <c r="E6" s="2">
        <v>0</v>
      </c>
      <c r="F6" s="2">
        <v>4.1666666666666699E-2</v>
      </c>
      <c r="G6" s="61">
        <v>1</v>
      </c>
      <c r="H6">
        <v>258</v>
      </c>
      <c r="I6" t="s">
        <v>671</v>
      </c>
    </row>
    <row r="7" spans="1:9" x14ac:dyDescent="0.35">
      <c r="A7" s="60">
        <v>43941</v>
      </c>
      <c r="B7" s="61">
        <v>26</v>
      </c>
      <c r="C7" s="64" t="s">
        <v>234</v>
      </c>
      <c r="D7" t="s">
        <v>1142</v>
      </c>
      <c r="E7" s="2">
        <v>4.1666666666666699E-2</v>
      </c>
      <c r="F7" s="2">
        <v>0.28125</v>
      </c>
      <c r="G7" s="61">
        <v>5.75</v>
      </c>
      <c r="H7">
        <v>258</v>
      </c>
      <c r="I7" t="s">
        <v>682</v>
      </c>
    </row>
    <row r="8" spans="1:9" x14ac:dyDescent="0.35">
      <c r="A8" s="60">
        <v>43944</v>
      </c>
      <c r="B8" s="61">
        <v>17.5</v>
      </c>
      <c r="C8" s="64" t="s">
        <v>1078</v>
      </c>
      <c r="D8" t="s">
        <v>254</v>
      </c>
      <c r="E8" s="2">
        <v>0.8125</v>
      </c>
      <c r="F8" s="2">
        <v>0.875</v>
      </c>
      <c r="G8" s="61">
        <v>1.5</v>
      </c>
      <c r="H8">
        <v>1054</v>
      </c>
      <c r="I8" t="s">
        <v>1157</v>
      </c>
    </row>
    <row r="9" spans="1:9" x14ac:dyDescent="0.35">
      <c r="A9" s="60">
        <v>43944</v>
      </c>
      <c r="B9" s="61">
        <v>17.5</v>
      </c>
      <c r="C9" s="64" t="s">
        <v>1078</v>
      </c>
      <c r="D9" t="s">
        <v>1147</v>
      </c>
      <c r="E9" s="2">
        <v>0.875</v>
      </c>
      <c r="F9" s="2">
        <v>0.91666666666666663</v>
      </c>
      <c r="G9" s="61">
        <v>1</v>
      </c>
      <c r="H9">
        <v>1054</v>
      </c>
      <c r="I9" t="s">
        <v>1146</v>
      </c>
    </row>
    <row r="10" spans="1:9" x14ac:dyDescent="0.35">
      <c r="A10" s="60">
        <v>43945</v>
      </c>
      <c r="B10" s="61">
        <v>17.5</v>
      </c>
      <c r="C10" s="64" t="s">
        <v>1078</v>
      </c>
      <c r="D10" t="s">
        <v>254</v>
      </c>
      <c r="E10" s="2">
        <v>0.91666666666666663</v>
      </c>
      <c r="F10" s="2">
        <v>3.125E-2</v>
      </c>
      <c r="G10" s="61">
        <v>2.75</v>
      </c>
      <c r="H10">
        <v>1054</v>
      </c>
      <c r="I10" t="s">
        <v>1158</v>
      </c>
    </row>
    <row r="11" spans="1:9" x14ac:dyDescent="0.35">
      <c r="A11" s="60">
        <v>43945</v>
      </c>
      <c r="B11" s="61">
        <v>17.5</v>
      </c>
      <c r="C11" s="64" t="s">
        <v>1078</v>
      </c>
      <c r="D11" t="s">
        <v>1148</v>
      </c>
      <c r="E11" s="2">
        <v>3.125E-2</v>
      </c>
      <c r="F11" s="2">
        <v>0.125</v>
      </c>
      <c r="G11" s="61">
        <v>2.25</v>
      </c>
      <c r="H11">
        <v>1054</v>
      </c>
      <c r="I11" t="s">
        <v>724</v>
      </c>
    </row>
    <row r="12" spans="1:9" x14ac:dyDescent="0.35">
      <c r="A12" s="60">
        <v>43945</v>
      </c>
      <c r="B12" s="61">
        <v>17.5</v>
      </c>
      <c r="C12" s="64" t="s">
        <v>234</v>
      </c>
      <c r="D12" t="s">
        <v>1151</v>
      </c>
      <c r="E12" s="2">
        <v>0.125</v>
      </c>
      <c r="F12" s="2">
        <v>0.52083333333333337</v>
      </c>
      <c r="G12" s="61">
        <v>9.5</v>
      </c>
      <c r="H12">
        <v>1054</v>
      </c>
      <c r="I12" t="s">
        <v>1149</v>
      </c>
    </row>
    <row r="13" spans="1:9" x14ac:dyDescent="0.35">
      <c r="A13" s="60">
        <v>43945</v>
      </c>
      <c r="B13" s="61">
        <v>17.5</v>
      </c>
      <c r="C13" s="64" t="s">
        <v>234</v>
      </c>
      <c r="D13" t="s">
        <v>344</v>
      </c>
      <c r="E13" s="2">
        <v>0.52083333333333337</v>
      </c>
      <c r="F13" s="2">
        <v>0.875</v>
      </c>
      <c r="G13" s="61">
        <v>8.5</v>
      </c>
      <c r="H13">
        <v>1054</v>
      </c>
      <c r="I13" t="s">
        <v>1152</v>
      </c>
    </row>
    <row r="14" spans="1:9" x14ac:dyDescent="0.35">
      <c r="A14" s="60">
        <v>43945</v>
      </c>
      <c r="B14" s="61">
        <v>17.5</v>
      </c>
      <c r="C14" s="64" t="s">
        <v>234</v>
      </c>
      <c r="D14" t="s">
        <v>280</v>
      </c>
      <c r="E14" s="2">
        <v>0.875</v>
      </c>
      <c r="F14" s="2">
        <v>0.9375</v>
      </c>
      <c r="G14" s="61">
        <v>1.5</v>
      </c>
      <c r="H14">
        <v>1054</v>
      </c>
      <c r="I14" t="s">
        <v>725</v>
      </c>
    </row>
    <row r="15" spans="1:9" x14ac:dyDescent="0.35">
      <c r="A15" s="60">
        <v>43946</v>
      </c>
      <c r="B15" s="61">
        <v>17.5</v>
      </c>
      <c r="C15" s="64" t="s">
        <v>1154</v>
      </c>
      <c r="D15" t="s">
        <v>1153</v>
      </c>
      <c r="E15" s="2">
        <v>0.9375</v>
      </c>
      <c r="F15" s="2">
        <v>4.1666666666666664E-2</v>
      </c>
      <c r="G15" s="61">
        <v>2.5</v>
      </c>
      <c r="H15">
        <v>1054</v>
      </c>
      <c r="I15" t="s">
        <v>726</v>
      </c>
    </row>
    <row r="16" spans="1:9" x14ac:dyDescent="0.35">
      <c r="A16" s="60">
        <v>43947</v>
      </c>
      <c r="B16" s="61">
        <v>12.25</v>
      </c>
      <c r="C16" s="64" t="s">
        <v>1154</v>
      </c>
      <c r="D16" t="s">
        <v>1156</v>
      </c>
      <c r="E16" s="2">
        <v>0.8125</v>
      </c>
      <c r="F16" s="2">
        <v>5.2083333333333336E-2</v>
      </c>
      <c r="G16" s="61">
        <v>5.75</v>
      </c>
      <c r="H16">
        <v>1084</v>
      </c>
      <c r="I16" t="s">
        <v>1155</v>
      </c>
    </row>
    <row r="17" spans="1:9" x14ac:dyDescent="0.35">
      <c r="A17" s="10">
        <v>43958</v>
      </c>
      <c r="B17" s="61">
        <v>12.25</v>
      </c>
      <c r="C17" s="64" t="s">
        <v>1078</v>
      </c>
      <c r="D17" t="s">
        <v>254</v>
      </c>
      <c r="E17" s="2">
        <v>0.79166666666666663</v>
      </c>
      <c r="F17" s="2">
        <v>0.85416666666666663</v>
      </c>
      <c r="G17" s="61">
        <v>1.5</v>
      </c>
      <c r="H17">
        <v>2891</v>
      </c>
      <c r="I17" t="s">
        <v>1173</v>
      </c>
    </row>
    <row r="18" spans="1:9" x14ac:dyDescent="0.35">
      <c r="A18" s="10">
        <v>43958</v>
      </c>
      <c r="B18" s="61">
        <v>12.25</v>
      </c>
      <c r="C18" s="64" t="s">
        <v>1078</v>
      </c>
      <c r="D18" t="s">
        <v>1147</v>
      </c>
      <c r="E18" s="2">
        <v>0.85416666666666663</v>
      </c>
      <c r="F18" s="2">
        <v>0.89583333333333304</v>
      </c>
      <c r="G18" s="61">
        <v>1</v>
      </c>
      <c r="H18">
        <v>2891</v>
      </c>
      <c r="I18" t="s">
        <v>1174</v>
      </c>
    </row>
    <row r="19" spans="1:9" x14ac:dyDescent="0.35">
      <c r="A19" s="10">
        <v>43959</v>
      </c>
      <c r="B19" s="61">
        <v>12.25</v>
      </c>
      <c r="C19" s="64" t="s">
        <v>1078</v>
      </c>
      <c r="D19" t="s">
        <v>254</v>
      </c>
      <c r="E19" s="2">
        <v>0.89583333333333304</v>
      </c>
      <c r="F19" s="2">
        <v>0</v>
      </c>
      <c r="G19" s="61">
        <v>2.5</v>
      </c>
      <c r="H19">
        <v>2891</v>
      </c>
      <c r="I19" t="s">
        <v>1175</v>
      </c>
    </row>
    <row r="20" spans="1:9" x14ac:dyDescent="0.35">
      <c r="A20" s="10">
        <v>43959</v>
      </c>
      <c r="B20" s="61">
        <v>12.25</v>
      </c>
      <c r="C20" s="64" t="s">
        <v>1078</v>
      </c>
      <c r="D20" t="s">
        <v>1150</v>
      </c>
      <c r="E20" s="2">
        <v>0</v>
      </c>
      <c r="F20" s="2">
        <v>0.10416666666666667</v>
      </c>
      <c r="G20" s="61">
        <v>2.5</v>
      </c>
      <c r="H20">
        <v>2891</v>
      </c>
      <c r="I20" t="s">
        <v>1176</v>
      </c>
    </row>
    <row r="21" spans="1:9" x14ac:dyDescent="0.35">
      <c r="A21" s="10">
        <v>43959</v>
      </c>
      <c r="B21" s="61">
        <v>12.25</v>
      </c>
      <c r="C21" s="64" t="s">
        <v>1078</v>
      </c>
      <c r="D21" t="s">
        <v>344</v>
      </c>
      <c r="E21" s="2">
        <v>0.10416666666666667</v>
      </c>
      <c r="F21" s="2">
        <v>0.15625</v>
      </c>
      <c r="G21" s="61">
        <v>1.25</v>
      </c>
      <c r="H21">
        <v>2891</v>
      </c>
      <c r="I21" t="s">
        <v>1177</v>
      </c>
    </row>
    <row r="22" spans="1:9" x14ac:dyDescent="0.35">
      <c r="A22" s="10">
        <v>43959</v>
      </c>
      <c r="B22" s="61">
        <v>12.25</v>
      </c>
      <c r="C22" s="64" t="s">
        <v>234</v>
      </c>
      <c r="D22" t="s">
        <v>1151</v>
      </c>
      <c r="E22" s="2">
        <v>0.15625</v>
      </c>
      <c r="F22" s="2">
        <v>0.35416666666666669</v>
      </c>
      <c r="G22" s="61">
        <v>4.75</v>
      </c>
      <c r="H22">
        <v>2891</v>
      </c>
      <c r="I22" t="s">
        <v>1178</v>
      </c>
    </row>
    <row r="23" spans="1:9" x14ac:dyDescent="0.35">
      <c r="A23" s="10">
        <v>43959</v>
      </c>
      <c r="B23" s="61">
        <v>12.25</v>
      </c>
      <c r="C23" s="64" t="s">
        <v>234</v>
      </c>
      <c r="D23" t="s">
        <v>344</v>
      </c>
      <c r="E23" s="2">
        <v>0.35416666666666669</v>
      </c>
      <c r="F23" s="2">
        <v>0.58333333333333337</v>
      </c>
      <c r="G23" s="61">
        <v>5.5</v>
      </c>
      <c r="H23">
        <v>2891</v>
      </c>
      <c r="I23" t="s">
        <v>1179</v>
      </c>
    </row>
    <row r="24" spans="1:9" x14ac:dyDescent="0.35">
      <c r="A24" s="10">
        <v>43959</v>
      </c>
      <c r="B24" s="61">
        <v>12.25</v>
      </c>
      <c r="C24" s="64" t="s">
        <v>1154</v>
      </c>
      <c r="D24" t="s">
        <v>1153</v>
      </c>
      <c r="E24" s="2">
        <v>0.58333333333333337</v>
      </c>
      <c r="F24" s="2">
        <v>0.66666666666666663</v>
      </c>
      <c r="G24" s="61">
        <v>2</v>
      </c>
      <c r="H24">
        <v>2891</v>
      </c>
      <c r="I24" t="s">
        <v>808</v>
      </c>
    </row>
    <row r="25" spans="1:9" x14ac:dyDescent="0.35">
      <c r="A25" s="10">
        <v>43959</v>
      </c>
      <c r="B25" s="61">
        <v>12.25</v>
      </c>
      <c r="C25" s="64" t="s">
        <v>1154</v>
      </c>
      <c r="D25" t="s">
        <v>1156</v>
      </c>
      <c r="E25" s="2">
        <v>0.66666666666666663</v>
      </c>
      <c r="F25" s="2">
        <v>0.91666666666666663</v>
      </c>
      <c r="G25" s="61">
        <v>6</v>
      </c>
      <c r="H25">
        <v>2891</v>
      </c>
      <c r="I25" t="s">
        <v>1180</v>
      </c>
    </row>
    <row r="26" spans="1:9" x14ac:dyDescent="0.35">
      <c r="A26" s="10">
        <v>43966</v>
      </c>
      <c r="B26" s="61">
        <v>8.5</v>
      </c>
      <c r="C26" s="64" t="s">
        <v>1154</v>
      </c>
      <c r="D26" t="s">
        <v>1156</v>
      </c>
      <c r="E26" s="2">
        <v>0.65625</v>
      </c>
      <c r="F26" s="2">
        <v>0.10416666666666667</v>
      </c>
      <c r="G26" s="61">
        <v>10.75</v>
      </c>
      <c r="H26">
        <v>3191</v>
      </c>
      <c r="I26" t="s">
        <v>1185</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E58E-F0DC-4861-A215-A87212888322}">
  <sheetPr codeName="Sheet16"/>
  <dimension ref="A1:O88"/>
  <sheetViews>
    <sheetView workbookViewId="0">
      <pane ySplit="1" topLeftCell="A2" activePane="bottomLeft" state="frozen"/>
      <selection pane="bottomLeft" activeCell="H8" sqref="H8"/>
    </sheetView>
  </sheetViews>
  <sheetFormatPr defaultRowHeight="14.5" x14ac:dyDescent="0.35"/>
  <cols>
    <col min="1" max="1" width="9.453125" style="472" bestFit="1" customWidth="1"/>
    <col min="2" max="2" width="8.7265625" style="475"/>
    <col min="3" max="3" width="15.1796875" style="472" customWidth="1"/>
    <col min="4" max="4" width="11.26953125" style="472" bestFit="1" customWidth="1"/>
    <col min="5" max="5" width="10.26953125" style="472" bestFit="1" customWidth="1"/>
    <col min="6" max="6" width="11" style="472" customWidth="1"/>
    <col min="7" max="7" width="10.26953125" style="472" customWidth="1"/>
    <col min="8" max="8" width="9.08984375" style="472" customWidth="1"/>
    <col min="9" max="10" width="10.26953125" style="472" customWidth="1"/>
    <col min="11" max="11" width="8.7265625" style="472" customWidth="1"/>
    <col min="12" max="14" width="10.26953125" style="472" customWidth="1"/>
    <col min="15" max="15" width="68.08984375" style="472" customWidth="1"/>
    <col min="16" max="16384" width="8.7265625" style="472"/>
  </cols>
  <sheetData>
    <row r="1" spans="1:15" s="57" customFormat="1" ht="23" x14ac:dyDescent="0.35">
      <c r="A1" s="1" t="s">
        <v>8</v>
      </c>
      <c r="B1" s="1" t="s">
        <v>1189</v>
      </c>
      <c r="C1" s="1" t="s">
        <v>332</v>
      </c>
      <c r="D1" s="1" t="s">
        <v>1288</v>
      </c>
      <c r="E1" s="1" t="s">
        <v>1289</v>
      </c>
      <c r="F1" s="1" t="s">
        <v>1290</v>
      </c>
      <c r="G1" s="1" t="s">
        <v>1291</v>
      </c>
      <c r="H1" s="1" t="s">
        <v>1292</v>
      </c>
      <c r="I1" s="1" t="s">
        <v>1293</v>
      </c>
      <c r="J1" s="1" t="s">
        <v>1294</v>
      </c>
      <c r="K1" s="1" t="s">
        <v>1295</v>
      </c>
      <c r="L1" s="1" t="s">
        <v>1296</v>
      </c>
      <c r="M1" s="1" t="s">
        <v>1297</v>
      </c>
      <c r="N1" s="1" t="s">
        <v>1298</v>
      </c>
      <c r="O1" s="473" t="s">
        <v>532</v>
      </c>
    </row>
    <row r="2" spans="1:15" x14ac:dyDescent="0.35">
      <c r="A2" s="474">
        <v>43936</v>
      </c>
      <c r="B2" s="475">
        <v>26</v>
      </c>
      <c r="C2" s="472" t="s">
        <v>968</v>
      </c>
      <c r="D2" s="472">
        <v>17</v>
      </c>
      <c r="E2" s="472">
        <v>30</v>
      </c>
      <c r="G2" s="472">
        <v>70</v>
      </c>
      <c r="H2" s="472">
        <v>20</v>
      </c>
      <c r="L2" s="472">
        <v>10</v>
      </c>
      <c r="O2" s="472" t="s">
        <v>969</v>
      </c>
    </row>
    <row r="3" spans="1:15" x14ac:dyDescent="0.35">
      <c r="A3" s="474">
        <v>43937</v>
      </c>
      <c r="B3" s="475">
        <v>26</v>
      </c>
      <c r="C3" s="472" t="s">
        <v>968</v>
      </c>
      <c r="D3" s="472">
        <v>30</v>
      </c>
      <c r="E3" s="472">
        <v>53</v>
      </c>
      <c r="G3" s="472">
        <v>20</v>
      </c>
      <c r="H3" s="472">
        <v>80</v>
      </c>
      <c r="O3" s="472" t="s">
        <v>970</v>
      </c>
    </row>
    <row r="4" spans="1:15" x14ac:dyDescent="0.35">
      <c r="A4" s="474">
        <v>43937</v>
      </c>
      <c r="B4" s="475">
        <v>26</v>
      </c>
      <c r="C4" s="472" t="s">
        <v>968</v>
      </c>
      <c r="D4" s="472">
        <v>53</v>
      </c>
      <c r="E4" s="472">
        <v>70</v>
      </c>
      <c r="G4" s="472">
        <v>10</v>
      </c>
      <c r="H4" s="472">
        <v>90</v>
      </c>
      <c r="O4" s="472" t="s">
        <v>972</v>
      </c>
    </row>
    <row r="5" spans="1:15" x14ac:dyDescent="0.35">
      <c r="A5" s="474">
        <v>43937</v>
      </c>
      <c r="B5" s="475">
        <v>26</v>
      </c>
      <c r="C5" s="472" t="s">
        <v>968</v>
      </c>
      <c r="D5" s="472">
        <v>70</v>
      </c>
      <c r="E5" s="472">
        <v>100</v>
      </c>
      <c r="G5" s="472">
        <v>100</v>
      </c>
      <c r="H5" s="54" t="s">
        <v>971</v>
      </c>
      <c r="O5" s="472" t="s">
        <v>973</v>
      </c>
    </row>
    <row r="6" spans="1:15" x14ac:dyDescent="0.35">
      <c r="A6" s="474">
        <v>43937</v>
      </c>
      <c r="B6" s="475">
        <v>26</v>
      </c>
      <c r="C6" s="472" t="s">
        <v>968</v>
      </c>
      <c r="D6" s="472">
        <v>100</v>
      </c>
      <c r="E6" s="472">
        <v>120</v>
      </c>
      <c r="G6" s="472">
        <v>20</v>
      </c>
      <c r="H6" s="472">
        <v>80</v>
      </c>
      <c r="O6" s="472" t="s">
        <v>974</v>
      </c>
    </row>
    <row r="7" spans="1:15" x14ac:dyDescent="0.35">
      <c r="A7" s="474">
        <v>43937</v>
      </c>
      <c r="B7" s="475">
        <v>26</v>
      </c>
      <c r="C7" s="472" t="s">
        <v>968</v>
      </c>
      <c r="D7" s="472">
        <v>120</v>
      </c>
      <c r="E7" s="472">
        <v>180</v>
      </c>
      <c r="G7" s="472">
        <v>90</v>
      </c>
      <c r="H7" s="472">
        <v>10</v>
      </c>
      <c r="O7" s="472" t="s">
        <v>975</v>
      </c>
    </row>
    <row r="8" spans="1:15" x14ac:dyDescent="0.35">
      <c r="A8" s="474">
        <v>43937</v>
      </c>
      <c r="B8" s="475">
        <v>26</v>
      </c>
      <c r="C8" s="472" t="s">
        <v>968</v>
      </c>
      <c r="D8" s="472">
        <v>180</v>
      </c>
      <c r="E8" s="472">
        <v>220</v>
      </c>
      <c r="G8" s="472">
        <v>100</v>
      </c>
      <c r="H8" s="472" t="s">
        <v>624</v>
      </c>
      <c r="O8" s="472" t="s">
        <v>976</v>
      </c>
    </row>
    <row r="9" spans="1:15" x14ac:dyDescent="0.35">
      <c r="A9" s="474">
        <v>43937</v>
      </c>
      <c r="B9" s="475">
        <v>26</v>
      </c>
      <c r="C9" s="472" t="s">
        <v>968</v>
      </c>
      <c r="D9" s="472">
        <v>220</v>
      </c>
      <c r="E9" s="472">
        <v>256</v>
      </c>
      <c r="G9" s="472">
        <v>90</v>
      </c>
      <c r="H9" s="472">
        <v>10</v>
      </c>
      <c r="O9" s="472" t="s">
        <v>977</v>
      </c>
    </row>
    <row r="10" spans="1:15" x14ac:dyDescent="0.35">
      <c r="A10" s="474">
        <v>43937</v>
      </c>
      <c r="B10" s="475">
        <v>26</v>
      </c>
      <c r="C10" s="472" t="s">
        <v>968</v>
      </c>
      <c r="D10" s="472">
        <v>256</v>
      </c>
      <c r="E10" s="472">
        <v>258</v>
      </c>
      <c r="G10" s="472">
        <v>20</v>
      </c>
      <c r="H10" s="472">
        <v>80</v>
      </c>
      <c r="O10" s="472" t="s">
        <v>978</v>
      </c>
    </row>
    <row r="11" spans="1:15" x14ac:dyDescent="0.35">
      <c r="A11" s="474">
        <v>43940</v>
      </c>
      <c r="B11" s="475">
        <v>17.5</v>
      </c>
      <c r="C11" s="472" t="s">
        <v>968</v>
      </c>
      <c r="D11" s="472">
        <v>258</v>
      </c>
      <c r="E11" s="472">
        <v>279</v>
      </c>
      <c r="G11" s="472">
        <v>30</v>
      </c>
      <c r="H11" s="472">
        <v>70</v>
      </c>
      <c r="O11" s="472" t="s">
        <v>979</v>
      </c>
    </row>
    <row r="12" spans="1:15" x14ac:dyDescent="0.35">
      <c r="A12" s="474">
        <v>43941</v>
      </c>
      <c r="B12" s="475">
        <v>17.5</v>
      </c>
      <c r="C12" s="472" t="s">
        <v>968</v>
      </c>
      <c r="D12" s="472">
        <v>279</v>
      </c>
      <c r="E12" s="472">
        <v>350</v>
      </c>
      <c r="G12" s="472">
        <v>20</v>
      </c>
      <c r="H12" s="472">
        <v>80</v>
      </c>
      <c r="O12" s="472" t="s">
        <v>980</v>
      </c>
    </row>
    <row r="13" spans="1:15" x14ac:dyDescent="0.35">
      <c r="A13" s="474">
        <v>43941</v>
      </c>
      <c r="B13" s="475">
        <v>17.5</v>
      </c>
      <c r="C13" s="472" t="s">
        <v>968</v>
      </c>
      <c r="D13" s="472">
        <v>350</v>
      </c>
      <c r="E13" s="472">
        <v>360</v>
      </c>
      <c r="G13" s="472">
        <v>100</v>
      </c>
      <c r="H13" s="472" t="s">
        <v>624</v>
      </c>
      <c r="O13" s="472" t="s">
        <v>981</v>
      </c>
    </row>
    <row r="14" spans="1:15" x14ac:dyDescent="0.35">
      <c r="A14" s="474">
        <v>43941</v>
      </c>
      <c r="B14" s="475">
        <v>17.5</v>
      </c>
      <c r="C14" s="472" t="s">
        <v>968</v>
      </c>
      <c r="D14" s="472">
        <v>360</v>
      </c>
      <c r="E14" s="472">
        <v>420</v>
      </c>
      <c r="G14" s="472">
        <v>60</v>
      </c>
      <c r="H14" s="472">
        <v>40</v>
      </c>
      <c r="O14" s="472" t="s">
        <v>982</v>
      </c>
    </row>
    <row r="15" spans="1:15" x14ac:dyDescent="0.35">
      <c r="A15" s="474">
        <v>43941</v>
      </c>
      <c r="B15" s="475">
        <v>17.5</v>
      </c>
      <c r="C15" s="472" t="s">
        <v>968</v>
      </c>
      <c r="D15" s="472">
        <v>420</v>
      </c>
      <c r="E15" s="472">
        <v>460</v>
      </c>
      <c r="G15" s="472">
        <v>70</v>
      </c>
      <c r="H15" s="472">
        <v>30</v>
      </c>
      <c r="O15" s="472" t="s">
        <v>983</v>
      </c>
    </row>
    <row r="16" spans="1:15" x14ac:dyDescent="0.35">
      <c r="A16" s="474">
        <v>43941</v>
      </c>
      <c r="B16" s="475">
        <v>17.5</v>
      </c>
      <c r="C16" s="472" t="s">
        <v>968</v>
      </c>
      <c r="D16" s="472">
        <v>460</v>
      </c>
      <c r="E16" s="472">
        <v>470</v>
      </c>
      <c r="G16" s="472">
        <v>70</v>
      </c>
      <c r="H16" s="472">
        <v>20</v>
      </c>
      <c r="L16" s="472">
        <v>10</v>
      </c>
      <c r="O16" s="472" t="s">
        <v>983</v>
      </c>
    </row>
    <row r="17" spans="1:15" x14ac:dyDescent="0.35">
      <c r="A17" s="474">
        <v>43941</v>
      </c>
      <c r="B17" s="475">
        <v>17.5</v>
      </c>
      <c r="C17" s="472" t="s">
        <v>968</v>
      </c>
      <c r="D17" s="472">
        <v>470</v>
      </c>
      <c r="E17" s="472">
        <v>560</v>
      </c>
      <c r="G17" s="472">
        <v>80</v>
      </c>
      <c r="H17" s="472">
        <v>20</v>
      </c>
      <c r="O17" s="472" t="s">
        <v>984</v>
      </c>
    </row>
    <row r="18" spans="1:15" x14ac:dyDescent="0.35">
      <c r="A18" s="474">
        <v>43941</v>
      </c>
      <c r="B18" s="475">
        <v>17.5</v>
      </c>
      <c r="C18" s="472" t="s">
        <v>968</v>
      </c>
      <c r="D18" s="472">
        <v>560</v>
      </c>
      <c r="E18" s="472">
        <v>670</v>
      </c>
      <c r="G18" s="472">
        <v>80</v>
      </c>
      <c r="H18" s="472">
        <v>20</v>
      </c>
      <c r="O18" s="472" t="s">
        <v>985</v>
      </c>
    </row>
    <row r="19" spans="1:15" x14ac:dyDescent="0.35">
      <c r="A19" s="474">
        <v>43941</v>
      </c>
      <c r="B19" s="475">
        <v>17.5</v>
      </c>
      <c r="C19" s="472" t="s">
        <v>968</v>
      </c>
      <c r="D19" s="472">
        <v>670</v>
      </c>
      <c r="E19" s="472">
        <v>760</v>
      </c>
      <c r="G19" s="472">
        <v>10</v>
      </c>
      <c r="H19" s="472">
        <v>90</v>
      </c>
      <c r="O19" s="472" t="s">
        <v>986</v>
      </c>
    </row>
    <row r="20" spans="1:15" x14ac:dyDescent="0.35">
      <c r="A20" s="474">
        <v>43941</v>
      </c>
      <c r="B20" s="475">
        <v>17.5</v>
      </c>
      <c r="C20" s="472" t="s">
        <v>968</v>
      </c>
      <c r="D20" s="472">
        <v>760</v>
      </c>
      <c r="E20" s="472">
        <v>813</v>
      </c>
      <c r="G20" s="472">
        <v>40</v>
      </c>
      <c r="H20" s="472">
        <v>60</v>
      </c>
      <c r="O20" s="472" t="s">
        <v>987</v>
      </c>
    </row>
    <row r="21" spans="1:15" x14ac:dyDescent="0.35">
      <c r="A21" s="474">
        <v>43942</v>
      </c>
      <c r="B21" s="475">
        <v>17.5</v>
      </c>
      <c r="C21" s="472" t="s">
        <v>968</v>
      </c>
      <c r="D21" s="472">
        <v>813</v>
      </c>
      <c r="E21" s="472">
        <v>840</v>
      </c>
      <c r="G21" s="472">
        <v>80</v>
      </c>
      <c r="H21" s="472">
        <v>20</v>
      </c>
      <c r="O21" s="472" t="s">
        <v>988</v>
      </c>
    </row>
    <row r="22" spans="1:15" x14ac:dyDescent="0.35">
      <c r="A22" s="474">
        <v>43942</v>
      </c>
      <c r="B22" s="475">
        <v>17.5</v>
      </c>
      <c r="C22" s="472" t="s">
        <v>968</v>
      </c>
      <c r="D22" s="472">
        <v>840</v>
      </c>
      <c r="E22" s="472">
        <v>870</v>
      </c>
      <c r="G22" s="472">
        <v>50</v>
      </c>
      <c r="H22" s="472">
        <v>50</v>
      </c>
      <c r="O22" s="472" t="s">
        <v>989</v>
      </c>
    </row>
    <row r="23" spans="1:15" x14ac:dyDescent="0.35">
      <c r="A23" s="474">
        <v>43942</v>
      </c>
      <c r="B23" s="475">
        <v>17.5</v>
      </c>
      <c r="C23" s="472" t="s">
        <v>968</v>
      </c>
      <c r="D23" s="472">
        <v>870</v>
      </c>
      <c r="E23" s="472">
        <v>960</v>
      </c>
      <c r="G23" s="472">
        <v>90</v>
      </c>
      <c r="H23" s="472">
        <v>10</v>
      </c>
      <c r="O23" s="472" t="s">
        <v>990</v>
      </c>
    </row>
    <row r="24" spans="1:15" x14ac:dyDescent="0.35">
      <c r="A24" s="474">
        <v>43942</v>
      </c>
      <c r="B24" s="475">
        <v>17.5</v>
      </c>
      <c r="C24" s="472" t="s">
        <v>968</v>
      </c>
      <c r="D24" s="472">
        <v>960</v>
      </c>
      <c r="E24" s="472">
        <v>1010</v>
      </c>
      <c r="G24" s="472">
        <v>10</v>
      </c>
      <c r="H24" s="472">
        <v>90</v>
      </c>
      <c r="O24" s="472" t="s">
        <v>991</v>
      </c>
    </row>
    <row r="25" spans="1:15" x14ac:dyDescent="0.35">
      <c r="A25" s="474">
        <v>43942</v>
      </c>
      <c r="B25" s="475">
        <v>17.5</v>
      </c>
      <c r="C25" s="472" t="s">
        <v>968</v>
      </c>
      <c r="D25" s="472">
        <v>1010</v>
      </c>
      <c r="E25" s="472">
        <v>1050</v>
      </c>
      <c r="G25" s="472">
        <v>10</v>
      </c>
      <c r="H25" s="472">
        <v>90</v>
      </c>
      <c r="O25" s="472" t="s">
        <v>992</v>
      </c>
    </row>
    <row r="26" spans="1:15" x14ac:dyDescent="0.35">
      <c r="A26" s="474">
        <v>43942</v>
      </c>
      <c r="B26" s="475">
        <v>17.5</v>
      </c>
      <c r="C26" s="472" t="s">
        <v>968</v>
      </c>
      <c r="D26" s="472">
        <v>1050</v>
      </c>
      <c r="E26" s="472">
        <v>1054</v>
      </c>
      <c r="G26" s="472">
        <v>10</v>
      </c>
      <c r="H26" s="472">
        <v>90</v>
      </c>
      <c r="O26" s="472" t="s">
        <v>993</v>
      </c>
    </row>
    <row r="27" spans="1:15" x14ac:dyDescent="0.35">
      <c r="A27" s="474">
        <v>43946</v>
      </c>
      <c r="B27" s="475">
        <v>12.25</v>
      </c>
      <c r="C27" s="472" t="s">
        <v>968</v>
      </c>
      <c r="D27" s="472">
        <v>1054</v>
      </c>
      <c r="E27" s="472">
        <v>1056</v>
      </c>
      <c r="G27" s="472">
        <v>30</v>
      </c>
      <c r="H27" s="472">
        <v>70</v>
      </c>
      <c r="O27" s="472" t="s">
        <v>994</v>
      </c>
    </row>
    <row r="28" spans="1:15" x14ac:dyDescent="0.35">
      <c r="A28" s="474">
        <v>43946</v>
      </c>
      <c r="B28" s="475">
        <v>12.25</v>
      </c>
      <c r="C28" s="472" t="s">
        <v>610</v>
      </c>
      <c r="D28" s="472">
        <v>1056</v>
      </c>
      <c r="E28" s="472">
        <v>1084</v>
      </c>
      <c r="G28" s="472">
        <v>80</v>
      </c>
      <c r="H28" s="472">
        <v>20</v>
      </c>
      <c r="O28" s="472" t="s">
        <v>995</v>
      </c>
    </row>
    <row r="29" spans="1:15" x14ac:dyDescent="0.35">
      <c r="A29" s="474">
        <v>43947</v>
      </c>
      <c r="B29" s="475">
        <v>12.25</v>
      </c>
      <c r="C29" s="472" t="s">
        <v>610</v>
      </c>
      <c r="D29" s="472">
        <v>1084</v>
      </c>
      <c r="E29" s="472">
        <v>1100</v>
      </c>
      <c r="G29" s="472">
        <v>80</v>
      </c>
      <c r="H29" s="472">
        <v>20</v>
      </c>
      <c r="O29" s="472" t="s">
        <v>995</v>
      </c>
    </row>
    <row r="30" spans="1:15" x14ac:dyDescent="0.35">
      <c r="A30" s="474">
        <v>43947</v>
      </c>
      <c r="B30" s="475">
        <v>12.25</v>
      </c>
      <c r="C30" s="472" t="s">
        <v>610</v>
      </c>
      <c r="D30" s="472">
        <v>1100</v>
      </c>
      <c r="E30" s="472">
        <v>1130</v>
      </c>
      <c r="G30" s="472">
        <v>70</v>
      </c>
      <c r="H30" s="472">
        <v>30</v>
      </c>
      <c r="O30" s="472" t="s">
        <v>996</v>
      </c>
    </row>
    <row r="31" spans="1:15" x14ac:dyDescent="0.35">
      <c r="A31" s="474">
        <v>43947</v>
      </c>
      <c r="B31" s="475">
        <v>12.25</v>
      </c>
      <c r="C31" s="472" t="s">
        <v>610</v>
      </c>
      <c r="D31" s="472">
        <v>1130</v>
      </c>
      <c r="E31" s="472">
        <v>1240</v>
      </c>
      <c r="G31" s="472">
        <v>80</v>
      </c>
      <c r="H31" s="472">
        <v>20</v>
      </c>
      <c r="O31" s="472" t="s">
        <v>997</v>
      </c>
    </row>
    <row r="32" spans="1:15" x14ac:dyDescent="0.35">
      <c r="A32" s="474">
        <v>43947</v>
      </c>
      <c r="B32" s="475">
        <v>12.25</v>
      </c>
      <c r="C32" s="472" t="s">
        <v>734</v>
      </c>
      <c r="D32" s="472">
        <v>1240</v>
      </c>
      <c r="E32" s="472">
        <v>1320</v>
      </c>
      <c r="G32" s="472">
        <v>10</v>
      </c>
      <c r="H32" s="472">
        <v>90</v>
      </c>
      <c r="O32" s="472" t="s">
        <v>998</v>
      </c>
    </row>
    <row r="33" spans="1:15" x14ac:dyDescent="0.35">
      <c r="A33" s="474">
        <v>43947</v>
      </c>
      <c r="B33" s="475">
        <v>12.25</v>
      </c>
      <c r="C33" s="472" t="s">
        <v>734</v>
      </c>
      <c r="D33" s="472">
        <v>1320</v>
      </c>
      <c r="E33" s="472">
        <v>1380</v>
      </c>
      <c r="G33" s="472">
        <v>50</v>
      </c>
      <c r="H33" s="472">
        <v>50</v>
      </c>
      <c r="O33" s="472" t="s">
        <v>999</v>
      </c>
    </row>
    <row r="34" spans="1:15" x14ac:dyDescent="0.35">
      <c r="A34" s="474">
        <v>43948</v>
      </c>
      <c r="B34" s="475">
        <v>12.25</v>
      </c>
      <c r="C34" s="472" t="s">
        <v>734</v>
      </c>
      <c r="D34" s="472">
        <v>1380</v>
      </c>
      <c r="E34" s="472">
        <v>1410</v>
      </c>
      <c r="G34" s="472">
        <v>40</v>
      </c>
      <c r="H34" s="472">
        <v>60</v>
      </c>
      <c r="O34" s="472" t="s">
        <v>1000</v>
      </c>
    </row>
    <row r="35" spans="1:15" x14ac:dyDescent="0.35">
      <c r="A35" s="474">
        <v>43948</v>
      </c>
      <c r="B35" s="475">
        <v>12.25</v>
      </c>
      <c r="C35" s="472" t="s">
        <v>734</v>
      </c>
      <c r="D35" s="472">
        <v>1410</v>
      </c>
      <c r="E35" s="472">
        <v>1510</v>
      </c>
      <c r="G35" s="472">
        <v>60</v>
      </c>
      <c r="H35" s="472">
        <v>40</v>
      </c>
      <c r="O35" s="472" t="s">
        <v>1001</v>
      </c>
    </row>
    <row r="36" spans="1:15" x14ac:dyDescent="0.35">
      <c r="A36" s="474">
        <v>43948</v>
      </c>
      <c r="B36" s="475">
        <v>12.25</v>
      </c>
      <c r="C36" s="472" t="s">
        <v>734</v>
      </c>
      <c r="D36" s="472">
        <v>1510</v>
      </c>
      <c r="E36" s="472">
        <v>1580</v>
      </c>
      <c r="G36" s="472">
        <v>100</v>
      </c>
      <c r="H36" s="472" t="s">
        <v>624</v>
      </c>
      <c r="O36" s="472" t="s">
        <v>1002</v>
      </c>
    </row>
    <row r="37" spans="1:15" x14ac:dyDescent="0.35">
      <c r="A37" s="474">
        <v>43948</v>
      </c>
      <c r="B37" s="475">
        <v>12.25</v>
      </c>
      <c r="C37" s="472" t="s">
        <v>734</v>
      </c>
      <c r="D37" s="472">
        <v>1580</v>
      </c>
      <c r="E37" s="472">
        <v>1660</v>
      </c>
      <c r="G37" s="472">
        <v>90</v>
      </c>
      <c r="H37" s="472">
        <v>10</v>
      </c>
      <c r="O37" s="472" t="s">
        <v>1003</v>
      </c>
    </row>
    <row r="38" spans="1:15" x14ac:dyDescent="0.35">
      <c r="A38" s="474">
        <v>43948</v>
      </c>
      <c r="B38" s="475">
        <v>12.25</v>
      </c>
      <c r="C38" s="472" t="s">
        <v>734</v>
      </c>
      <c r="D38" s="472">
        <v>1660</v>
      </c>
      <c r="E38" s="472">
        <v>1700</v>
      </c>
      <c r="G38" s="472">
        <v>10</v>
      </c>
      <c r="H38" s="472">
        <v>90</v>
      </c>
      <c r="O38" s="472" t="s">
        <v>1004</v>
      </c>
    </row>
    <row r="39" spans="1:15" x14ac:dyDescent="0.35">
      <c r="A39" s="474">
        <v>43948</v>
      </c>
      <c r="B39" s="475">
        <v>12.25</v>
      </c>
      <c r="C39" s="472" t="s">
        <v>734</v>
      </c>
      <c r="D39" s="472">
        <v>1700</v>
      </c>
      <c r="E39" s="472">
        <v>1830</v>
      </c>
      <c r="G39" s="472">
        <v>10</v>
      </c>
      <c r="H39" s="472">
        <v>90</v>
      </c>
      <c r="O39" s="472" t="s">
        <v>1005</v>
      </c>
    </row>
    <row r="40" spans="1:15" x14ac:dyDescent="0.35">
      <c r="A40" s="474">
        <v>43948</v>
      </c>
      <c r="B40" s="475">
        <v>12.25</v>
      </c>
      <c r="C40" s="472" t="s">
        <v>734</v>
      </c>
      <c r="D40" s="472">
        <v>1830</v>
      </c>
      <c r="E40" s="472">
        <v>1864</v>
      </c>
      <c r="G40" s="472">
        <v>10</v>
      </c>
      <c r="H40" s="472">
        <v>90</v>
      </c>
      <c r="O40" s="472" t="s">
        <v>1006</v>
      </c>
    </row>
    <row r="41" spans="1:15" x14ac:dyDescent="0.35">
      <c r="A41" s="474">
        <v>43949</v>
      </c>
      <c r="B41" s="475">
        <v>12.25</v>
      </c>
      <c r="C41" s="472" t="s">
        <v>734</v>
      </c>
      <c r="D41" s="472">
        <v>1864</v>
      </c>
      <c r="E41" s="472">
        <v>1930</v>
      </c>
      <c r="G41" s="472">
        <v>10</v>
      </c>
      <c r="H41" s="472">
        <v>90</v>
      </c>
      <c r="O41" s="472" t="s">
        <v>1007</v>
      </c>
    </row>
    <row r="42" spans="1:15" x14ac:dyDescent="0.35">
      <c r="A42" s="474">
        <v>43949</v>
      </c>
      <c r="B42" s="475">
        <v>12.25</v>
      </c>
      <c r="C42" s="472" t="s">
        <v>734</v>
      </c>
      <c r="D42" s="472">
        <v>1930</v>
      </c>
      <c r="E42" s="472">
        <v>1970</v>
      </c>
      <c r="G42" s="472">
        <v>70</v>
      </c>
      <c r="H42" s="472">
        <v>30</v>
      </c>
      <c r="L42" s="472" t="s">
        <v>971</v>
      </c>
      <c r="O42" s="472" t="s">
        <v>1008</v>
      </c>
    </row>
    <row r="43" spans="1:15" x14ac:dyDescent="0.35">
      <c r="A43" s="474">
        <v>43949</v>
      </c>
      <c r="B43" s="475">
        <v>12.25</v>
      </c>
      <c r="C43" s="472" t="s">
        <v>734</v>
      </c>
      <c r="D43" s="472">
        <v>1970</v>
      </c>
      <c r="E43" s="472">
        <v>2030</v>
      </c>
      <c r="G43" s="472">
        <v>70</v>
      </c>
      <c r="H43" s="472">
        <v>30</v>
      </c>
      <c r="O43" s="472" t="s">
        <v>1009</v>
      </c>
    </row>
    <row r="44" spans="1:15" x14ac:dyDescent="0.35">
      <c r="A44" s="474">
        <v>43949</v>
      </c>
      <c r="B44" s="475">
        <v>12.25</v>
      </c>
      <c r="C44" s="472" t="s">
        <v>734</v>
      </c>
      <c r="D44" s="472">
        <v>2030</v>
      </c>
      <c r="E44" s="472">
        <v>2070</v>
      </c>
      <c r="G44" s="472">
        <v>10</v>
      </c>
      <c r="H44" s="472">
        <v>90</v>
      </c>
      <c r="O44" s="472" t="s">
        <v>1010</v>
      </c>
    </row>
    <row r="45" spans="1:15" x14ac:dyDescent="0.35">
      <c r="A45" s="474">
        <v>43949</v>
      </c>
      <c r="B45" s="475">
        <v>12.25</v>
      </c>
      <c r="C45" s="472" t="s">
        <v>734</v>
      </c>
      <c r="D45" s="472">
        <v>2070</v>
      </c>
      <c r="E45" s="472">
        <v>2130</v>
      </c>
      <c r="G45" s="472">
        <v>90</v>
      </c>
      <c r="H45" s="472">
        <v>10</v>
      </c>
      <c r="O45" s="472" t="s">
        <v>1011</v>
      </c>
    </row>
    <row r="46" spans="1:15" x14ac:dyDescent="0.35">
      <c r="A46" s="474">
        <v>43949</v>
      </c>
      <c r="B46" s="475">
        <v>12.25</v>
      </c>
      <c r="C46" s="472" t="s">
        <v>734</v>
      </c>
      <c r="D46" s="472">
        <v>2130</v>
      </c>
      <c r="E46" s="472">
        <v>2210</v>
      </c>
      <c r="G46" s="472">
        <v>80</v>
      </c>
      <c r="H46" s="472">
        <v>20</v>
      </c>
      <c r="O46" s="472" t="s">
        <v>1012</v>
      </c>
    </row>
    <row r="47" spans="1:15" x14ac:dyDescent="0.35">
      <c r="A47" s="474">
        <v>43949</v>
      </c>
      <c r="B47" s="475">
        <v>12.25</v>
      </c>
      <c r="C47" s="472" t="s">
        <v>734</v>
      </c>
      <c r="D47" s="472">
        <v>2210</v>
      </c>
      <c r="E47" s="472">
        <v>2229</v>
      </c>
      <c r="G47" s="472">
        <v>40</v>
      </c>
      <c r="H47" s="472">
        <v>60</v>
      </c>
      <c r="O47" s="472" t="s">
        <v>1013</v>
      </c>
    </row>
    <row r="48" spans="1:15" x14ac:dyDescent="0.35">
      <c r="A48" s="474">
        <v>43950</v>
      </c>
      <c r="B48" s="475">
        <v>12.25</v>
      </c>
      <c r="C48" s="472" t="s">
        <v>734</v>
      </c>
      <c r="D48" s="472">
        <v>2229</v>
      </c>
      <c r="E48" s="472">
        <v>2250</v>
      </c>
      <c r="G48" s="472">
        <v>10</v>
      </c>
      <c r="H48" s="472">
        <v>90</v>
      </c>
      <c r="O48" s="472" t="s">
        <v>1014</v>
      </c>
    </row>
    <row r="49" spans="1:15" x14ac:dyDescent="0.35">
      <c r="A49" s="474">
        <v>43950</v>
      </c>
      <c r="B49" s="475">
        <v>12.25</v>
      </c>
      <c r="C49" s="472" t="s">
        <v>734</v>
      </c>
      <c r="D49" s="472">
        <v>2250</v>
      </c>
      <c r="E49" s="472">
        <v>2280</v>
      </c>
      <c r="G49" s="472">
        <v>70</v>
      </c>
      <c r="H49" s="472">
        <v>30</v>
      </c>
      <c r="O49" s="472" t="s">
        <v>1015</v>
      </c>
    </row>
    <row r="50" spans="1:15" x14ac:dyDescent="0.35">
      <c r="A50" s="474">
        <v>43950</v>
      </c>
      <c r="B50" s="475">
        <v>12.25</v>
      </c>
      <c r="C50" s="472" t="s">
        <v>734</v>
      </c>
      <c r="D50" s="472">
        <v>2280</v>
      </c>
      <c r="E50" s="472">
        <v>2350</v>
      </c>
      <c r="G50" s="472">
        <v>80</v>
      </c>
      <c r="H50" s="472">
        <v>20</v>
      </c>
      <c r="O50" s="472" t="s">
        <v>1016</v>
      </c>
    </row>
    <row r="51" spans="1:15" x14ac:dyDescent="0.35">
      <c r="A51" s="474">
        <v>43951</v>
      </c>
      <c r="B51" s="475">
        <v>12.25</v>
      </c>
      <c r="C51" s="472" t="s">
        <v>734</v>
      </c>
      <c r="D51" s="472">
        <v>2350</v>
      </c>
      <c r="E51" s="472">
        <v>2380</v>
      </c>
      <c r="G51" s="472">
        <v>80</v>
      </c>
      <c r="H51" s="472">
        <v>20</v>
      </c>
      <c r="O51" s="472" t="s">
        <v>1016</v>
      </c>
    </row>
    <row r="52" spans="1:15" x14ac:dyDescent="0.35">
      <c r="A52" s="474">
        <v>43951</v>
      </c>
      <c r="B52" s="475">
        <v>12.25</v>
      </c>
      <c r="C52" s="472" t="s">
        <v>734</v>
      </c>
      <c r="D52" s="472">
        <v>2380</v>
      </c>
      <c r="E52" s="472">
        <v>2430</v>
      </c>
      <c r="G52" s="472">
        <v>10</v>
      </c>
      <c r="H52" s="472">
        <v>90</v>
      </c>
      <c r="O52" s="472" t="s">
        <v>1017</v>
      </c>
    </row>
    <row r="53" spans="1:15" x14ac:dyDescent="0.35">
      <c r="A53" s="474">
        <v>43951</v>
      </c>
      <c r="B53" s="475">
        <v>12.25</v>
      </c>
      <c r="C53" s="472" t="s">
        <v>734</v>
      </c>
      <c r="D53" s="472">
        <v>2430</v>
      </c>
      <c r="E53" s="472">
        <v>2460</v>
      </c>
      <c r="G53" s="472">
        <v>90</v>
      </c>
      <c r="H53" s="472">
        <v>10</v>
      </c>
      <c r="O53" s="472" t="s">
        <v>1018</v>
      </c>
    </row>
    <row r="54" spans="1:15" x14ac:dyDescent="0.35">
      <c r="A54" s="474">
        <v>43951</v>
      </c>
      <c r="B54" s="475">
        <v>12.25</v>
      </c>
      <c r="C54" s="472" t="s">
        <v>734</v>
      </c>
      <c r="D54" s="472">
        <v>2460</v>
      </c>
      <c r="E54" s="472">
        <v>2540</v>
      </c>
      <c r="G54" s="472">
        <v>10</v>
      </c>
      <c r="H54" s="472">
        <v>90</v>
      </c>
      <c r="O54" s="472" t="s">
        <v>1019</v>
      </c>
    </row>
    <row r="55" spans="1:15" x14ac:dyDescent="0.35">
      <c r="A55" s="474">
        <v>43951</v>
      </c>
      <c r="B55" s="475">
        <v>12.25</v>
      </c>
      <c r="C55" s="472" t="s">
        <v>734</v>
      </c>
      <c r="D55" s="472">
        <v>2540</v>
      </c>
      <c r="E55" s="472">
        <v>2570</v>
      </c>
      <c r="G55" s="472">
        <v>80</v>
      </c>
      <c r="H55" s="472">
        <v>20</v>
      </c>
      <c r="L55" s="472" t="s">
        <v>971</v>
      </c>
      <c r="O55" s="472" t="s">
        <v>1020</v>
      </c>
    </row>
    <row r="56" spans="1:15" x14ac:dyDescent="0.35">
      <c r="A56" s="474">
        <v>43951</v>
      </c>
      <c r="B56" s="475">
        <v>12.25</v>
      </c>
      <c r="C56" s="472" t="s">
        <v>734</v>
      </c>
      <c r="D56" s="472">
        <v>2570</v>
      </c>
      <c r="E56" s="472">
        <v>2610</v>
      </c>
      <c r="G56" s="472">
        <v>60</v>
      </c>
      <c r="H56" s="472">
        <v>40</v>
      </c>
      <c r="O56" s="472" t="s">
        <v>1021</v>
      </c>
    </row>
    <row r="57" spans="1:15" x14ac:dyDescent="0.35">
      <c r="A57" s="474">
        <v>43952</v>
      </c>
      <c r="B57" s="475">
        <v>12.25</v>
      </c>
      <c r="C57" s="472" t="s">
        <v>734</v>
      </c>
      <c r="D57" s="472">
        <v>2610</v>
      </c>
      <c r="E57" s="472">
        <v>2660</v>
      </c>
      <c r="G57" s="472" t="s">
        <v>971</v>
      </c>
      <c r="H57" s="472">
        <v>100</v>
      </c>
      <c r="O57" s="472" t="s">
        <v>1022</v>
      </c>
    </row>
    <row r="58" spans="1:15" x14ac:dyDescent="0.35">
      <c r="A58" s="474">
        <v>43952</v>
      </c>
      <c r="B58" s="475">
        <v>12.25</v>
      </c>
      <c r="C58" s="472" t="s">
        <v>734</v>
      </c>
      <c r="D58" s="472">
        <v>2660</v>
      </c>
      <c r="E58" s="472">
        <v>2740</v>
      </c>
      <c r="G58" s="472">
        <v>70</v>
      </c>
      <c r="H58" s="472">
        <v>30</v>
      </c>
      <c r="O58" s="472" t="s">
        <v>1023</v>
      </c>
    </row>
    <row r="59" spans="1:15" x14ac:dyDescent="0.35">
      <c r="A59" s="474">
        <v>43952</v>
      </c>
      <c r="B59" s="475">
        <v>12.25</v>
      </c>
      <c r="C59" s="472" t="s">
        <v>734</v>
      </c>
      <c r="D59" s="472">
        <v>2740</v>
      </c>
      <c r="E59" s="472">
        <v>2750</v>
      </c>
      <c r="G59" s="472">
        <v>90</v>
      </c>
      <c r="H59" s="472">
        <v>10</v>
      </c>
      <c r="O59" s="472" t="s">
        <v>1024</v>
      </c>
    </row>
    <row r="60" spans="1:15" x14ac:dyDescent="0.35">
      <c r="A60" s="474">
        <v>43953</v>
      </c>
      <c r="B60" s="475">
        <v>12.25</v>
      </c>
      <c r="C60" s="472" t="s">
        <v>734</v>
      </c>
      <c r="D60" s="472">
        <v>2750</v>
      </c>
      <c r="E60" s="472">
        <v>2800</v>
      </c>
      <c r="H60" s="472">
        <v>90</v>
      </c>
      <c r="L60" s="472">
        <v>10</v>
      </c>
      <c r="O60" s="472" t="s">
        <v>1025</v>
      </c>
    </row>
    <row r="61" spans="1:15" x14ac:dyDescent="0.35">
      <c r="A61" s="474">
        <v>43953</v>
      </c>
      <c r="B61" s="475">
        <v>12.25</v>
      </c>
      <c r="C61" s="472" t="s">
        <v>734</v>
      </c>
      <c r="D61" s="472">
        <v>2800</v>
      </c>
      <c r="E61" s="472">
        <v>2860</v>
      </c>
      <c r="G61" s="472">
        <v>10</v>
      </c>
      <c r="H61" s="472">
        <v>90</v>
      </c>
      <c r="O61" s="472" t="s">
        <v>1026</v>
      </c>
    </row>
    <row r="62" spans="1:15" x14ac:dyDescent="0.35">
      <c r="A62" s="474">
        <v>43953</v>
      </c>
      <c r="B62" s="475">
        <v>12.25</v>
      </c>
      <c r="C62" s="472" t="s">
        <v>734</v>
      </c>
      <c r="D62" s="472">
        <v>2860</v>
      </c>
      <c r="E62" s="472">
        <v>2880</v>
      </c>
      <c r="G62" s="472">
        <v>10</v>
      </c>
      <c r="H62" s="472">
        <v>90</v>
      </c>
      <c r="O62" s="472" t="s">
        <v>1027</v>
      </c>
    </row>
    <row r="63" spans="1:15" x14ac:dyDescent="0.35">
      <c r="A63" s="474">
        <v>43954</v>
      </c>
      <c r="B63" s="475">
        <v>12.25</v>
      </c>
      <c r="C63" s="472" t="s">
        <v>734</v>
      </c>
      <c r="D63" s="472">
        <v>2880</v>
      </c>
      <c r="E63" s="472">
        <v>2886</v>
      </c>
      <c r="H63" s="472">
        <v>100</v>
      </c>
      <c r="O63" s="472" t="s">
        <v>1028</v>
      </c>
    </row>
    <row r="64" spans="1:15" x14ac:dyDescent="0.35">
      <c r="A64" s="474">
        <v>43954</v>
      </c>
      <c r="B64" s="475">
        <v>12.25</v>
      </c>
      <c r="C64" s="472" t="s">
        <v>743</v>
      </c>
      <c r="D64" s="472">
        <v>2886</v>
      </c>
      <c r="E64" s="472">
        <v>2891</v>
      </c>
      <c r="H64" s="472">
        <v>40</v>
      </c>
      <c r="L64" s="472">
        <v>60</v>
      </c>
      <c r="O64" s="472" t="s">
        <v>1029</v>
      </c>
    </row>
    <row r="65" spans="1:15" x14ac:dyDescent="0.35">
      <c r="A65" s="474">
        <v>43960</v>
      </c>
      <c r="B65" s="475">
        <v>8.5</v>
      </c>
      <c r="C65" s="472" t="s">
        <v>743</v>
      </c>
      <c r="D65" s="472">
        <v>2891</v>
      </c>
      <c r="E65" s="472">
        <v>2921</v>
      </c>
      <c r="L65" s="472">
        <v>100</v>
      </c>
      <c r="O65" s="472" t="s">
        <v>1034</v>
      </c>
    </row>
    <row r="66" spans="1:15" x14ac:dyDescent="0.35">
      <c r="A66" s="474">
        <v>43960</v>
      </c>
      <c r="B66" s="475">
        <v>8.5</v>
      </c>
      <c r="C66" s="472" t="s">
        <v>743</v>
      </c>
      <c r="D66" s="472">
        <v>2921</v>
      </c>
      <c r="E66" s="472">
        <v>2945</v>
      </c>
      <c r="J66" s="472">
        <v>10</v>
      </c>
      <c r="K66" s="472">
        <v>70</v>
      </c>
      <c r="L66" s="472">
        <v>20</v>
      </c>
      <c r="O66" s="472" t="s">
        <v>1035</v>
      </c>
    </row>
    <row r="67" spans="1:15" x14ac:dyDescent="0.35">
      <c r="A67" s="474">
        <v>43960</v>
      </c>
      <c r="B67" s="475">
        <v>8.5</v>
      </c>
      <c r="C67" s="472" t="s">
        <v>766</v>
      </c>
      <c r="D67" s="472">
        <v>2945</v>
      </c>
      <c r="E67" s="472">
        <v>2975</v>
      </c>
      <c r="K67" s="472" t="s">
        <v>971</v>
      </c>
      <c r="L67" s="472">
        <v>100</v>
      </c>
      <c r="O67" s="472" t="s">
        <v>1036</v>
      </c>
    </row>
    <row r="68" spans="1:15" x14ac:dyDescent="0.35">
      <c r="A68" s="474">
        <v>43961</v>
      </c>
      <c r="B68" s="475">
        <v>8.5</v>
      </c>
      <c r="C68" s="472" t="s">
        <v>766</v>
      </c>
      <c r="D68" s="472">
        <v>2975</v>
      </c>
      <c r="E68" s="472">
        <v>2978</v>
      </c>
      <c r="L68" s="472">
        <v>100</v>
      </c>
      <c r="O68" s="472" t="s">
        <v>1037</v>
      </c>
    </row>
    <row r="69" spans="1:15" x14ac:dyDescent="0.35">
      <c r="A69" s="474">
        <v>43961</v>
      </c>
      <c r="B69" s="475">
        <v>8.5</v>
      </c>
      <c r="C69" s="472" t="s">
        <v>766</v>
      </c>
      <c r="D69" s="472">
        <v>2978</v>
      </c>
      <c r="E69" s="472">
        <v>2990</v>
      </c>
      <c r="J69" s="472" t="s">
        <v>971</v>
      </c>
      <c r="L69" s="472">
        <v>100</v>
      </c>
      <c r="O69" s="472" t="s">
        <v>1038</v>
      </c>
    </row>
    <row r="70" spans="1:15" x14ac:dyDescent="0.35">
      <c r="A70" s="474">
        <v>43961</v>
      </c>
      <c r="B70" s="475">
        <v>8.5</v>
      </c>
      <c r="C70" s="472" t="s">
        <v>766</v>
      </c>
      <c r="D70" s="472">
        <v>2990</v>
      </c>
      <c r="E70" s="472">
        <v>3044</v>
      </c>
      <c r="L70" s="472">
        <v>100</v>
      </c>
      <c r="O70" s="472" t="s">
        <v>1039</v>
      </c>
    </row>
    <row r="71" spans="1:15" x14ac:dyDescent="0.35">
      <c r="A71" s="474">
        <v>43961</v>
      </c>
      <c r="B71" s="475">
        <v>8.5</v>
      </c>
      <c r="C71" s="472" t="s">
        <v>766</v>
      </c>
      <c r="D71" s="472">
        <v>3044</v>
      </c>
      <c r="E71" s="472">
        <v>3068</v>
      </c>
      <c r="K71" s="472" t="s">
        <v>971</v>
      </c>
      <c r="L71" s="472">
        <v>100</v>
      </c>
      <c r="O71" s="472" t="s">
        <v>1040</v>
      </c>
    </row>
    <row r="72" spans="1:15" x14ac:dyDescent="0.35">
      <c r="A72" s="474">
        <v>43961</v>
      </c>
      <c r="B72" s="475">
        <v>8.5</v>
      </c>
      <c r="C72" s="472" t="s">
        <v>816</v>
      </c>
      <c r="D72" s="472">
        <v>3068</v>
      </c>
      <c r="E72" s="472">
        <v>3082</v>
      </c>
      <c r="J72" s="472">
        <v>10</v>
      </c>
      <c r="K72" s="472">
        <v>70</v>
      </c>
      <c r="L72" s="472">
        <v>20</v>
      </c>
      <c r="O72" s="472" t="s">
        <v>1041</v>
      </c>
    </row>
    <row r="73" spans="1:15" x14ac:dyDescent="0.35">
      <c r="A73" s="474">
        <v>43961</v>
      </c>
      <c r="B73" s="475">
        <v>8.5</v>
      </c>
      <c r="C73" s="472" t="s">
        <v>1030</v>
      </c>
      <c r="D73" s="472">
        <v>3082</v>
      </c>
      <c r="E73" s="472">
        <v>3101</v>
      </c>
      <c r="J73" s="472">
        <v>80</v>
      </c>
      <c r="K73" s="472">
        <v>20</v>
      </c>
      <c r="O73" s="472" t="s">
        <v>1042</v>
      </c>
    </row>
    <row r="74" spans="1:15" x14ac:dyDescent="0.35">
      <c r="A74" s="474">
        <v>43961</v>
      </c>
      <c r="B74" s="475">
        <v>8.5</v>
      </c>
      <c r="C74" s="472" t="s">
        <v>1031</v>
      </c>
      <c r="D74" s="472">
        <v>3101</v>
      </c>
      <c r="E74" s="472">
        <v>3136</v>
      </c>
      <c r="J74" s="472">
        <v>30</v>
      </c>
      <c r="K74" s="472">
        <v>40</v>
      </c>
      <c r="L74" s="472">
        <v>30</v>
      </c>
      <c r="O74" s="472" t="s">
        <v>1043</v>
      </c>
    </row>
    <row r="75" spans="1:15" x14ac:dyDescent="0.35">
      <c r="A75" s="474">
        <v>43961</v>
      </c>
      <c r="B75" s="475">
        <v>8.5</v>
      </c>
      <c r="C75" s="472" t="s">
        <v>1032</v>
      </c>
      <c r="D75" s="472">
        <v>3136</v>
      </c>
      <c r="E75" s="472">
        <v>3159</v>
      </c>
      <c r="H75" s="472">
        <v>50</v>
      </c>
      <c r="I75" s="472">
        <v>30</v>
      </c>
      <c r="J75" s="472">
        <v>20</v>
      </c>
      <c r="O75" s="472" t="s">
        <v>1044</v>
      </c>
    </row>
    <row r="76" spans="1:15" x14ac:dyDescent="0.35">
      <c r="A76" s="474">
        <v>43961</v>
      </c>
      <c r="B76" s="475">
        <v>8.5</v>
      </c>
      <c r="C76" s="472" t="s">
        <v>1033</v>
      </c>
      <c r="D76" s="472">
        <v>3159</v>
      </c>
      <c r="E76" s="472">
        <v>3184</v>
      </c>
      <c r="G76" s="472">
        <v>40</v>
      </c>
      <c r="H76" s="472">
        <v>30</v>
      </c>
      <c r="J76" s="472">
        <v>30</v>
      </c>
      <c r="O76" s="472" t="s">
        <v>1045</v>
      </c>
    </row>
    <row r="77" spans="1:15" x14ac:dyDescent="0.35">
      <c r="A77" s="474">
        <v>43961</v>
      </c>
      <c r="B77" s="475">
        <v>8.5</v>
      </c>
      <c r="C77" s="472" t="s">
        <v>1033</v>
      </c>
      <c r="D77" s="472">
        <v>3184</v>
      </c>
      <c r="E77" s="472">
        <v>3191</v>
      </c>
      <c r="G77" s="472">
        <v>30</v>
      </c>
      <c r="H77" s="472">
        <v>70</v>
      </c>
      <c r="J77" s="472" t="s">
        <v>971</v>
      </c>
      <c r="O77" s="472" t="s">
        <v>1046</v>
      </c>
    </row>
    <row r="78" spans="1:15" x14ac:dyDescent="0.35">
      <c r="A78" s="474">
        <v>43966</v>
      </c>
      <c r="B78" s="475">
        <v>6</v>
      </c>
      <c r="C78" s="472" t="s">
        <v>1033</v>
      </c>
      <c r="D78" s="472">
        <v>3191</v>
      </c>
      <c r="E78" s="472">
        <v>3206</v>
      </c>
      <c r="G78" s="472">
        <v>50</v>
      </c>
      <c r="H78" s="472">
        <v>30</v>
      </c>
      <c r="J78" s="472">
        <v>20</v>
      </c>
      <c r="O78" s="472" t="s">
        <v>1049</v>
      </c>
    </row>
    <row r="79" spans="1:15" x14ac:dyDescent="0.35">
      <c r="A79" s="474">
        <v>43966</v>
      </c>
      <c r="B79" s="475">
        <v>6</v>
      </c>
      <c r="C79" s="472" t="s">
        <v>1033</v>
      </c>
      <c r="D79" s="472">
        <v>3206</v>
      </c>
      <c r="E79" s="472">
        <v>3227</v>
      </c>
      <c r="G79" s="472">
        <v>50</v>
      </c>
      <c r="H79" s="472">
        <v>30</v>
      </c>
      <c r="J79" s="472">
        <v>20</v>
      </c>
      <c r="O79" s="472" t="s">
        <v>1050</v>
      </c>
    </row>
    <row r="80" spans="1:15" x14ac:dyDescent="0.35">
      <c r="A80" s="474">
        <v>43966</v>
      </c>
      <c r="B80" s="475">
        <v>6</v>
      </c>
      <c r="C80" s="472" t="s">
        <v>607</v>
      </c>
      <c r="D80" s="472">
        <v>3227</v>
      </c>
      <c r="E80" s="472">
        <v>3230</v>
      </c>
      <c r="G80" s="472">
        <v>60</v>
      </c>
      <c r="J80" s="472">
        <v>40</v>
      </c>
      <c r="O80" s="472" t="s">
        <v>1051</v>
      </c>
    </row>
    <row r="81" spans="1:15" x14ac:dyDescent="0.35">
      <c r="A81" s="474">
        <v>43967</v>
      </c>
      <c r="B81" s="475">
        <v>6</v>
      </c>
      <c r="C81" s="472" t="s">
        <v>607</v>
      </c>
      <c r="D81" s="472">
        <v>3230</v>
      </c>
      <c r="E81" s="472">
        <v>3254</v>
      </c>
      <c r="G81" s="472">
        <v>80</v>
      </c>
      <c r="J81" s="472">
        <v>20</v>
      </c>
      <c r="O81" s="472" t="s">
        <v>1051</v>
      </c>
    </row>
    <row r="82" spans="1:15" x14ac:dyDescent="0.35">
      <c r="A82" s="474">
        <v>43967</v>
      </c>
      <c r="B82" s="475">
        <v>6</v>
      </c>
      <c r="C82" s="472" t="s">
        <v>1047</v>
      </c>
      <c r="D82" s="472">
        <v>3254</v>
      </c>
      <c r="E82" s="472">
        <v>3290</v>
      </c>
      <c r="G82" s="472">
        <v>40</v>
      </c>
      <c r="J82" s="472">
        <v>10</v>
      </c>
      <c r="M82" s="472">
        <v>50</v>
      </c>
      <c r="O82" s="472" t="s">
        <v>1052</v>
      </c>
    </row>
    <row r="83" spans="1:15" x14ac:dyDescent="0.35">
      <c r="A83" s="474">
        <v>43967</v>
      </c>
      <c r="B83" s="475">
        <v>6</v>
      </c>
      <c r="C83" s="472" t="s">
        <v>1048</v>
      </c>
      <c r="D83" s="472">
        <v>3290</v>
      </c>
      <c r="E83" s="472">
        <v>3328</v>
      </c>
      <c r="G83" s="472">
        <v>80</v>
      </c>
      <c r="J83" s="472">
        <v>20</v>
      </c>
      <c r="O83" s="472" t="s">
        <v>1053</v>
      </c>
    </row>
    <row r="84" spans="1:15" x14ac:dyDescent="0.35">
      <c r="A84" s="474">
        <v>43967</v>
      </c>
      <c r="B84" s="475">
        <v>6</v>
      </c>
      <c r="C84" s="472" t="s">
        <v>608</v>
      </c>
      <c r="D84" s="472">
        <v>3328</v>
      </c>
      <c r="E84" s="472">
        <v>3350</v>
      </c>
      <c r="G84" s="472">
        <v>80</v>
      </c>
      <c r="J84" s="472">
        <v>20</v>
      </c>
      <c r="O84" s="472" t="s">
        <v>1054</v>
      </c>
    </row>
    <row r="85" spans="1:15" x14ac:dyDescent="0.35">
      <c r="A85" s="474">
        <v>43967</v>
      </c>
      <c r="B85" s="475">
        <v>6</v>
      </c>
      <c r="C85" s="472" t="s">
        <v>608</v>
      </c>
      <c r="D85" s="472">
        <v>3350</v>
      </c>
      <c r="E85" s="472">
        <v>3389</v>
      </c>
      <c r="G85" s="472">
        <v>80</v>
      </c>
      <c r="H85" s="472">
        <v>20</v>
      </c>
      <c r="O85" s="472" t="s">
        <v>1055</v>
      </c>
    </row>
    <row r="86" spans="1:15" x14ac:dyDescent="0.35">
      <c r="A86" s="474">
        <v>43967</v>
      </c>
      <c r="B86" s="475">
        <v>6</v>
      </c>
      <c r="C86" s="472" t="s">
        <v>608</v>
      </c>
      <c r="D86" s="472">
        <v>3389</v>
      </c>
      <c r="E86" s="472">
        <v>3304</v>
      </c>
      <c r="G86" s="472">
        <v>20</v>
      </c>
      <c r="H86" s="472">
        <v>60</v>
      </c>
      <c r="I86" s="472">
        <v>20</v>
      </c>
      <c r="O86" s="472" t="s">
        <v>1056</v>
      </c>
    </row>
    <row r="87" spans="1:15" x14ac:dyDescent="0.35">
      <c r="A87" s="474">
        <v>43967</v>
      </c>
      <c r="B87" s="475">
        <v>6</v>
      </c>
      <c r="C87" s="472" t="s">
        <v>608</v>
      </c>
      <c r="D87" s="472">
        <v>3304</v>
      </c>
      <c r="E87" s="472">
        <v>3450</v>
      </c>
      <c r="G87" s="472" t="s">
        <v>971</v>
      </c>
      <c r="H87" s="472">
        <v>80</v>
      </c>
      <c r="I87" s="472">
        <v>20</v>
      </c>
      <c r="O87" s="472" t="s">
        <v>1057</v>
      </c>
    </row>
    <row r="88" spans="1:15" x14ac:dyDescent="0.35">
      <c r="A88" s="474">
        <v>43967</v>
      </c>
      <c r="B88" s="475">
        <v>6</v>
      </c>
      <c r="C88" s="472" t="s">
        <v>870</v>
      </c>
      <c r="D88" s="472">
        <v>3450</v>
      </c>
      <c r="E88" s="472">
        <v>3460</v>
      </c>
      <c r="H88" s="472">
        <v>30</v>
      </c>
      <c r="M88" s="472">
        <v>20</v>
      </c>
      <c r="N88" s="472">
        <v>50</v>
      </c>
      <c r="O88" s="472" t="s">
        <v>1058</v>
      </c>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00B21-FE74-4ED5-B453-8DBC224484F0}">
  <sheetPr codeName="Sheet18"/>
  <dimension ref="A1:L21"/>
  <sheetViews>
    <sheetView workbookViewId="0">
      <selection activeCell="L21" sqref="L21"/>
    </sheetView>
  </sheetViews>
  <sheetFormatPr defaultRowHeight="14.5" x14ac:dyDescent="0.35"/>
  <cols>
    <col min="1" max="1" width="8.90625" bestFit="1" customWidth="1"/>
    <col min="2" max="2" width="8.7265625" style="61"/>
    <col min="3" max="3" width="11.08984375" customWidth="1"/>
    <col min="4" max="4" width="11.26953125" bestFit="1" customWidth="1"/>
    <col min="5" max="5" width="12.453125" style="66" customWidth="1"/>
    <col min="6" max="7" width="10.26953125" style="66" customWidth="1"/>
    <col min="8" max="8" width="37.1796875" style="66" customWidth="1"/>
    <col min="9" max="11" width="34.6328125" style="66" customWidth="1"/>
    <col min="12" max="12" width="11.08984375" style="61" customWidth="1"/>
  </cols>
  <sheetData>
    <row r="1" spans="1:12" ht="34.5" x14ac:dyDescent="0.35">
      <c r="A1" s="1" t="s">
        <v>8</v>
      </c>
      <c r="B1" s="1" t="s">
        <v>1189</v>
      </c>
      <c r="C1" s="1" t="s">
        <v>1299</v>
      </c>
      <c r="D1" s="1" t="s">
        <v>126</v>
      </c>
      <c r="E1" s="1" t="s">
        <v>9</v>
      </c>
      <c r="F1" s="1" t="s">
        <v>533</v>
      </c>
      <c r="G1" s="1" t="s">
        <v>438</v>
      </c>
      <c r="H1" s="1" t="s">
        <v>534</v>
      </c>
      <c r="I1" s="1" t="s">
        <v>535</v>
      </c>
      <c r="J1" s="1" t="s">
        <v>1059</v>
      </c>
      <c r="K1" s="1" t="s">
        <v>1060</v>
      </c>
      <c r="L1" s="1" t="s">
        <v>1300</v>
      </c>
    </row>
    <row r="2" spans="1:12" x14ac:dyDescent="0.35">
      <c r="A2" s="474">
        <v>43936</v>
      </c>
      <c r="B2" s="61" t="s">
        <v>1061</v>
      </c>
      <c r="C2" t="s">
        <v>1063</v>
      </c>
      <c r="D2" s="65"/>
      <c r="E2" s="66" t="s">
        <v>1133</v>
      </c>
      <c r="F2" s="66" t="s">
        <v>1062</v>
      </c>
      <c r="G2" s="66" t="s">
        <v>543</v>
      </c>
      <c r="H2" s="476" t="s">
        <v>1064</v>
      </c>
      <c r="I2" s="476" t="s">
        <v>1065</v>
      </c>
      <c r="J2" s="476" t="s">
        <v>1066</v>
      </c>
      <c r="K2" s="476" t="s">
        <v>1067</v>
      </c>
    </row>
    <row r="3" spans="1:12" x14ac:dyDescent="0.35">
      <c r="A3" s="474">
        <v>43937</v>
      </c>
      <c r="B3" s="61" t="s">
        <v>1061</v>
      </c>
      <c r="C3" t="s">
        <v>1063</v>
      </c>
      <c r="D3" s="65"/>
      <c r="E3" s="66" t="s">
        <v>1133</v>
      </c>
      <c r="F3" s="66" t="s">
        <v>1071</v>
      </c>
      <c r="G3" s="66" t="s">
        <v>1068</v>
      </c>
      <c r="H3" s="66" t="s">
        <v>1070</v>
      </c>
      <c r="I3" s="66" t="s">
        <v>1072</v>
      </c>
      <c r="J3" s="66" t="s">
        <v>1073</v>
      </c>
      <c r="K3" s="476" t="s">
        <v>1077</v>
      </c>
    </row>
    <row r="4" spans="1:12" x14ac:dyDescent="0.35">
      <c r="A4" s="474">
        <v>43938</v>
      </c>
      <c r="B4" s="61" t="s">
        <v>1061</v>
      </c>
      <c r="C4" t="s">
        <v>1063</v>
      </c>
      <c r="D4" s="65"/>
      <c r="E4" s="66" t="s">
        <v>1133</v>
      </c>
      <c r="F4" s="66" t="s">
        <v>1071</v>
      </c>
      <c r="G4" s="66" t="s">
        <v>1069</v>
      </c>
      <c r="H4" s="66" t="s">
        <v>1074</v>
      </c>
      <c r="I4" s="66" t="s">
        <v>1075</v>
      </c>
      <c r="J4" s="66" t="s">
        <v>1076</v>
      </c>
      <c r="K4" s="66" t="s">
        <v>1067</v>
      </c>
    </row>
    <row r="5" spans="1:12" x14ac:dyDescent="0.35">
      <c r="A5" s="474">
        <v>43939</v>
      </c>
      <c r="B5" s="61">
        <v>26</v>
      </c>
      <c r="C5" t="s">
        <v>1063</v>
      </c>
      <c r="D5">
        <v>258</v>
      </c>
      <c r="E5" s="66" t="s">
        <v>254</v>
      </c>
      <c r="F5" s="66" t="s">
        <v>1071</v>
      </c>
      <c r="G5" s="66" t="s">
        <v>1079</v>
      </c>
      <c r="H5" s="66" t="s">
        <v>1080</v>
      </c>
      <c r="I5" s="66" t="s">
        <v>1081</v>
      </c>
      <c r="J5" s="66" t="s">
        <v>1082</v>
      </c>
      <c r="K5" s="66" t="s">
        <v>1067</v>
      </c>
      <c r="L5" s="61">
        <v>2</v>
      </c>
    </row>
    <row r="6" spans="1:12" x14ac:dyDescent="0.35">
      <c r="A6" s="474">
        <v>43939</v>
      </c>
      <c r="B6" s="61">
        <v>26</v>
      </c>
      <c r="C6" t="s">
        <v>1063</v>
      </c>
      <c r="D6">
        <v>258</v>
      </c>
      <c r="E6" s="66" t="s">
        <v>1078</v>
      </c>
      <c r="F6" s="66" t="s">
        <v>1062</v>
      </c>
      <c r="G6" s="66" t="s">
        <v>356</v>
      </c>
      <c r="H6" s="66" t="s">
        <v>1083</v>
      </c>
      <c r="I6" s="66" t="s">
        <v>1084</v>
      </c>
      <c r="J6" s="66" t="s">
        <v>1085</v>
      </c>
      <c r="K6" s="66" t="s">
        <v>1067</v>
      </c>
    </row>
    <row r="7" spans="1:12" x14ac:dyDescent="0.35">
      <c r="A7" s="474">
        <v>43944</v>
      </c>
      <c r="B7" s="61">
        <v>17.5</v>
      </c>
      <c r="C7" t="s">
        <v>1063</v>
      </c>
      <c r="D7">
        <v>750</v>
      </c>
      <c r="E7" s="66" t="s">
        <v>56</v>
      </c>
      <c r="F7" s="66" t="s">
        <v>1071</v>
      </c>
      <c r="G7" s="66" t="s">
        <v>1086</v>
      </c>
      <c r="H7" s="66" t="s">
        <v>1087</v>
      </c>
      <c r="I7" s="66" t="s">
        <v>1088</v>
      </c>
      <c r="J7" s="66" t="s">
        <v>1089</v>
      </c>
      <c r="K7" s="66" t="s">
        <v>1077</v>
      </c>
    </row>
    <row r="8" spans="1:12" x14ac:dyDescent="0.35">
      <c r="A8" s="474">
        <v>43945</v>
      </c>
      <c r="B8" s="61">
        <v>17.5</v>
      </c>
      <c r="C8" t="s">
        <v>1063</v>
      </c>
      <c r="D8">
        <v>900</v>
      </c>
      <c r="E8" s="66" t="s">
        <v>56</v>
      </c>
      <c r="F8" s="66" t="s">
        <v>1071</v>
      </c>
      <c r="G8" s="66" t="s">
        <v>1091</v>
      </c>
      <c r="H8" s="66" t="s">
        <v>1090</v>
      </c>
      <c r="I8" s="66" t="s">
        <v>1092</v>
      </c>
      <c r="J8" s="66" t="s">
        <v>1093</v>
      </c>
      <c r="K8" s="66" t="s">
        <v>1077</v>
      </c>
    </row>
    <row r="9" spans="1:12" x14ac:dyDescent="0.35">
      <c r="A9" s="474">
        <v>43946</v>
      </c>
      <c r="B9" s="61">
        <v>17.5</v>
      </c>
      <c r="C9" t="s">
        <v>1063</v>
      </c>
      <c r="D9">
        <v>1054</v>
      </c>
      <c r="E9" s="66" t="s">
        <v>1095</v>
      </c>
      <c r="F9" s="66" t="s">
        <v>1071</v>
      </c>
      <c r="G9" s="66" t="s">
        <v>543</v>
      </c>
      <c r="H9" s="66" t="s">
        <v>1094</v>
      </c>
      <c r="I9" s="66" t="s">
        <v>1096</v>
      </c>
      <c r="J9" s="66" t="s">
        <v>1097</v>
      </c>
      <c r="K9" s="66" t="s">
        <v>1077</v>
      </c>
      <c r="L9" s="61">
        <v>6</v>
      </c>
    </row>
    <row r="10" spans="1:12" x14ac:dyDescent="0.35">
      <c r="A10" s="474">
        <v>43947</v>
      </c>
      <c r="B10" s="61">
        <v>12.25</v>
      </c>
      <c r="C10" t="s">
        <v>1063</v>
      </c>
      <c r="D10">
        <v>1100</v>
      </c>
      <c r="E10" s="66" t="s">
        <v>56</v>
      </c>
      <c r="F10" s="66" t="s">
        <v>1062</v>
      </c>
      <c r="G10" s="66" t="s">
        <v>543</v>
      </c>
      <c r="H10" s="66" t="s">
        <v>1098</v>
      </c>
      <c r="I10" s="66" t="s">
        <v>1099</v>
      </c>
      <c r="J10" s="66" t="s">
        <v>1100</v>
      </c>
      <c r="K10" s="66" t="s">
        <v>1067</v>
      </c>
    </row>
    <row r="11" spans="1:12" x14ac:dyDescent="0.35">
      <c r="A11" s="474">
        <v>43952</v>
      </c>
      <c r="B11" s="61">
        <v>12.25</v>
      </c>
      <c r="C11" t="s">
        <v>1063</v>
      </c>
      <c r="D11">
        <v>1500</v>
      </c>
      <c r="E11" s="66" t="s">
        <v>56</v>
      </c>
      <c r="F11" s="66" t="s">
        <v>1062</v>
      </c>
      <c r="G11" s="66" t="s">
        <v>356</v>
      </c>
      <c r="H11" s="66" t="s">
        <v>1101</v>
      </c>
      <c r="I11" s="66" t="s">
        <v>1102</v>
      </c>
      <c r="J11" s="66" t="s">
        <v>1103</v>
      </c>
      <c r="K11" s="66" t="s">
        <v>1067</v>
      </c>
    </row>
    <row r="12" spans="1:12" x14ac:dyDescent="0.35">
      <c r="A12" s="474">
        <v>43957</v>
      </c>
      <c r="B12" s="61">
        <v>12.25</v>
      </c>
      <c r="C12" t="s">
        <v>1063</v>
      </c>
      <c r="D12">
        <v>2891</v>
      </c>
      <c r="E12" s="66" t="s">
        <v>1105</v>
      </c>
      <c r="F12" s="66" t="s">
        <v>1062</v>
      </c>
      <c r="G12" s="66" t="s">
        <v>681</v>
      </c>
      <c r="H12" s="66" t="s">
        <v>1104</v>
      </c>
      <c r="K12" s="66" t="s">
        <v>1112</v>
      </c>
    </row>
    <row r="13" spans="1:12" x14ac:dyDescent="0.35">
      <c r="A13" s="474">
        <v>43964</v>
      </c>
      <c r="B13" s="61">
        <v>8.5</v>
      </c>
      <c r="C13" t="s">
        <v>1063</v>
      </c>
      <c r="D13">
        <v>3000</v>
      </c>
      <c r="E13" s="66" t="s">
        <v>56</v>
      </c>
      <c r="F13" s="66" t="s">
        <v>1071</v>
      </c>
      <c r="G13" s="66" t="s">
        <v>1068</v>
      </c>
      <c r="H13" s="66" t="s">
        <v>1106</v>
      </c>
      <c r="I13" s="66" t="s">
        <v>1107</v>
      </c>
      <c r="J13" s="66" t="s">
        <v>1108</v>
      </c>
      <c r="K13" s="66" t="s">
        <v>1077</v>
      </c>
    </row>
    <row r="14" spans="1:12" x14ac:dyDescent="0.35">
      <c r="A14" s="474">
        <v>43965</v>
      </c>
      <c r="B14" s="61">
        <v>8.5</v>
      </c>
      <c r="C14" t="s">
        <v>1063</v>
      </c>
      <c r="D14">
        <v>3191</v>
      </c>
      <c r="E14" s="66" t="s">
        <v>1114</v>
      </c>
      <c r="F14" s="66" t="s">
        <v>1071</v>
      </c>
      <c r="G14" s="66" t="s">
        <v>1068</v>
      </c>
      <c r="H14" s="66" t="s">
        <v>1109</v>
      </c>
      <c r="I14" s="66" t="s">
        <v>1110</v>
      </c>
      <c r="J14" s="66" t="s">
        <v>1111</v>
      </c>
      <c r="K14" s="66" t="s">
        <v>1112</v>
      </c>
    </row>
    <row r="15" spans="1:12" x14ac:dyDescent="0.35">
      <c r="A15" s="474">
        <v>43966</v>
      </c>
      <c r="B15" s="61">
        <v>6</v>
      </c>
      <c r="C15" t="s">
        <v>1063</v>
      </c>
      <c r="D15">
        <v>3200</v>
      </c>
      <c r="E15" s="66" t="s">
        <v>56</v>
      </c>
      <c r="F15" s="66" t="s">
        <v>1062</v>
      </c>
      <c r="G15" s="66" t="s">
        <v>543</v>
      </c>
      <c r="H15" s="66" t="s">
        <v>1113</v>
      </c>
      <c r="I15" s="66" t="s">
        <v>1115</v>
      </c>
      <c r="J15" s="66" t="s">
        <v>1116</v>
      </c>
      <c r="K15" s="66" t="s">
        <v>1067</v>
      </c>
    </row>
    <row r="16" spans="1:12" x14ac:dyDescent="0.35">
      <c r="A16" s="474">
        <v>43967</v>
      </c>
      <c r="B16" s="61">
        <v>6</v>
      </c>
      <c r="C16" t="s">
        <v>1063</v>
      </c>
      <c r="D16">
        <v>3191</v>
      </c>
      <c r="E16" s="66" t="s">
        <v>1105</v>
      </c>
      <c r="F16" s="66" t="s">
        <v>1062</v>
      </c>
      <c r="G16" s="66" t="s">
        <v>543</v>
      </c>
      <c r="H16" s="66" t="s">
        <v>1117</v>
      </c>
      <c r="I16" s="66" t="s">
        <v>1118</v>
      </c>
      <c r="J16" s="66" t="s">
        <v>1116</v>
      </c>
      <c r="K16" s="66" t="s">
        <v>1067</v>
      </c>
    </row>
    <row r="17" spans="1:12" x14ac:dyDescent="0.35">
      <c r="A17" s="474">
        <v>43968</v>
      </c>
      <c r="B17" s="61">
        <v>6</v>
      </c>
      <c r="C17" t="s">
        <v>1063</v>
      </c>
      <c r="D17">
        <v>3300</v>
      </c>
      <c r="E17" s="66" t="s">
        <v>56</v>
      </c>
      <c r="F17" s="66" t="s">
        <v>1062</v>
      </c>
      <c r="G17" s="66" t="s">
        <v>543</v>
      </c>
      <c r="H17" s="66" t="s">
        <v>1119</v>
      </c>
      <c r="I17" s="66" t="s">
        <v>1120</v>
      </c>
      <c r="J17" s="66" t="s">
        <v>1116</v>
      </c>
      <c r="K17" s="66" t="s">
        <v>1077</v>
      </c>
    </row>
    <row r="18" spans="1:12" x14ac:dyDescent="0.35">
      <c r="A18" s="474">
        <v>43969</v>
      </c>
      <c r="B18" s="61">
        <v>6</v>
      </c>
      <c r="C18" t="s">
        <v>1063</v>
      </c>
      <c r="D18">
        <v>3300</v>
      </c>
      <c r="E18" s="66" t="s">
        <v>56</v>
      </c>
      <c r="F18" s="66" t="s">
        <v>1062</v>
      </c>
      <c r="G18" s="66" t="s">
        <v>543</v>
      </c>
      <c r="H18" s="66" t="s">
        <v>1121</v>
      </c>
      <c r="I18" s="66" t="s">
        <v>1122</v>
      </c>
      <c r="J18" s="66" t="s">
        <v>1116</v>
      </c>
      <c r="K18" s="66" t="s">
        <v>1067</v>
      </c>
    </row>
    <row r="19" spans="1:12" x14ac:dyDescent="0.35">
      <c r="A19" s="474">
        <v>43970</v>
      </c>
      <c r="B19" s="61">
        <v>6</v>
      </c>
      <c r="C19" t="s">
        <v>1063</v>
      </c>
      <c r="F19" s="66" t="s">
        <v>1062</v>
      </c>
      <c r="G19" s="66" t="s">
        <v>543</v>
      </c>
      <c r="H19" s="66" t="s">
        <v>1123</v>
      </c>
      <c r="I19" s="66" t="s">
        <v>1124</v>
      </c>
      <c r="J19" s="66" t="s">
        <v>1116</v>
      </c>
      <c r="K19" s="66" t="s">
        <v>1077</v>
      </c>
    </row>
    <row r="20" spans="1:12" x14ac:dyDescent="0.35">
      <c r="A20" s="474">
        <v>43976</v>
      </c>
      <c r="B20" s="61">
        <v>6</v>
      </c>
      <c r="C20" t="s">
        <v>1129</v>
      </c>
      <c r="D20">
        <v>3460</v>
      </c>
      <c r="E20" s="66" t="s">
        <v>1125</v>
      </c>
      <c r="F20" s="66" t="s">
        <v>624</v>
      </c>
      <c r="G20" s="66" t="s">
        <v>356</v>
      </c>
      <c r="H20" s="66" t="s">
        <v>1126</v>
      </c>
      <c r="I20" s="66" t="s">
        <v>1127</v>
      </c>
      <c r="J20" s="66" t="s">
        <v>1128</v>
      </c>
      <c r="K20" s="66" t="s">
        <v>1077</v>
      </c>
      <c r="L20" s="61">
        <v>72</v>
      </c>
    </row>
    <row r="21" spans="1:12" x14ac:dyDescent="0.35">
      <c r="A21" s="474">
        <v>43977</v>
      </c>
      <c r="B21" s="61">
        <v>6</v>
      </c>
      <c r="C21" t="s">
        <v>1129</v>
      </c>
      <c r="D21">
        <v>3460</v>
      </c>
      <c r="E21" s="66" t="s">
        <v>1125</v>
      </c>
      <c r="F21" s="66" t="s">
        <v>1071</v>
      </c>
      <c r="G21" s="66" t="s">
        <v>1114</v>
      </c>
      <c r="H21" s="66" t="s">
        <v>1132</v>
      </c>
      <c r="I21" s="66" t="s">
        <v>1130</v>
      </c>
      <c r="J21" s="66" t="s">
        <v>1131</v>
      </c>
      <c r="K21" s="66" t="s">
        <v>1077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DDR</vt:lpstr>
      <vt:lpstr>Other Inputs</vt:lpstr>
      <vt:lpstr>Processed data_1</vt:lpstr>
      <vt:lpstr>Survey</vt:lpstr>
      <vt:lpstr>Tripping</vt:lpstr>
      <vt:lpstr>TBD</vt:lpstr>
      <vt:lpstr>Bit</vt:lpstr>
      <vt:lpstr>Drilling</vt:lpstr>
      <vt:lpstr>Reaming</vt:lpstr>
      <vt:lpstr>LOSS</vt:lpstr>
      <vt:lpstr>NPT</vt:lpstr>
      <vt:lpstr>Mud</vt:lpstr>
      <vt:lpstr>Casing</vt:lpstr>
      <vt:lpstr>Cementing</vt:lpstr>
      <vt:lpstr>Surface_Ops</vt:lpstr>
      <vt:lpstr>Geological</vt:lpstr>
      <vt:lpstr>Lessons_Learned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Sajjad Ashraf [SE (D)]</dc:creator>
  <cp:lastModifiedBy>Sajjad Ashraf [SE (D)]</cp:lastModifiedBy>
  <dcterms:created xsi:type="dcterms:W3CDTF">2020-10-14T04:37:14Z</dcterms:created>
  <dcterms:modified xsi:type="dcterms:W3CDTF">2021-07-13T10:29:03Z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efc15398-833e-4b72-a10c-d4a442b5623c</vt:lpwstr>
  </property>
</Properties>
</file>